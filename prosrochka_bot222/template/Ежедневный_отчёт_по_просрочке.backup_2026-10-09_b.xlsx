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h.avramenko\Downloads\telegram-bot-v2\prosrochka_bot\template\"/>
    </mc:Choice>
  </mc:AlternateContent>
  <xr:revisionPtr revIDLastSave="0" documentId="13_ncr:1_{1F5F3E69-3A67-43B0-AD1D-C8D65D419258}" xr6:coauthVersionLast="47" xr6:coauthVersionMax="47" xr10:uidLastSave="{00000000-0000-0000-0000-000000000000}"/>
  <bookViews>
    <workbookView xWindow="-120" yWindow="-120" windowWidth="29040" windowHeight="15840" tabRatio="500" activeTab="0" xr2:uid="{00000000-000D-0000-FFFF-FFFF00000000}"/>
  </bookViews>
  <sheets>
    <sheet name="Ввод" sheetId="1" r:id="rId1"/>
    <sheet name="Отчёт_дня" sheetId="2" r:id="rId2"/>
    <sheet name="Дашборд" sheetId="3" r:id="rId3"/>
    <sheet name="Справочники" sheetId="4" r:id="rId4"/>
    <sheet name="Gaplashgan" sheetId="5" r:id="rId5"/>
    <sheet name="Обещали" sheetId="6" r:id="rId10"/>
    <sheet name="Ko'tarmadi" sheetId="8" r:id="rId12"/>
    <sheet name="Объезд" sheetId="9" r:id="rId13"/>
    <sheet name="Оплатили" sheetId="7" r:id="rId11"/>
    <sheet name="Оплатили без разговора" sheetId="10" r:id="rId14"/>
  </sheets>
  <definedNames>
    <definedName name="_FilterDatabase" localSheetId="0" hidden="1">Ввод!$A$5:$AE$19</definedName>
    <definedName name="_xlnm._FilterDatabase" localSheetId="0" hidden="1">Ввод!$A$5:$AE$19</definedName>
    <definedName name="Print_Titles" localSheetId="0">Ввод!$4:$5</definedName>
    <definedName name="БазоваяПапка">Справочники!$N$1</definedName>
  </definedName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" authorId="0" shapeId="0" xr:uid="{00000000-0006-0000-0000-000001000000}">
      <text>
        <r>
          <rPr>
            <sz val="10"/>
            <rFont val="Arial"/>
            <family val="2"/>
          </rPr>
          <t>Дата отчёта. Дату и все числа таблицы бот заполняет сам при сборке отчёта — вручную ничего вводить не нужно.</t>
        </r>
      </text>
    </comment>
  </commentList>
</comments>
</file>

<file path=xl/sharedStrings.xml><?xml version="1.0" encoding="utf-8"?>
<sst xmlns="http://schemas.openxmlformats.org/spreadsheetml/2006/main" count="204" uniqueCount="108">
  <si>
    <t>Дата отчёта:</t>
  </si>
  <si>
    <t>ПОРТФЕЛЬ</t>
  </si>
  <si>
    <t>ПРОСРОЧКА</t>
  </si>
  <si>
    <t>ДОЗВОНИЛИСЬ / ОБЕЩАЛИ</t>
  </si>
  <si>
    <t>НЕ ДОЗВОНИЛИСЬ / ОБЪЕЗД</t>
  </si>
  <si>
    <t>ЭФФЕКТИВНОСТЬ И НАГРУЗКА</t>
  </si>
  <si>
    <t>№</t>
  </si>
  <si>
    <t>Область</t>
  </si>
  <si>
    <t>Ответственный</t>
  </si>
  <si>
    <t>Сотруд-
ников</t>
  </si>
  <si>
    <t>Портфель,
сум</t>
  </si>
  <si>
    <t>Портфель,
шт</t>
  </si>
  <si>
    <t>Просрочка,
сум</t>
  </si>
  <si>
    <t>Просрочка,
шт</t>
  </si>
  <si>
    <t>% к
портфелю</t>
  </si>
  <si>
    <t>% к
кол-ву</t>
  </si>
  <si>
    <t>Дозвон,
сум</t>
  </si>
  <si>
    <t>Дозвон,
шт</t>
  </si>
  <si>
    <t>Обещали,
сум</t>
  </si>
  <si>
    <t>Обещали,
шт</t>
  </si>
  <si>
    <t>Не дозв.,
сум</t>
  </si>
  <si>
    <t>Не дозв.,
шт</t>
  </si>
  <si>
    <t>Объезд,
сум</t>
  </si>
  <si>
    <t>Объезд,
шт</t>
  </si>
  <si>
    <t>Оплачено,
сум</t>
  </si>
  <si>
    <t>Оплачено,
шт</t>
  </si>
  <si>
    <t>% дозвона
(шт)</t>
  </si>
  <si>
    <t>% обещаний
(от дозвона)</t>
  </si>
  <si>
    <t>Просрочка
на 1 сотр.</t>
  </si>
  <si>
    <t>Дозвон
на 1 сотр.</t>
  </si>
  <si>
    <t>служ. (для сортировки)</t>
  </si>
  <si>
    <t>АНДИЖОН ВИЛОЯТИ</t>
  </si>
  <si>
    <t>БУХОРО ВИЛОЯТИ</t>
  </si>
  <si>
    <t>ЖИЗЗАХ ВИЛОЯТИ</t>
  </si>
  <si>
    <t>КАШКАДАРЁ ВИЛОЯТИ</t>
  </si>
  <si>
    <t>КОРАКАЛПОГИСТОН РЕСПУБЛИКАСИ</t>
  </si>
  <si>
    <t>НАВОИЙ ВИЛОЯТИ</t>
  </si>
  <si>
    <t>НАМАНГАН ВИЛОЯТИ</t>
  </si>
  <si>
    <t>САМАРКАНД ВИЛОЯТИ</t>
  </si>
  <si>
    <t>СИРДАРЁ ВИЛОЯТИ</t>
  </si>
  <si>
    <t>СУРХОНДАРЁ ВИЛОЯТИ</t>
  </si>
  <si>
    <t>ТОШКЕНТ ВИЛОЯТИ</t>
  </si>
  <si>
    <t>ТОШКЕНТ ШАХРИ</t>
  </si>
  <si>
    <t>ФАРГОНА ВИЛОЯТИ</t>
  </si>
  <si>
    <t>ХОРАЗМ ВИЛОЯТИ</t>
  </si>
  <si>
    <t>ИТОГО</t>
  </si>
  <si>
    <t>1. ПОКАЗАТЕЛИ ДНЯ</t>
  </si>
  <si>
    <t>Портфель, сум</t>
  </si>
  <si>
    <t>Просрочка, сум</t>
  </si>
  <si>
    <t>% просрочки к портфелю</t>
  </si>
  <si>
    <t>Просрочка, шт</t>
  </si>
  <si>
    <t>Дозвонились, шт</t>
  </si>
  <si>
    <t>% дозвона</t>
  </si>
  <si>
    <t>Обещали оплату, шт</t>
  </si>
  <si>
    <t>Не дозвонились, шт</t>
  </si>
  <si>
    <t>Объезд, шт</t>
  </si>
  <si>
    <t>Оплачено за день, сум</t>
  </si>
  <si>
    <t>2. ДЕТАЛИЗАЦИЯ ПО ОБЛАСТЯМ</t>
  </si>
  <si>
    <t>Оплачено, сум</t>
  </si>
  <si>
    <t>Оценка</t>
  </si>
  <si>
    <t>6. ЛИДЕРЫ И ОТСТАЮЩИЕ ПО % ДОЗВОНА (по областям)</t>
  </si>
  <si>
    <t>Лидеры</t>
  </si>
  <si>
    <t>Требуют внимания</t>
  </si>
  <si>
    <t>Просрочка на 1 сотрудника, шт</t>
  </si>
  <si>
    <t>СВОД ПО ОБЛАСТЯМ</t>
  </si>
  <si>
    <t>Тип</t>
  </si>
  <si>
    <t>% просрочки</t>
  </si>
  <si>
    <t>Дозвон, шт</t>
  </si>
  <si>
    <t>Обещали, шт</t>
  </si>
  <si>
    <t>Филиал (точно как в файлах)</t>
  </si>
  <si>
    <t>Ответственный (Ф.И.О.)</t>
  </si>
  <si>
    <t>Кол-во сотрудников</t>
  </si>
  <si>
    <t>Телефон</t>
  </si>
  <si>
    <t>Норматив % просрочки</t>
  </si>
  <si>
    <t>Оценка эффективности</t>
  </si>
  <si>
    <t>Статус проверки</t>
  </si>
  <si>
    <t>Урганч филиали</t>
  </si>
  <si>
    <t>Регион</t>
  </si>
  <si>
    <t>— впишите —</t>
  </si>
  <si>
    <t>+998 __ ___ __ __</t>
  </si>
  <si>
    <t>Отлично (≥80% дозвона)</t>
  </si>
  <si>
    <t>Не проверено</t>
  </si>
  <si>
    <t>Самарқанд филиали</t>
  </si>
  <si>
    <t>Хорошо (50–79%)</t>
  </si>
  <si>
    <t>Проверено куратором</t>
  </si>
  <si>
    <t>Денов филиали</t>
  </si>
  <si>
    <t>Требует внимания (&lt;50%)</t>
  </si>
  <si>
    <t>Жиззах филиали</t>
  </si>
  <si>
    <t>Нет данных</t>
  </si>
  <si>
    <t>Андижон филиали</t>
  </si>
  <si>
    <t>Наманган филиали</t>
  </si>
  <si>
    <t>Фарғона филиали</t>
  </si>
  <si>
    <t>Қарши филиали</t>
  </si>
  <si>
    <t>Нукус филиали</t>
  </si>
  <si>
    <t>Навоий филиали</t>
  </si>
  <si>
    <t>Бухоро филиали</t>
  </si>
  <si>
    <t>Термиз филиали</t>
  </si>
  <si>
    <t>Гулистон филиали</t>
  </si>
  <si>
    <t>Олмалиқ филиали</t>
  </si>
  <si>
    <t>Чирчик филиали</t>
  </si>
  <si>
    <t>Янги Йул филиали</t>
  </si>
  <si>
    <t>SUPER BRANCH</t>
  </si>
  <si>
    <t>Центральное</t>
  </si>
  <si>
    <t>BOSH OFIS</t>
  </si>
  <si>
    <t>Оплатил,
сум</t>
  </si>
  <si>
    <t>Оплатил,
шт</t>
  </si>
  <si>
    <t>ОПЛАЧЕНО ОБЩЕЕ ЗА ДЕНЬ</t>
  </si>
  <si>
    <t>Список заполняется ботом при сборке отчёта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</si>
</sst>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0.0%"/>
    <numFmt numFmtId="166" formatCode="0.0"/>
  </numFmts>
  <fonts count="28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b/>
      <sz val="10"/>
      <color rgb="FF000000"/>
      <name val="Arial"/>
      <charset val="1"/>
    </font>
    <font>
      <b/>
      <sz val="11"/>
      <color rgb="FF0000FF"/>
      <name val="Arial"/>
      <charset val="1"/>
    </font>
    <font>
      <b/>
      <sz val="11"/>
      <color rgb="FF1F4E79"/>
      <name val="Arial"/>
      <charset val="1"/>
    </font>
    <font>
      <sz val="10"/>
      <color rgb="FF000000"/>
      <name val="Arial"/>
      <charset val="1"/>
    </font>
    <font>
      <i/>
      <sz val="9"/>
      <color rgb="FFC00000"/>
      <name val="Arial"/>
      <charset val="1"/>
    </font>
    <font>
      <b/>
      <sz val="10"/>
      <color rgb="FFFFFFFF"/>
      <name val="Arial"/>
      <family val="2"/>
      <charset val="204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i/>
      <sz val="8"/>
      <color rgb="FF808080"/>
      <name val="Arial"/>
      <charset val="1"/>
    </font>
    <font>
      <sz val="10"/>
      <color rgb="FF0000FF"/>
      <name val="Arial"/>
      <charset val="1"/>
    </font>
    <font>
      <sz val="8"/>
      <color rgb="FF808080"/>
      <name val="Arial"/>
      <charset val="1"/>
    </font>
    <font>
      <b/>
      <sz val="10"/>
      <color rgb="FF1F4E79"/>
      <name val="Arial"/>
      <charset val="1"/>
    </font>
    <font>
      <b/>
      <sz val="9"/>
      <color rgb="FF000000"/>
      <name val="Arial"/>
      <charset val="1"/>
    </font>
    <font>
      <i/>
      <sz val="9"/>
      <color rgb="FF595959"/>
      <name val="Arial"/>
      <charset val="1"/>
    </font>
    <font>
      <sz val="10"/>
      <name val="Arial"/>
      <family val="2"/>
    </font>
    <font>
      <b/>
      <sz val="16"/>
      <color rgb="FF1F4E79"/>
      <name val="Arial"/>
      <charset val="1"/>
    </font>
    <font>
      <i/>
      <sz val="9"/>
      <color rgb="FF7F7F7F"/>
      <name val="Arial"/>
      <charset val="1"/>
    </font>
    <font>
      <b/>
      <sz val="11"/>
      <color rgb="FF000000"/>
      <name val="Arial"/>
      <charset val="1"/>
    </font>
    <font>
      <b/>
      <sz val="12"/>
      <color rgb="FF1F4E79"/>
      <name val="Arial"/>
      <charset val="1"/>
    </font>
    <font>
      <b/>
      <sz val="11"/>
      <color rgb="FFFFFFFF"/>
      <name val="Arial"/>
      <family val="2"/>
      <charset val="204"/>
    </font>
    <font>
      <sz val="9"/>
      <color rgb="FF000000"/>
      <name val="Arial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9"/>
      <color rgb="FF1F4E79"/>
      <name val="Arial"/>
      <charset val="1"/>
    </font>
    <font>
      <b/>
      <sz val="9"/>
      <color rgb="FF7030A0"/>
      <name val="Arial"/>
      <charset val="1"/>
    </font>
    <font>
      <i/>
      <sz val="9"/>
      <color rgb="FF595959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2CC"/>
        <bgColor rgb="FFFFE8D9"/>
      </patternFill>
    </fill>
    <fill>
      <patternFill patternType="solid">
        <fgColor rgb="FF2E75B6"/>
        <bgColor rgb="FF4F81BD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E4DFEC"/>
        <bgColor rgb="FFD9E1F2"/>
      </patternFill>
    </fill>
    <fill>
      <patternFill patternType="solid">
        <fgColor rgb="FFD9E1F2"/>
        <bgColor rgb="FFE4DFEC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D9D9"/>
      </patternFill>
    </fill>
    <fill>
      <patternFill patternType="solid">
        <fgColor rgb="FFFFE8D9"/>
        <bgColor rgb="FFFFF2C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9"/>
      </top>
      <bottom style="medium">
        <color rgb="FF1F4E79"/>
      </bottom>
      <diagonal/>
    </border>
    <border>
      <left style="thin">
        <color rgb="FFBFBFBF"/>
      </left>
      <right/>
      <top style="medium">
        <color rgb="FF1F4E79"/>
      </top>
      <bottom style="medium">
        <color rgb="FF1F4E7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6">
    <xf numFmtId="0" fontId="0" fillId="0" borderId="0" xfId="0" applyNumberFormat="1"/>
    <xf numFmtId="0" fontId="0" fillId="0" borderId="0" xfId="0" applyNumberFormat="1" applyAlignment="1"/>
    <xf numFmtId="164" fontId="3" fillId="2" borderId="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9" fillId="4" borderId="1" xfId="0" applyNumberFormat="1" applyFont="1" applyFill="1" applyBorder="1" applyAlignment="1">
      <alignment horizontal="center" vertical="center" wrapText="1"/>
    </xf>
    <xf numFmtId="0" fontId="9" fillId="4" borderId="2" xfId="0" applyNumberFormat="1" applyFont="1" applyFill="1" applyBorder="1" applyAlignment="1">
      <alignment horizontal="center" vertical="center" wrapText="1"/>
    </xf>
    <xf numFmtId="0" fontId="10" fillId="0" borderId="0" xfId="0" applyNumberFormat="1" applyFont="1"/>
    <xf numFmtId="0" fontId="5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/>
    </xf>
    <xf numFmtId="0" fontId="5" fillId="5" borderId="1" xfId="0" applyNumberFormat="1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right" vertical="center"/>
    </xf>
    <xf numFmtId="3" fontId="11" fillId="2" borderId="1" xfId="0" applyNumberFormat="1" applyFont="1" applyFill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center" vertical="center" wrapText="1"/>
    </xf>
    <xf numFmtId="166" fontId="5" fillId="5" borderId="2" xfId="0" applyNumberFormat="1" applyFont="1" applyFill="1" applyBorder="1" applyAlignment="1">
      <alignment horizontal="center" vertical="center" wrapText="1"/>
    </xf>
    <xf numFmtId="10" fontId="12" fillId="0" borderId="0" xfId="0" applyNumberFormat="1" applyFont="1"/>
    <xf numFmtId="0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NumberFormat="1" applyFont="1" applyFill="1" applyBorder="1" applyAlignment="1">
      <alignment horizontal="left" vertical="center"/>
    </xf>
    <xf numFmtId="0" fontId="13" fillId="7" borderId="3" xfId="0" applyNumberFormat="1" applyFont="1" applyFill="1" applyBorder="1" applyAlignment="1">
      <alignment horizontal="center" vertical="center" wrapText="1"/>
    </xf>
    <xf numFmtId="3" fontId="13" fillId="7" borderId="3" xfId="0" applyNumberFormat="1" applyFont="1" applyFill="1" applyBorder="1" applyAlignment="1">
      <alignment horizontal="center" vertical="center" wrapText="1"/>
    </xf>
    <xf numFmtId="3" fontId="13" fillId="7" borderId="3" xfId="0" applyNumberFormat="1" applyFont="1" applyFill="1" applyBorder="1" applyAlignment="1">
      <alignment horizontal="right" vertical="center"/>
    </xf>
    <xf numFmtId="165" fontId="13" fillId="7" borderId="3" xfId="0" applyNumberFormat="1" applyFont="1" applyFill="1" applyBorder="1" applyAlignment="1">
      <alignment horizontal="center" vertical="center" wrapText="1"/>
    </xf>
    <xf numFmtId="166" fontId="13" fillId="7" borderId="3" xfId="0" applyNumberFormat="1" applyFont="1" applyFill="1" applyBorder="1" applyAlignment="1">
      <alignment horizontal="center" vertical="center" wrapText="1"/>
    </xf>
    <xf numFmtId="166" fontId="13" fillId="7" borderId="4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Alignment="1"/>
    <xf numFmtId="0" fontId="19" fillId="0" borderId="0" xfId="0" applyNumberFormat="1" applyFont="1" applyAlignment="1"/>
    <xf numFmtId="3" fontId="4" fillId="5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0" fontId="22" fillId="0" borderId="1" xfId="0" applyNumberFormat="1" applyFont="1" applyBorder="1" applyAlignment="1">
      <alignment horizontal="left" vertical="center"/>
    </xf>
    <xf numFmtId="3" fontId="22" fillId="0" borderId="1" xfId="0" applyNumberFormat="1" applyFont="1" applyBorder="1" applyAlignment="1">
      <alignment horizontal="center" vertical="center" wrapText="1"/>
    </xf>
    <xf numFmtId="165" fontId="22" fillId="0" borderId="1" xfId="0" applyNumberFormat="1" applyFont="1" applyBorder="1" applyAlignment="1">
      <alignment horizontal="center" vertical="center" wrapText="1"/>
    </xf>
    <xf numFmtId="166" fontId="22" fillId="0" borderId="1" xfId="0" applyNumberFormat="1" applyFont="1" applyBorder="1" applyAlignment="1">
      <alignment horizontal="center" vertical="center" wrapText="1"/>
    </xf>
    <xf numFmtId="3" fontId="22" fillId="0" borderId="1" xfId="0" applyNumberFormat="1" applyFont="1" applyBorder="1" applyAlignment="1">
      <alignment horizontal="right" vertical="center"/>
    </xf>
    <xf numFmtId="0" fontId="22" fillId="0" borderId="1" xfId="0" applyNumberFormat="1" applyFont="1" applyBorder="1" applyAlignment="1">
      <alignment horizontal="center" vertical="center" wrapText="1"/>
    </xf>
    <xf numFmtId="0" fontId="22" fillId="6" borderId="1" xfId="0" applyNumberFormat="1" applyFont="1" applyFill="1" applyBorder="1" applyAlignment="1">
      <alignment horizontal="left" vertical="center"/>
    </xf>
    <xf numFmtId="0" fontId="22" fillId="6" borderId="1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Alignment="1">
      <alignment horizontal="center" vertical="center" wrapText="1"/>
    </xf>
    <xf numFmtId="0" fontId="22" fillId="0" borderId="0" xfId="0" applyNumberFormat="1" applyFont="1" applyAlignment="1">
      <alignment horizontal="left" vertical="center"/>
    </xf>
    <xf numFmtId="3" fontId="22" fillId="0" borderId="0" xfId="0" applyNumberFormat="1" applyFont="1" applyAlignment="1">
      <alignment horizontal="center" vertical="center" wrapText="1"/>
    </xf>
    <xf numFmtId="165" fontId="22" fillId="0" borderId="0" xfId="0" applyNumberFormat="1" applyFont="1" applyAlignment="1">
      <alignment horizontal="center" vertical="center" wrapText="1"/>
    </xf>
    <xf numFmtId="0" fontId="24" fillId="0" borderId="0" xfId="0" applyNumberFormat="1" applyFont="1" applyAlignment="1">
      <alignment horizontal="left" vertical="center"/>
    </xf>
    <xf numFmtId="3" fontId="22" fillId="0" borderId="0" xfId="0" applyNumberFormat="1" applyFont="1" applyAlignment="1">
      <alignment horizontal="right" vertical="center"/>
    </xf>
    <xf numFmtId="0" fontId="13" fillId="0" borderId="0" xfId="0" applyNumberFormat="1" applyFont="1" applyAlignment="1">
      <alignment horizontal="center" vertical="center" wrapText="1"/>
    </xf>
    <xf numFmtId="3" fontId="13" fillId="0" borderId="0" xfId="0" applyNumberFormat="1" applyFont="1" applyAlignment="1">
      <alignment horizontal="right" vertical="center"/>
    </xf>
    <xf numFmtId="165" fontId="13" fillId="0" borderId="0" xfId="0" applyNumberFormat="1" applyFont="1" applyAlignment="1">
      <alignment horizontal="center" vertical="center" wrapText="1"/>
    </xf>
    <xf numFmtId="3" fontId="13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/>
    <xf numFmtId="0" fontId="18" fillId="0" borderId="0" xfId="0" applyNumberFormat="1" applyFont="1" applyAlignment="1"/>
    <xf numFmtId="0" fontId="8" fillId="4" borderId="1" xfId="0" applyNumberFormat="1" applyFont="1" applyFill="1" applyBorder="1" applyAlignment="1">
      <alignment horizontal="center" vertical="center" wrapText="1"/>
    </xf>
    <xf numFmtId="0" fontId="8" fillId="4" borderId="2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Alignment="1">
      <alignment horizontal="center" vertical="center" wrapText="1"/>
    </xf>
    <xf numFmtId="0" fontId="25" fillId="0" borderId="1" xfId="0" applyNumberFormat="1" applyFont="1" applyBorder="1" applyAlignment="1">
      <alignment horizontal="center" vertical="center" wrapText="1"/>
    </xf>
    <xf numFmtId="0" fontId="11" fillId="2" borderId="1" xfId="0" applyNumberFormat="1" applyFont="1" applyFill="1" applyBorder="1" applyAlignment="1">
      <alignment horizontal="left" vertical="center"/>
    </xf>
    <xf numFmtId="165" fontId="11" fillId="2" borderId="1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left" vertical="center"/>
    </xf>
    <xf numFmtId="0" fontId="26" fillId="6" borderId="1" xfId="0" applyNumberFormat="1" applyFont="1" applyFill="1" applyBorder="1" applyAlignment="1">
      <alignment horizontal="center" vertical="center" wrapText="1"/>
    </xf>
    <xf numFmtId="0" fontId="11" fillId="10" borderId="1" xfId="0" applyNumberFormat="1" applyFont="1" applyFill="1" applyBorder="1" applyAlignment="1">
      <alignment horizontal="left" vertical="center"/>
    </xf>
    <xf numFmtId="3" fontId="11" fillId="10" borderId="1" xfId="0" applyNumberFormat="1" applyFont="1" applyFill="1" applyBorder="1" applyAlignment="1">
      <alignment horizontal="center" vertical="center" wrapText="1"/>
    </xf>
    <xf numFmtId="165" fontId="11" fillId="10" borderId="1" xfId="0" applyNumberFormat="1" applyFont="1" applyFill="1" applyBorder="1" applyAlignment="1">
      <alignment horizontal="center" vertical="center" wrapText="1"/>
    </xf>
    <xf numFmtId="0" fontId="0" fillId="7" borderId="3" xfId="0" applyNumberFormat="1" applyFill="1" applyBorder="1" applyAlignment="1"/>
    <xf numFmtId="0" fontId="13" fillId="7" borderId="3" xfId="0" applyNumberFormat="1" applyFont="1" applyFill="1" applyBorder="1" applyAlignment="1"/>
    <xf numFmtId="0" fontId="14" fillId="0" borderId="0" xfId="0" applyNumberFormat="1" applyFont="1" applyBorder="1" applyAlignment="1"/>
    <xf numFmtId="0" fontId="15" fillId="0" borderId="0" xfId="0" applyNumberFormat="1" applyFont="1" applyBorder="1" applyAlignment="1"/>
    <xf numFmtId="0" fontId="8" fillId="3" borderId="1" xfId="0" applyNumberFormat="1" applyFont="1" applyFill="1" applyBorder="1" applyAlignment="1">
      <alignment horizontal="center" vertical="center" wrapText="1"/>
    </xf>
    <xf numFmtId="0" fontId="13" fillId="7" borderId="3" xfId="0" applyNumberFormat="1" applyFont="1" applyFill="1" applyBorder="1" applyAlignment="1">
      <alignment horizontal="center" vertical="center" wrapText="1"/>
    </xf>
    <xf numFmtId="0" fontId="8" fillId="3" borderId="2" xfId="0" applyNumberFormat="1" applyFont="1" applyFill="1" applyBorder="1" applyAlignment="1">
      <alignment horizontal="center" vertical="center" wrapText="1"/>
    </xf>
    <xf numFmtId="0" fontId="8" fillId="3" borderId="5" xfId="0" applyNumberFormat="1" applyFont="1" applyFill="1" applyBorder="1" applyAlignment="1">
      <alignment horizontal="center" vertical="center" wrapText="1"/>
    </xf>
    <xf numFmtId="0" fontId="8" fillId="3" borderId="6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Border="1" applyAlignment="1"/>
    <xf numFmtId="0" fontId="2" fillId="0" borderId="0" xfId="0" applyNumberFormat="1" applyFont="1" applyBorder="1" applyAlignment="1"/>
    <xf numFmtId="0" fontId="6" fillId="0" borderId="0" xfId="0" applyNumberFormat="1" applyFont="1" applyBorder="1" applyAlignment="1"/>
    <xf numFmtId="0" fontId="22" fillId="8" borderId="1" xfId="0" applyNumberFormat="1" applyFont="1" applyFill="1" applyBorder="1" applyAlignment="1">
      <alignment horizontal="center" vertical="center" wrapText="1"/>
    </xf>
    <xf numFmtId="165" fontId="22" fillId="8" borderId="1" xfId="0" applyNumberFormat="1" applyFont="1" applyFill="1" applyBorder="1" applyAlignment="1">
      <alignment horizontal="center" vertical="center" wrapText="1"/>
    </xf>
    <xf numFmtId="0" fontId="22" fillId="9" borderId="1" xfId="0" applyNumberFormat="1" applyFont="1" applyFill="1" applyBorder="1" applyAlignment="1">
      <alignment horizontal="center" vertical="center" wrapText="1"/>
    </xf>
    <xf numFmtId="165" fontId="22" fillId="9" borderId="1" xfId="0" applyNumberFormat="1" applyFont="1" applyFill="1" applyBorder="1" applyAlignment="1">
      <alignment horizontal="center" vertical="center" wrapText="1"/>
    </xf>
    <xf numFmtId="0" fontId="23" fillId="3" borderId="0" xfId="0" applyNumberFormat="1" applyFont="1" applyFill="1" applyBorder="1" applyAlignment="1">
      <alignment horizontal="left" vertical="center"/>
    </xf>
    <xf numFmtId="0" fontId="9" fillId="4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0" fontId="21" fillId="3" borderId="0" xfId="0" applyNumberFormat="1" applyFont="1" applyFill="1" applyBorder="1" applyAlignment="1">
      <alignment horizontal="left" vertical="center"/>
    </xf>
    <xf numFmtId="0" fontId="17" fillId="0" borderId="0" xfId="0" applyNumberFormat="1" applyFont="1" applyBorder="1" applyAlignment="1"/>
    <xf numFmtId="0" fontId="18" fillId="0" borderId="0" xfId="0" applyNumberFormat="1" applyFont="1" applyBorder="1" applyAlignment="1"/>
    <xf numFmtId="164" fontId="20" fillId="7" borderId="1" xfId="0" applyNumberFormat="1" applyFont="1" applyFill="1" applyBorder="1" applyAlignment="1">
      <alignment horizontal="center" vertical="center" wrapText="1"/>
    </xf>
    <xf numFmtId="0" fontId="24" fillId="0" borderId="0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right" vertical="center"/>
    </xf>
    <xf numFmtId="3" fontId="20" fillId="7" borderId="1" xfId="0" applyNumberFormat="1" applyFont="1" applyFill="1" applyBorder="1" applyAlignment="1">
      <alignment horizontal="center" vertical="center" wrapText="1"/>
    </xf>
    <xf numFmtId="166" fontId="20" fillId="7" borderId="1" xfId="0" applyNumberFormat="1" applyFont="1" applyFill="1" applyBorder="1" applyAlignment="1">
      <alignment horizontal="center" vertical="center" wrapText="1"/>
    </xf>
    <xf numFmtId="0" fontId="24" fillId="3" borderId="0" xfId="0" applyNumberFormat="1" applyFont="1" applyFill="1" applyBorder="1" applyAlignment="1">
      <alignment horizontal="left" vertical="center"/>
    </xf>
    <xf numFmtId="0" fontId="19" fillId="0" borderId="0" xfId="0" applyNumberFormat="1" applyFont="1" applyBorder="1" applyAlignment="1"/>
    <xf numFmtId="0" fontId="27" fillId="0" borderId="0" xfId="0" applyFont="1" applyAlignment="1">
      <alignment horizontal="left" vertical="top"/>
    </xf>
  </cellXfs>
  <cellStyles count="1">
    <cellStyle name="Обычный" xfId="0" builtinId="0"/>
  </cellStyles>
  <dxfs count="6"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9C6500"/>
        <name val="Arial"/>
        <charset val="1"/>
      </font>
      <fill>
        <patternFill>
          <bgColor rgb="FFFFEB9C"/>
        </patternFill>
      </fill>
    </dxf>
    <dxf>
      <font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9C6500"/>
        <name val="Arial"/>
        <charset val="1"/>
      </font>
      <fill>
        <patternFill>
          <bgColor rgb="FFFFEB9C"/>
        </patternFill>
      </fill>
    </dxf>
    <dxf>
      <font>
        <sz val="9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7F7F7F"/>
      <rgbColor rgb="FF7030A0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9DC3E6"/>
      <rgbColor rgb="FFFFE8D9"/>
      <rgbColor rgb="FFE4DFEC"/>
      <rgbColor rgb="FFFFC7CE"/>
      <rgbColor rgb="FF2E75B6"/>
      <rgbColor rgb="FF70AD47"/>
      <rgbColor rgb="FF9BBB59"/>
      <rgbColor rgb="FFFFCC00"/>
      <rgbColor rgb="FFFF9900"/>
      <rgbColor rgb="FFED7D31"/>
      <rgbColor rgb="FF8064A2"/>
      <rgbColor rgb="FF878787"/>
      <rgbColor rgb="FF003366"/>
      <rgbColor rgb="FF4F81BD"/>
      <rgbColor rgb="FF003300"/>
      <rgbColor rgb="FF333300"/>
      <rgbColor rgb="FF993300"/>
      <rgbColor rgb="FFC0504D"/>
      <rgbColor rgb="FF1F4E7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Просрочка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Дашборд!$E$8</c:f>
              <c:strCache>
                <c:ptCount val="1"/>
                <c:pt idx="0">
                  <c:v>Просрочка, сум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Дашборд!$E$9:$E$26</c:f>
              <c:numCache>
                <c:formatCode>#,##0</c:formatCode>
                <c:ptCount val="18"/>
                <c:pt idx="0">
                  <c:v>216997310.13</c:v>
                </c:pt>
                <c:pt idx="1">
                  <c:v>202669512.91</c:v>
                </c:pt>
                <c:pt idx="2">
                  <c:v>249852799.42000002</c:v>
                </c:pt>
                <c:pt idx="3">
                  <c:v>205557960.12</c:v>
                </c:pt>
                <c:pt idx="4">
                  <c:v>259639584.46000001</c:v>
                </c:pt>
                <c:pt idx="5">
                  <c:v>107085347.11</c:v>
                </c:pt>
                <c:pt idx="6">
                  <c:v>597998506.93000007</c:v>
                </c:pt>
                <c:pt idx="7">
                  <c:v>267212425.58000001</c:v>
                </c:pt>
                <c:pt idx="8">
                  <c:v>97690450.189999998</c:v>
                </c:pt>
                <c:pt idx="9">
                  <c:v>1083751094.2</c:v>
                </c:pt>
                <c:pt idx="10">
                  <c:v>886986634.88</c:v>
                </c:pt>
                <c:pt idx="11">
                  <c:v>1625726684.3</c:v>
                </c:pt>
                <c:pt idx="12">
                  <c:v>806811380</c:v>
                </c:pt>
                <c:pt idx="13">
                  <c:v>293459857.04000002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F-4E2F-A0E6-D2F9020E0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214765"/>
        <c:axId val="85112628"/>
      </c:barChart>
      <c:catAx>
        <c:axId val="712147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5112628"/>
        <c:crosses val="autoZero"/>
        <c:auto val="1"/>
        <c:lblAlgn val="ctr"/>
        <c:lblOffset val="100"/>
        <c:noMultiLvlLbl val="0"/>
      </c:catAx>
      <c:valAx>
        <c:axId val="851126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712147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% просрочки к портфелю по филиалам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Дашборд!$F$8</c:f>
              <c:strCache>
                <c:ptCount val="1"/>
                <c:pt idx="0">
                  <c:v>% просрочки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Дашборд!$F$9:$F$26</c:f>
              <c:numCache>
                <c:formatCode>0.0%</c:formatCode>
                <c:ptCount val="18"/>
                <c:pt idx="0">
                  <c:v>1.0013635041270053E-2</c:v>
                </c:pt>
                <c:pt idx="1">
                  <c:v>3.9559370387590553E-2</c:v>
                </c:pt>
                <c:pt idx="2">
                  <c:v>1.7969585172309191E-2</c:v>
                </c:pt>
                <c:pt idx="3">
                  <c:v>1.6867583337316021E-2</c:v>
                </c:pt>
                <c:pt idx="4">
                  <c:v>2.3349839067533937E-2</c:v>
                </c:pt>
                <c:pt idx="5">
                  <c:v>1.65335665399284E-2</c:v>
                </c:pt>
                <c:pt idx="6">
                  <c:v>4.0598377292439237E-2</c:v>
                </c:pt>
                <c:pt idx="7">
                  <c:v>1.669257745846088E-2</c:v>
                </c:pt>
                <c:pt idx="8">
                  <c:v>1.3587441435172735E-2</c:v>
                </c:pt>
                <c:pt idx="9">
                  <c:v>6.5344354059406265E-2</c:v>
                </c:pt>
                <c:pt idx="10">
                  <c:v>2.4056231909288329E-2</c:v>
                </c:pt>
                <c:pt idx="11">
                  <c:v>3.7345679371897041E-2</c:v>
                </c:pt>
                <c:pt idx="12">
                  <c:v>4.6359308152847729E-2</c:v>
                </c:pt>
                <c:pt idx="13">
                  <c:v>1.4315746308474625E-2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4A-457B-838C-A1F5D6FC0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054998"/>
        <c:axId val="44262132"/>
      </c:barChart>
      <c:catAx>
        <c:axId val="430549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44262132"/>
        <c:crosses val="autoZero"/>
        <c:auto val="1"/>
        <c:lblAlgn val="ctr"/>
        <c:lblOffset val="100"/>
        <c:noMultiLvlLbl val="0"/>
      </c:catAx>
      <c:valAx>
        <c:axId val="442621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430549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% дозвона по филиалам (эффективность)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Дашборд!$I$8</c:f>
              <c:strCache>
                <c:ptCount val="1"/>
                <c:pt idx="0">
                  <c:v>% дозвона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Дашборд!$I$9:$I$26</c:f>
              <c:numCache>
                <c:formatCode>0.0%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0.39215686274509803</c:v>
                </c:pt>
                <c:pt idx="3">
                  <c:v>0.87878787878787878</c:v>
                </c:pt>
                <c:pt idx="4">
                  <c:v>0.76923076923076927</c:v>
                </c:pt>
                <c:pt idx="5">
                  <c:v>5.5555555555555552E-2</c:v>
                </c:pt>
                <c:pt idx="6">
                  <c:v>0.4838709677419355</c:v>
                </c:pt>
                <c:pt idx="7">
                  <c:v>0.24590163934426229</c:v>
                </c:pt>
                <c:pt idx="8">
                  <c:v>0.58823529411764708</c:v>
                </c:pt>
                <c:pt idx="9">
                  <c:v>0.18556701030927836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0.46938775510204084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A-41BF-885E-EB1F6D8CA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234107"/>
        <c:axId val="21209288"/>
      </c:barChart>
      <c:catAx>
        <c:axId val="682341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1209288"/>
        <c:crosses val="autoZero"/>
        <c:auto val="1"/>
        <c:lblAlgn val="ctr"/>
        <c:lblOffset val="100"/>
        <c:noMultiLvlLbl val="0"/>
      </c:catAx>
      <c:valAx>
        <c:axId val="21209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682341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Нагрузка: просроченных договоров на 1 сотрудника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Дашборд!$J$8</c:f>
              <c:strCache>
                <c:ptCount val="1"/>
                <c:pt idx="0">
                  <c:v>Просрочка
на 1 сотр.</c:v>
                </c:pt>
              </c:strCache>
            </c:strRef>
          </c:tx>
          <c:spPr>
            <a:solidFill>
              <a:srgbClr val="7030A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Дашборд!$J$9:$J$26</c:f>
              <c:numCache>
                <c:formatCode>0.0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7-4052-A2FE-13C576513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447490"/>
        <c:axId val="97794876"/>
      </c:barChart>
      <c:catAx>
        <c:axId val="264474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7794876"/>
        <c:crosses val="autoZero"/>
        <c:auto val="1"/>
        <c:lblAlgn val="ctr"/>
        <c:lblOffset val="100"/>
        <c:noMultiLvlLbl val="0"/>
      </c:catAx>
      <c:valAx>
        <c:axId val="977948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64474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Портфель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Дашборд!$D$8</c:f>
              <c:strCache>
                <c:ptCount val="1"/>
                <c:pt idx="0">
                  <c:v>Портфель, сум</c:v>
                </c:pt>
              </c:strCache>
            </c:strRef>
          </c:tx>
          <c:spPr>
            <a:solidFill>
              <a:srgbClr val="80808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Дашборд!$D$9:$D$26</c:f>
              <c:numCache>
                <c:formatCode>#,##0</c:formatCode>
                <c:ptCount val="18"/>
                <c:pt idx="0">
                  <c:v>21670183628.189999</c:v>
                </c:pt>
                <c:pt idx="1">
                  <c:v>5123173370.1599998</c:v>
                </c:pt>
                <c:pt idx="2">
                  <c:v>13904205190.280001</c:v>
                </c:pt>
                <c:pt idx="3">
                  <c:v>12186568520.77</c:v>
                </c:pt>
                <c:pt idx="4">
                  <c:v>11119544923.16</c:v>
                </c:pt>
                <c:pt idx="5">
                  <c:v>6476844959.7000103</c:v>
                </c:pt>
                <c:pt idx="6">
                  <c:v>14729615980.030001</c:v>
                </c:pt>
                <c:pt idx="7">
                  <c:v>16007858956.77</c:v>
                </c:pt>
                <c:pt idx="8">
                  <c:v>7189760534.1000004</c:v>
                </c:pt>
                <c:pt idx="9">
                  <c:v>16585229279.559999</c:v>
                </c:pt>
                <c:pt idx="10">
                  <c:v>36871386933.1101</c:v>
                </c:pt>
                <c:pt idx="11">
                  <c:v>43531854598.510101</c:v>
                </c:pt>
                <c:pt idx="12">
                  <c:v>17403438751.5</c:v>
                </c:pt>
                <c:pt idx="13">
                  <c:v>20499095940.689999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D-4DFE-B419-0118214F8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751537"/>
        <c:axId val="24896542"/>
      </c:barChart>
      <c:catAx>
        <c:axId val="927515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4896542"/>
        <c:crosses val="autoZero"/>
        <c:auto val="1"/>
        <c:lblAlgn val="ctr"/>
        <c:lblOffset val="100"/>
        <c:noMultiLvlLbl val="0"/>
      </c:catAx>
      <c:valAx>
        <c:axId val="248965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27515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Оплачено за день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Дашборд!$L$8</c:f>
              <c:strCache>
                <c:ptCount val="1"/>
                <c:pt idx="0">
                  <c:v>Оплачено, сум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Дашборд!$L$9:$L$26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E-477C-87C3-311268FEC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23531"/>
        <c:axId val="91779961"/>
      </c:barChart>
      <c:catAx>
        <c:axId val="79235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1779961"/>
        <c:crosses val="autoZero"/>
        <c:auto val="1"/>
        <c:lblAlgn val="ctr"/>
        <c:lblOffset val="100"/>
        <c:noMultiLvlLbl val="0"/>
      </c:catAx>
      <c:valAx>
        <c:axId val="917799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79235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Дозвон и обещания по филиалам, шт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Дашборд!$H$8</c:f>
              <c:strCache>
                <c:ptCount val="1"/>
                <c:pt idx="0">
                  <c:v>Дозвон, шт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Дашборд!$H$9:$H$26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29</c:v>
                </c:pt>
                <c:pt idx="4">
                  <c:v>20</c:v>
                </c:pt>
                <c:pt idx="5">
                  <c:v>1</c:v>
                </c:pt>
                <c:pt idx="6">
                  <c:v>30</c:v>
                </c:pt>
                <c:pt idx="7">
                  <c:v>15</c:v>
                </c:pt>
                <c:pt idx="8">
                  <c:v>10</c:v>
                </c:pt>
                <c:pt idx="9">
                  <c:v>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94-4D76-8353-2F0784A81023}"/>
            </c:ext>
          </c:extLst>
        </c:ser>
        <c:ser>
          <c:idx val="1"/>
          <c:order val="1"/>
          <c:tx>
            <c:strRef>
              <c:f>Дашборд!$K$8</c:f>
              <c:strCache>
                <c:ptCount val="1"/>
                <c:pt idx="0">
                  <c:v>Обещали, шт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Дашборд!$K$9:$K$26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19</c:v>
                </c:pt>
                <c:pt idx="3">
                  <c:v>18</c:v>
                </c:pt>
                <c:pt idx="4">
                  <c:v>4</c:v>
                </c:pt>
                <c:pt idx="5">
                  <c:v>1</c:v>
                </c:pt>
                <c:pt idx="6">
                  <c:v>30</c:v>
                </c:pt>
                <c:pt idx="7">
                  <c:v>15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94-4D76-8353-2F0784A81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986958"/>
        <c:axId val="3248866"/>
      </c:barChart>
      <c:catAx>
        <c:axId val="8998695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3248866"/>
        <c:crosses val="autoZero"/>
        <c:auto val="1"/>
        <c:lblAlgn val="ctr"/>
        <c:lblOffset val="100"/>
        <c:noMultiLvlLbl val="0"/>
      </c:catAx>
      <c:valAx>
        <c:axId val="324886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99869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Структура работы с просрочкой, шт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Дашборд!$B$31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36F3-44AF-A9C8-313EC441412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6F3-44AF-A9C8-313EC441412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6F3-44AF-A9C8-313EC441412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6F3-44AF-A9C8-313EC441412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F3-44AF-A9C8-313EC441412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F3-44AF-A9C8-313EC441412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6F3-44AF-A9C8-313EC441412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6F3-44AF-A9C8-313EC44141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Дашборд!$A$32:$A$35</c:f>
              <c:strCache>
                <c:ptCount val="4"/>
                <c:pt idx="0">
                  <c:v>Дозвон всего</c:v>
                </c:pt>
                <c:pt idx="1">
                  <c:v>Ko'tarmadi</c:v>
                </c:pt>
                <c:pt idx="2">
                  <c:v>Объезд</c:v>
                </c:pt>
                <c:pt idx="3">
                  <c:v>Ishlanmagan</c:v>
                </c:pt>
              </c:strCache>
            </c:strRef>
          </c:cat>
          <c:val>
            <c:numRef>
              <c:f>Дашборд!$B$32:$B$35</c:f>
              <c:numCache>
                <c:formatCode>#,##0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36F3-44AF-A9C8-313EC4414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5</xdr:row>
      <xdr:rowOff>130680</xdr:rowOff>
    </xdr:from>
    <xdr:to>
      <xdr:col>24</xdr:col>
      <xdr:colOff>3600</xdr:colOff>
      <xdr:row>20</xdr:row>
      <xdr:rowOff>65160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24</xdr:row>
      <xdr:rowOff>130680</xdr:rowOff>
    </xdr:from>
    <xdr:to>
      <xdr:col>24</xdr:col>
      <xdr:colOff>3600</xdr:colOff>
      <xdr:row>40</xdr:row>
      <xdr:rowOff>84240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43</xdr:row>
      <xdr:rowOff>130680</xdr:rowOff>
    </xdr:from>
    <xdr:to>
      <xdr:col>24</xdr:col>
      <xdr:colOff>3600</xdr:colOff>
      <xdr:row>59</xdr:row>
      <xdr:rowOff>141480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62</xdr:row>
      <xdr:rowOff>130680</xdr:rowOff>
    </xdr:from>
    <xdr:to>
      <xdr:col>24</xdr:col>
      <xdr:colOff>3600</xdr:colOff>
      <xdr:row>78</xdr:row>
      <xdr:rowOff>141120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24</xdr:col>
      <xdr:colOff>0</xdr:colOff>
      <xdr:row>62</xdr:row>
      <xdr:rowOff>130680</xdr:rowOff>
    </xdr:from>
    <xdr:to>
      <xdr:col>34</xdr:col>
      <xdr:colOff>3600</xdr:colOff>
      <xdr:row>78</xdr:row>
      <xdr:rowOff>141120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24</xdr:col>
      <xdr:colOff>0</xdr:colOff>
      <xdr:row>43</xdr:row>
      <xdr:rowOff>130680</xdr:rowOff>
    </xdr:from>
    <xdr:to>
      <xdr:col>34</xdr:col>
      <xdr:colOff>3600</xdr:colOff>
      <xdr:row>59</xdr:row>
      <xdr:rowOff>141480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24</xdr:col>
      <xdr:colOff>0</xdr:colOff>
      <xdr:row>5</xdr:row>
      <xdr:rowOff>130680</xdr:rowOff>
    </xdr:from>
    <xdr:to>
      <xdr:col>34</xdr:col>
      <xdr:colOff>3600</xdr:colOff>
      <xdr:row>20</xdr:row>
      <xdr:rowOff>65160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24</xdr:col>
      <xdr:colOff>0</xdr:colOff>
      <xdr:row>24</xdr:row>
      <xdr:rowOff>130680</xdr:rowOff>
    </xdr:from>
    <xdr:to>
      <xdr:col>34</xdr:col>
      <xdr:colOff>3600</xdr:colOff>
      <xdr:row>40</xdr:row>
      <xdr:rowOff>84240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  <pageSetUpPr fitToPage="1"/>
  </sheetPr>
  <dimension ref="A1:AE21"/>
  <sheetViews>
    <sheetView tabSelected="1" showGridLines="0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ColWidth="8.7109375" defaultRowHeight="15" x14ac:dyDescent="0.25"/>
  <cols>
    <col min="1" max="1" width="5" style="1" customWidth="1"/>
    <col min="2" max="2" width="20" style="1" customWidth="1"/>
    <col min="3" max="3" width="18" style="1" customWidth="1"/>
    <col min="4" max="4" width="9" style="1" customWidth="1"/>
    <col min="5" max="5" width="16" style="1" customWidth="1"/>
    <col min="6" max="6" width="13" style="1" customWidth="1"/>
    <col min="7" max="7" width="16" style="1" customWidth="1"/>
    <col min="8" max="8" width="11" style="1" customWidth="1"/>
    <col min="9" max="9" width="15" style="1" customWidth="1"/>
    <col min="10" max="10" width="11" style="1" customWidth="1"/>
    <col min="11" max="11" width="15" style="1" customWidth="1"/>
    <col min="12" max="12" width="11" style="1" customWidth="1"/>
    <col min="13" max="13" width="15" style="1" customWidth="1"/>
    <col min="14" max="14" width="10" style="1" customWidth="1"/>
    <col min="15" max="15" width="15" style="1" customWidth="1"/>
    <col min="16" max="16" width="13" style="1" customWidth="1"/>
    <col min="17" max="17" width="15" style="1" customWidth="1"/>
    <col min="18" max="18" width="10" style="1" customWidth="1"/>
    <col min="19" max="19" width="15" style="1" customWidth="1"/>
    <col min="20" max="20" width="10" style="1" customWidth="1"/>
    <col min="21" max="21" width="15" style="1" customWidth="1"/>
    <col min="22" max="22" width="10" style="1" customWidth="1"/>
    <col min="23" max="23" width="16" style="1" customWidth="1"/>
    <col min="24" max="24" width="10" style="1" customWidth="1"/>
    <col min="25" max="25" width="11" style="1" customWidth="1"/>
    <col min="26" max="26" width="12" style="1" customWidth="1"/>
    <col min="27" max="27" width="11" style="1" customWidth="1"/>
    <col min="28" max="28" width="11" style="1" customWidth="1"/>
    <col min="29" max="29" width="22" style="1" customWidth="1"/>
    <col min="30" max="30" width="18" style="1" customWidth="1"/>
    <col min="31" max="31" width="26" style="1" hidden="1" customWidth="1"/>
    <col min="32" max="32" width="1" style="1" hidden="1" customWidth="1"/>
    <col min="33" max="33" width="1" style="1" hidden="1" customWidth="1"/>
  </cols>
  <sheetData>
    <row r="1" ht="17.25" customHeight="1" x14ac:dyDescent="0.25">
      <c r="A1" s="74"/>
      <c r="B1" s="74"/>
      <c r="C1" s="74"/>
      <c r="D1" s="74"/>
      <c r="E1" s="74"/>
      <c r="F1" s="74"/>
      <c r="G1" s="74"/>
      <c r="H1" s="74"/>
    </row>
    <row r="2" ht="15" customHeight="1" x14ac:dyDescent="0.25">
      <c r="A2" s="75" t="s">
        <v>0</v>
      </c>
      <c r="B2" s="75"/>
      <c r="C2" s="2">
        <v>46272</v>
      </c>
      <c r="E2" s="75"/>
      <c r="F2" s="75"/>
      <c r="G2" s="3"/>
      <c r="H2" s="4"/>
      <c r="L2" s="75"/>
      <c r="M2" s="75"/>
      <c r="N2" s="6"/>
    </row>
    <row r="3" ht="25.5" customHeight="1" x14ac:dyDescent="0.25">
      <c r="A3" s="76"/>
      <c r="B3" s="76"/>
      <c r="C3" s="76"/>
      <c r="D3" s="76"/>
      <c r="E3" s="76"/>
      <c r="F3" s="76"/>
      <c r="G3" s="76"/>
      <c r="H3" s="76"/>
      <c r="K3" s="76"/>
      <c r="L3" s="76"/>
      <c r="M3" s="76"/>
      <c r="N3" s="76"/>
      <c r="Q3" s="76"/>
      <c r="R3" s="76"/>
      <c r="S3" s="76"/>
      <c r="T3" s="76"/>
      <c r="W3" s="76"/>
      <c r="X3" s="76"/>
      <c r="Y3" s="76"/>
      <c r="Z3" s="76"/>
      <c r="AA3" s="76"/>
      <c r="AB3" s="76"/>
      <c r="AC3" s="76"/>
      <c r="AD3" s="76"/>
      <c r="AE3" s="76"/>
    </row>
    <row r="4" ht="51.75" customHeight="1" x14ac:dyDescent="0.25">
      <c r="E4" s="73" t="s">
        <v>1</v>
      </c>
      <c r="F4" s="73"/>
      <c r="G4" s="68" t="s">
        <v>2</v>
      </c>
      <c r="H4" s="68"/>
      <c r="I4" s="70" t="inlineStr">
        <is>
          <t xml:space="preserve">ЗВОНКИ</t>
        </is>
      </c>
      <c r="J4" s="71"/>
      <c r="K4" s="70" t="inlineStr">
        <is>
          <t xml:space="preserve">GAPLASHGAN / ОБЕЩАЛИ</t>
        </is>
      </c>
      <c r="L4" s="71"/>
      <c r="M4" s="71"/>
      <c r="N4" s="72"/>
      <c r="O4" s="70" t="inlineStr">
        <is>
          <t xml:space="preserve">НЕ ДОЗВОНИЛИСЬ / ОБЪЕЗД</t>
        </is>
      </c>
      <c r="Q4" s="71"/>
      <c r="R4" s="72"/>
      <c r="S4" s="70" t="inlineStr">
        <is>
          <t>ОПЛАЧЕНО ЗА ДЕНЬ</t>
        </is>
      </c>
      <c r="T4" s="71"/>
      <c r="U4" s="71"/>
      <c r="V4" s="71"/>
      <c r="W4" s="71"/>
      <c r="X4" s="72"/>
      <c r="Y4" s="68" t="s">
        <v>5</v>
      </c>
      <c r="Z4" s="68"/>
      <c r="AA4" s="68"/>
      <c r="AB4" s="68"/>
    </row>
    <row r="5" ht="37.5" customHeight="1" x14ac:dyDescent="0.25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  <c r="I5" s="7" t="inlineStr">
        <is>
          <t xml:space="preserve">Звонков всего,
сум</t>
        </is>
      </c>
      <c r="J5" s="7" t="inlineStr">
        <is>
          <t xml:space="preserve">Звонков всего,
шт</t>
        </is>
      </c>
      <c r="K5" s="7" t="inlineStr">
        <is>
          <t xml:space="preserve">Gaplashgan,
сум</t>
        </is>
      </c>
      <c r="L5" s="7" t="inlineStr">
        <is>
          <t xml:space="preserve">Gaplashgan,
шт</t>
        </is>
      </c>
      <c r="M5" s="7" t="s">
        <v>18</v>
      </c>
      <c r="N5" s="7" t="s">
        <v>19</v>
      </c>
      <c r="O5" s="7" t="inlineStr">
        <is>
          <t xml:space="preserve">Ko'tarmadi,
сум</t>
        </is>
      </c>
      <c r="P5" s="7" t="inlineStr">
        <is>
          <t xml:space="preserve">Ko'tarmadi,
шт</t>
        </is>
      </c>
      <c r="Q5" s="7" t="inlineStr">
        <is>
          <t xml:space="preserve">Объезд,
сум</t>
        </is>
      </c>
      <c r="R5" s="7" t="inlineStr">
        <is>
          <t xml:space="preserve">Объезд,
шт</t>
        </is>
      </c>
      <c r="S5" s="7" t="inlineStr">
        <is>
          <t xml:space="preserve">Оплатил дозвон,
сум</t>
        </is>
      </c>
      <c r="T5" s="7" t="inlineStr">
        <is>
          <t xml:space="preserve">Оплатил дозвон,
шт</t>
        </is>
      </c>
      <c r="U5" s="7" t="inlineStr">
        <is>
          <t xml:space="preserve">Объезд оплатил,
сум</t>
        </is>
      </c>
      <c r="V5" s="7" t="inlineStr">
        <is>
          <t xml:space="preserve">Объезд оплатил,
шт</t>
        </is>
      </c>
      <c r="W5" s="7" t="inlineStr">
        <is>
          <t xml:space="preserve">Оплачено общее,
сум</t>
        </is>
      </c>
      <c r="X5" s="7" t="inlineStr">
        <is>
          <t xml:space="preserve">Оплачено общее,
шт</t>
        </is>
      </c>
      <c r="Y5" s="7" t="s">
        <v>26</v>
      </c>
      <c r="Z5" s="7" t="s">
        <v>27</v>
      </c>
      <c r="AA5" s="7" t="s">
        <v>28</v>
      </c>
      <c r="AB5" s="8" t="s">
        <v>29</v>
      </c>
      <c r="AE5" s="9" t="s">
        <v>30</v>
      </c>
    </row>
    <row r="6" ht="18" customHeight="1" x14ac:dyDescent="0.25">
      <c r="A6" s="10">
        <v>1</v>
      </c>
      <c r="B6" s="11" t="s">
        <v>31</v>
      </c>
      <c r="C6" s="12" t="str">
        <f>IFERROR(INDEX(Справочники!$D$4:$D$21,MATCH($B6,Справочники!$B$4:$B$21,0)),"")</f>
      </c>
      <c r="D6" s="13">
        <f>SUMIF(Справочники!$H$4:$H$21,$B6,Справочники!$E$4:$E$21)</f>
      </c>
      <c r="E6" s="14">
        <v>21670183628.189999</v>
      </c>
      <c r="F6" s="13">
        <v>445</v>
      </c>
      <c r="G6" s="14">
        <v>0</v>
      </c>
      <c r="H6" s="13">
        <v>0</v>
      </c>
      <c r="I6" s="14">
        <v>0</v>
      </c>
      <c r="J6" s="13">
        <v>0</v>
      </c>
      <c r="K6" s="14">
        <v>0</v>
      </c>
      <c r="L6" s="13">
        <v>0</v>
      </c>
      <c r="M6" s="14">
        <v>0</v>
      </c>
      <c r="N6" s="13">
        <v>0</v>
      </c>
      <c r="O6" s="14" t="n">
        <v>0</v>
      </c>
      <c r="P6" s="13" t="n">
        <v>0</v>
      </c>
      <c r="Q6" s="14">
        <v>216997310.13</v>
      </c>
      <c r="R6" s="13">
        <v>32</v>
      </c>
      <c r="S6" s="14">
        <v>0</v>
      </c>
      <c r="T6" s="13">
        <v>0</v>
      </c>
      <c r="U6" s="14" t="n">
        <v>0</v>
      </c>
      <c r="V6" s="13" t="n">
        <v>0</v>
      </c>
      <c r="W6" s="16">
        <v>0</v>
      </c>
      <c r="X6" s="17">
        <v>0</v>
      </c>
      <c r="Y6" s="15">
        <f>IFERROR($L6/$H6,"")</f>
      </c>
      <c r="Z6" s="15" t="str">
        <f>IFERROR($N6/$L6,"")</f>
      </c>
      <c r="AA6" s="18" t="str">
        <f>IFERROR($H6/$D6,"")</f>
      </c>
      <c r="AB6" s="19" t="str">
        <f>IFERROR($L6/$D6,"")</f>
      </c>
      <c r="AE6" s="20">
        <f>IFERROR($Y6,0)+ROW()/1000000</f>
      </c>
    </row>
    <row r="7" ht="18" customHeight="1" x14ac:dyDescent="0.25">
      <c r="A7" s="10">
        <v>2</v>
      </c>
      <c r="B7" s="11" t="s">
        <v>32</v>
      </c>
      <c r="C7" s="12" t="str">
        <f>IFERROR(INDEX(Справочники!$D$4:$D$21,MATCH($B7,Справочники!$B$4:$B$21,0)),"")</f>
      </c>
      <c r="D7" s="13">
        <f>SUMIF(Справочники!$H$4:$H$21,$B7,Справочники!$E$4:$E$21)</f>
      </c>
      <c r="E7" s="14">
        <v>5123173370.1599998</v>
      </c>
      <c r="F7" s="13">
        <v>167</v>
      </c>
      <c r="G7" s="14">
        <v>0</v>
      </c>
      <c r="H7" s="13">
        <v>0</v>
      </c>
      <c r="I7" s="14">
        <v>0</v>
      </c>
      <c r="J7" s="13">
        <v>0</v>
      </c>
      <c r="K7" s="14">
        <v>0</v>
      </c>
      <c r="L7" s="13">
        <v>0</v>
      </c>
      <c r="M7" s="14">
        <v>0</v>
      </c>
      <c r="N7" s="13">
        <v>0</v>
      </c>
      <c r="O7" s="14" t="n">
        <v>0</v>
      </c>
      <c r="P7" s="13" t="n">
        <v>0</v>
      </c>
      <c r="Q7" s="14">
        <v>202669512.91</v>
      </c>
      <c r="R7" s="13">
        <v>18</v>
      </c>
      <c r="S7" s="14">
        <v>0</v>
      </c>
      <c r="T7" s="13">
        <v>0</v>
      </c>
      <c r="U7" s="14" t="n">
        <v>0</v>
      </c>
      <c r="V7" s="13" t="n">
        <v>0</v>
      </c>
      <c r="W7" s="16">
        <v>0</v>
      </c>
      <c r="X7" s="17">
        <v>0</v>
      </c>
      <c r="Y7" s="15">
        <f>IFERROR($L7/$H7,"")</f>
      </c>
      <c r="Z7" s="15" t="str">
        <f>IFERROR($N7/$L7,"")</f>
      </c>
      <c r="AA7" s="18" t="str">
        <f>IFERROR($H7/$D7,"")</f>
      </c>
      <c r="AB7" s="19" t="str">
        <f>IFERROR($L7/$D7,"")</f>
      </c>
      <c r="AE7" s="20">
        <f>IFERROR($Y7,0)+ROW()/1000000</f>
      </c>
    </row>
    <row r="8" ht="18" customHeight="1" x14ac:dyDescent="0.25">
      <c r="A8" s="10">
        <v>3</v>
      </c>
      <c r="B8" s="11" t="s">
        <v>33</v>
      </c>
      <c r="C8" s="12" t="str">
        <f>IFERROR(INDEX(Справочники!$D$4:$D$21,MATCH($B8,Справочники!$B$4:$B$21,0)),"")</f>
      </c>
      <c r="D8" s="13">
        <f>SUMIF(Справочники!$H$4:$H$21,$B8,Справочники!$E$4:$E$21)</f>
      </c>
      <c r="E8" s="14">
        <v>13904205190.280001</v>
      </c>
      <c r="F8" s="13">
        <v>493</v>
      </c>
      <c r="G8" s="14">
        <v>0</v>
      </c>
      <c r="H8" s="13">
        <v>0</v>
      </c>
      <c r="I8" s="14">
        <v>0</v>
      </c>
      <c r="J8" s="13">
        <v>0</v>
      </c>
      <c r="K8" s="14">
        <v>98595598.590000004</v>
      </c>
      <c r="L8" s="13">
        <v>20</v>
      </c>
      <c r="M8" s="14">
        <v>95111852.719999999</v>
      </c>
      <c r="N8" s="13">
        <v>19</v>
      </c>
      <c r="O8" s="14" t="n">
        <v>0</v>
      </c>
      <c r="P8" s="13" t="n">
        <v>0</v>
      </c>
      <c r="Q8" s="14">
        <v>151257200.83000001</v>
      </c>
      <c r="R8" s="13">
        <v>31</v>
      </c>
      <c r="S8" s="14">
        <v>0</v>
      </c>
      <c r="T8" s="13">
        <v>0</v>
      </c>
      <c r="U8" s="14" t="n">
        <v>0</v>
      </c>
      <c r="V8" s="13" t="n">
        <v>0</v>
      </c>
      <c r="W8" s="16">
        <v>0</v>
      </c>
      <c r="X8" s="17">
        <v>6</v>
      </c>
      <c r="Y8" s="15">
        <f>IFERROR($L8/$H8,"")</f>
      </c>
      <c r="Z8" s="15">
        <f>IFERROR($N8/$L8,"")</f>
      </c>
      <c r="AA8" s="18" t="str">
        <f>IFERROR($H8/$D8,"")</f>
      </c>
      <c r="AB8" s="19" t="str">
        <f>IFERROR($L8/$D8,"")</f>
      </c>
      <c r="AE8" s="20">
        <f>IFERROR($Y8,0)+ROW()/1000000</f>
      </c>
    </row>
    <row r="9" ht="18" customHeight="1" x14ac:dyDescent="0.25">
      <c r="A9" s="10">
        <v>4</v>
      </c>
      <c r="B9" s="11" t="s">
        <v>34</v>
      </c>
      <c r="C9" s="12" t="str">
        <f>IFERROR(INDEX(Справочники!$D$4:$D$21,MATCH($B9,Справочники!$B$4:$B$21,0)),"")</f>
      </c>
      <c r="D9" s="13">
        <f>SUMIF(Справочники!$H$4:$H$21,$B9,Справочники!$E$4:$E$21)</f>
      </c>
      <c r="E9" s="14">
        <v>12186568520.77</v>
      </c>
      <c r="F9" s="13">
        <v>418</v>
      </c>
      <c r="G9" s="14">
        <v>0</v>
      </c>
      <c r="H9" s="13">
        <v>0</v>
      </c>
      <c r="I9" s="14">
        <v>0</v>
      </c>
      <c r="J9" s="13">
        <v>0</v>
      </c>
      <c r="K9" s="14">
        <v>147353790.88</v>
      </c>
      <c r="L9" s="13">
        <v>29</v>
      </c>
      <c r="M9" s="14">
        <v>76778558</v>
      </c>
      <c r="N9" s="13">
        <v>18</v>
      </c>
      <c r="O9" s="14" t="n">
        <v>0</v>
      </c>
      <c r="P9" s="13" t="n">
        <v>0</v>
      </c>
      <c r="Q9" s="14">
        <v>58204169.240000002</v>
      </c>
      <c r="R9" s="13">
        <v>4</v>
      </c>
      <c r="S9" s="14">
        <v>0</v>
      </c>
      <c r="T9" s="13">
        <v>0</v>
      </c>
      <c r="U9" s="14" t="n">
        <v>0</v>
      </c>
      <c r="V9" s="13" t="n">
        <v>0</v>
      </c>
      <c r="W9" s="16">
        <v>0</v>
      </c>
      <c r="X9" s="17">
        <v>5</v>
      </c>
      <c r="Y9" s="15">
        <f>IFERROR($L9/$H9,"")</f>
      </c>
      <c r="Z9" s="15">
        <f>IFERROR($N9/$L9,"")</f>
      </c>
      <c r="AA9" s="18" t="str">
        <f>IFERROR($H9/$D9,"")</f>
      </c>
      <c r="AB9" s="19" t="str">
        <f>IFERROR($L9/$D9,"")</f>
      </c>
      <c r="AE9" s="20">
        <f>IFERROR($Y9,0)+ROW()/1000000</f>
      </c>
    </row>
    <row r="10" ht="18" customHeight="1" x14ac:dyDescent="0.25">
      <c r="A10" s="10">
        <v>5</v>
      </c>
      <c r="B10" s="11" t="s">
        <v>35</v>
      </c>
      <c r="C10" s="12" t="str">
        <f>IFERROR(INDEX(Справочники!$D$4:$D$21,MATCH($B10,Справочники!$B$4:$B$21,0)),"")</f>
      </c>
      <c r="D10" s="13">
        <f>SUMIF(Справочники!$H$4:$H$21,$B10,Справочники!$E$4:$E$21)</f>
      </c>
      <c r="E10" s="14">
        <v>11119544923.16</v>
      </c>
      <c r="F10" s="13">
        <v>269</v>
      </c>
      <c r="G10" s="14">
        <v>0</v>
      </c>
      <c r="H10" s="13">
        <v>0</v>
      </c>
      <c r="I10" s="14">
        <v>0</v>
      </c>
      <c r="J10" s="13">
        <v>0</v>
      </c>
      <c r="K10" s="14">
        <v>161024730.06</v>
      </c>
      <c r="L10" s="13">
        <v>20</v>
      </c>
      <c r="M10" s="14">
        <v>13359882.640000001</v>
      </c>
      <c r="N10" s="13">
        <v>4</v>
      </c>
      <c r="O10" s="14" t="n">
        <v>0</v>
      </c>
      <c r="P10" s="13" t="n">
        <v>0</v>
      </c>
      <c r="Q10" s="14">
        <v>98614854.400000006</v>
      </c>
      <c r="R10" s="13">
        <v>6</v>
      </c>
      <c r="S10" s="14">
        <v>0</v>
      </c>
      <c r="T10" s="13">
        <v>0</v>
      </c>
      <c r="U10" s="14" t="n">
        <v>0</v>
      </c>
      <c r="V10" s="13" t="n">
        <v>0</v>
      </c>
      <c r="W10" s="16">
        <v>0</v>
      </c>
      <c r="X10" s="17">
        <v>2</v>
      </c>
      <c r="Y10" s="15">
        <f>IFERROR($L10/$H10,"")</f>
      </c>
      <c r="Z10" s="15">
        <f>IFERROR($N10/$L10,"")</f>
      </c>
      <c r="AA10" s="18" t="str">
        <f>IFERROR($H10/$D10,"")</f>
      </c>
      <c r="AB10" s="19" t="str">
        <f>IFERROR($L10/$D10,"")</f>
      </c>
      <c r="AE10" s="20">
        <f>IFERROR($Y10,0)+ROW()/1000000</f>
      </c>
    </row>
    <row r="11" ht="18" customHeight="1" x14ac:dyDescent="0.25">
      <c r="A11" s="10">
        <v>6</v>
      </c>
      <c r="B11" s="11" t="s">
        <v>36</v>
      </c>
      <c r="C11" s="12" t="str">
        <f>IFERROR(INDEX(Справочники!$D$4:$D$21,MATCH($B11,Справочники!$B$4:$B$21,0)),"")</f>
      </c>
      <c r="D11" s="13">
        <f>SUMIF(Справочники!$H$4:$H$21,$B11,Справочники!$E$4:$E$21)</f>
      </c>
      <c r="E11" s="14">
        <v>6476844959.7000103</v>
      </c>
      <c r="F11" s="13">
        <v>209</v>
      </c>
      <c r="G11" s="14">
        <v>0</v>
      </c>
      <c r="H11" s="13">
        <v>0</v>
      </c>
      <c r="I11" s="14">
        <v>0</v>
      </c>
      <c r="J11" s="13">
        <v>0</v>
      </c>
      <c r="K11" s="14">
        <v>9768297.2400000002</v>
      </c>
      <c r="L11" s="13">
        <v>1</v>
      </c>
      <c r="M11" s="14">
        <v>9768297.2400000002</v>
      </c>
      <c r="N11" s="13">
        <v>1</v>
      </c>
      <c r="O11" s="14" t="n">
        <v>0</v>
      </c>
      <c r="P11" s="13" t="n">
        <v>0</v>
      </c>
      <c r="Q11" s="14">
        <v>97317049.870000005</v>
      </c>
      <c r="R11" s="13">
        <v>17</v>
      </c>
      <c r="S11" s="14">
        <v>0</v>
      </c>
      <c r="T11" s="13">
        <v>0</v>
      </c>
      <c r="U11" s="14" t="n">
        <v>0</v>
      </c>
      <c r="V11" s="13" t="n">
        <v>0</v>
      </c>
      <c r="W11" s="16">
        <v>0</v>
      </c>
      <c r="X11" s="17">
        <v>0</v>
      </c>
      <c r="Y11" s="15">
        <f>IFERROR($L11/$H11,"")</f>
      </c>
      <c r="Z11" s="15">
        <f>IFERROR($N11/$L11,"")</f>
      </c>
      <c r="AA11" s="18" t="str">
        <f>IFERROR($H11/$D11,"")</f>
      </c>
      <c r="AB11" s="19" t="str">
        <f>IFERROR($L11/$D11,"")</f>
      </c>
      <c r="AE11" s="20">
        <f>IFERROR($Y11,0)+ROW()/1000000</f>
      </c>
    </row>
    <row r="12" ht="18" customHeight="1" x14ac:dyDescent="0.25">
      <c r="A12" s="10">
        <v>7</v>
      </c>
      <c r="B12" s="11" t="s">
        <v>37</v>
      </c>
      <c r="C12" s="12" t="str">
        <f>IFERROR(INDEX(Справочники!$D$4:$D$21,MATCH($B12,Справочники!$B$4:$B$21,0)),"")</f>
      </c>
      <c r="D12" s="13">
        <f>SUMIF(Справочники!$H$4:$H$21,$B12,Справочники!$E$4:$E$21)</f>
      </c>
      <c r="E12" s="14">
        <v>14729615980.030001</v>
      </c>
      <c r="F12" s="13">
        <v>438</v>
      </c>
      <c r="G12" s="14">
        <v>0</v>
      </c>
      <c r="H12" s="13">
        <v>0</v>
      </c>
      <c r="I12" s="14">
        <v>0</v>
      </c>
      <c r="J12" s="13">
        <v>0</v>
      </c>
      <c r="K12" s="14">
        <v>458648201.79000002</v>
      </c>
      <c r="L12" s="13">
        <v>30</v>
      </c>
      <c r="M12" s="14">
        <v>458648201.79000002</v>
      </c>
      <c r="N12" s="13">
        <v>30</v>
      </c>
      <c r="O12" s="14" t="n">
        <v>0</v>
      </c>
      <c r="P12" s="13" t="n">
        <v>0</v>
      </c>
      <c r="Q12" s="14">
        <v>139350305.13999999</v>
      </c>
      <c r="R12" s="13">
        <v>32</v>
      </c>
      <c r="S12" s="14">
        <v>0</v>
      </c>
      <c r="T12" s="13">
        <v>0</v>
      </c>
      <c r="U12" s="14" t="n">
        <v>0</v>
      </c>
      <c r="V12" s="13" t="n">
        <v>0</v>
      </c>
      <c r="W12" s="16">
        <v>0</v>
      </c>
      <c r="X12" s="17">
        <v>5</v>
      </c>
      <c r="Y12" s="15">
        <f>IFERROR($L12/$H12,"")</f>
      </c>
      <c r="Z12" s="15">
        <f>IFERROR($N12/$L12,"")</f>
      </c>
      <c r="AA12" s="18" t="str">
        <f>IFERROR($H12/$D12,"")</f>
      </c>
      <c r="AB12" s="19" t="str">
        <f>IFERROR($L12/$D12,"")</f>
      </c>
      <c r="AE12" s="20">
        <f>IFERROR($Y12,0)+ROW()/1000000</f>
      </c>
    </row>
    <row r="13" ht="18" customHeight="1" x14ac:dyDescent="0.25">
      <c r="A13" s="10">
        <v>8</v>
      </c>
      <c r="B13" s="11" t="s">
        <v>38</v>
      </c>
      <c r="C13" s="12" t="str">
        <f>IFERROR(INDEX(Справочники!$D$4:$D$21,MATCH($B13,Справочники!$B$4:$B$21,0)),"")</f>
      </c>
      <c r="D13" s="13">
        <f>SUMIF(Справочники!$H$4:$H$21,$B13,Справочники!$E$4:$E$21)</f>
      </c>
      <c r="E13" s="14">
        <v>16007858956.77</v>
      </c>
      <c r="F13" s="13">
        <v>549</v>
      </c>
      <c r="G13" s="14">
        <v>0</v>
      </c>
      <c r="H13" s="13">
        <v>0</v>
      </c>
      <c r="I13" s="14">
        <v>0</v>
      </c>
      <c r="J13" s="13">
        <v>0</v>
      </c>
      <c r="K13" s="14">
        <v>38436085.840000004</v>
      </c>
      <c r="L13" s="13">
        <v>15</v>
      </c>
      <c r="M13" s="14">
        <v>38436085.840000004</v>
      </c>
      <c r="N13" s="13">
        <v>15</v>
      </c>
      <c r="O13" s="14" t="n">
        <v>0</v>
      </c>
      <c r="P13" s="13" t="n">
        <v>0</v>
      </c>
      <c r="Q13" s="14">
        <v>228776339.74000001</v>
      </c>
      <c r="R13" s="13">
        <v>46</v>
      </c>
      <c r="S13" s="14">
        <v>0</v>
      </c>
      <c r="T13" s="13">
        <v>0</v>
      </c>
      <c r="U13" s="14" t="n">
        <v>0</v>
      </c>
      <c r="V13" s="13" t="n">
        <v>0</v>
      </c>
      <c r="W13" s="16">
        <v>0</v>
      </c>
      <c r="X13" s="17">
        <v>1</v>
      </c>
      <c r="Y13" s="15">
        <f>IFERROR($L13/$H13,"")</f>
      </c>
      <c r="Z13" s="15">
        <f>IFERROR($N13/$L13,"")</f>
      </c>
      <c r="AA13" s="18" t="str">
        <f>IFERROR($H13/$D13,"")</f>
      </c>
      <c r="AB13" s="19" t="str">
        <f>IFERROR($L13/$D13,"")</f>
      </c>
      <c r="AE13" s="20">
        <f>IFERROR($Y13,0)+ROW()/1000000</f>
      </c>
    </row>
    <row r="14" ht="18" customHeight="1" x14ac:dyDescent="0.25">
      <c r="A14" s="10">
        <v>9</v>
      </c>
      <c r="B14" s="11" t="s">
        <v>39</v>
      </c>
      <c r="C14" s="12" t="str">
        <f>IFERROR(INDEX(Справочники!$D$4:$D$21,MATCH($B14,Справочники!$B$4:$B$21,0)),"")</f>
      </c>
      <c r="D14" s="13">
        <f>SUMIF(Справочники!$H$4:$H$21,$B14,Справочники!$E$4:$E$21)</f>
      </c>
      <c r="E14" s="14">
        <v>7189760534.1000004</v>
      </c>
      <c r="F14" s="13">
        <v>151</v>
      </c>
      <c r="G14" s="14">
        <v>0</v>
      </c>
      <c r="H14" s="13">
        <v>0</v>
      </c>
      <c r="I14" s="14">
        <v>0</v>
      </c>
      <c r="J14" s="13">
        <v>0</v>
      </c>
      <c r="K14" s="14">
        <v>45343085.590000004</v>
      </c>
      <c r="L14" s="13">
        <v>10</v>
      </c>
      <c r="M14" s="14">
        <v>6824473.1699999999</v>
      </c>
      <c r="N14" s="13">
        <v>1</v>
      </c>
      <c r="O14" s="14" t="n">
        <v>0</v>
      </c>
      <c r="P14" s="13" t="n">
        <v>0</v>
      </c>
      <c r="Q14" s="14">
        <v>52347364.600000001</v>
      </c>
      <c r="R14" s="13">
        <v>7</v>
      </c>
      <c r="S14" s="14">
        <v>0</v>
      </c>
      <c r="T14" s="13">
        <v>0</v>
      </c>
      <c r="U14" s="14" t="n">
        <v>0</v>
      </c>
      <c r="V14" s="13" t="n">
        <v>0</v>
      </c>
      <c r="W14" s="16">
        <v>0</v>
      </c>
      <c r="X14" s="17">
        <v>0</v>
      </c>
      <c r="Y14" s="15">
        <f>IFERROR($L14/$H14,"")</f>
      </c>
      <c r="Z14" s="15">
        <f>IFERROR($N14/$L14,"")</f>
      </c>
      <c r="AA14" s="18" t="str">
        <f>IFERROR($H14/$D14,"")</f>
      </c>
      <c r="AB14" s="19" t="str">
        <f>IFERROR($L14/$D14,"")</f>
      </c>
      <c r="AE14" s="20">
        <f>IFERROR($Y14,0)+ROW()/1000000</f>
      </c>
    </row>
    <row r="15" ht="18" customHeight="1" x14ac:dyDescent="0.25">
      <c r="A15" s="10">
        <v>10</v>
      </c>
      <c r="B15" s="11" t="s">
        <v>40</v>
      </c>
      <c r="C15" s="12" t="str">
        <f>IFERROR(INDEX(Справочники!$D$4:$D$21,MATCH($B15,Справочники!$B$4:$B$21,0)),"")</f>
      </c>
      <c r="D15" s="13">
        <f>SUMIF(Справочники!$H$4:$H$21,$B15,Справочники!$E$4:$E$21)</f>
      </c>
      <c r="E15" s="14">
        <v>16585229279.559999</v>
      </c>
      <c r="F15" s="13">
        <v>558</v>
      </c>
      <c r="G15" s="14">
        <v>0</v>
      </c>
      <c r="H15" s="13">
        <v>0</v>
      </c>
      <c r="I15" s="14">
        <v>0</v>
      </c>
      <c r="J15" s="13">
        <v>0</v>
      </c>
      <c r="K15" s="14">
        <v>129816911.17</v>
      </c>
      <c r="L15" s="13">
        <v>18</v>
      </c>
      <c r="M15" s="14">
        <v>2379524.4900000002</v>
      </c>
      <c r="N15" s="13">
        <v>2</v>
      </c>
      <c r="O15" s="14" t="n">
        <v>0</v>
      </c>
      <c r="P15" s="13" t="n">
        <v>0</v>
      </c>
      <c r="Q15" s="14">
        <v>953934183.02999997</v>
      </c>
      <c r="R15" s="13">
        <v>79</v>
      </c>
      <c r="S15" s="14">
        <v>3291590.6</v>
      </c>
      <c r="T15" s="13">
        <v>2</v>
      </c>
      <c r="U15" s="14" t="n">
        <v>0</v>
      </c>
      <c r="V15" s="13" t="n">
        <v>0</v>
      </c>
      <c r="W15" s="16">
        <v>0</v>
      </c>
      <c r="X15" s="17">
        <v>6</v>
      </c>
      <c r="Y15" s="15">
        <f>IFERROR($L15/$H15,"")</f>
      </c>
      <c r="Z15" s="15">
        <f>IFERROR($N15/$L15,"")</f>
      </c>
      <c r="AA15" s="18" t="str">
        <f>IFERROR($H15/$D15,"")</f>
      </c>
      <c r="AB15" s="19" t="str">
        <f>IFERROR($L15/$D15,"")</f>
      </c>
      <c r="AE15" s="20">
        <f>IFERROR($Y15,0)+ROW()/1000000</f>
      </c>
    </row>
    <row r="16" ht="18" customHeight="1" x14ac:dyDescent="0.25">
      <c r="A16" s="10">
        <v>11</v>
      </c>
      <c r="B16" s="11" t="s">
        <v>41</v>
      </c>
      <c r="C16" s="12" t="str">
        <f>IFERROR(INDEX(Справочники!$D$4:$D$21,MATCH($B16,Справочники!$B$4:$B$21,0)),"")</f>
      </c>
      <c r="D16" s="13">
        <f>SUMIF(Справочники!$H$4:$H$21,$B16,Справочники!$E$4:$E$21)</f>
      </c>
      <c r="E16" s="14">
        <v>36871386933.1101</v>
      </c>
      <c r="F16" s="13">
        <v>842</v>
      </c>
      <c r="G16" s="14">
        <v>0</v>
      </c>
      <c r="H16" s="13">
        <v>0</v>
      </c>
      <c r="I16" s="14">
        <v>0</v>
      </c>
      <c r="J16" s="13">
        <v>0</v>
      </c>
      <c r="K16" s="14">
        <v>0</v>
      </c>
      <c r="L16" s="13">
        <v>0</v>
      </c>
      <c r="M16" s="14">
        <v>0</v>
      </c>
      <c r="N16" s="13">
        <v>0</v>
      </c>
      <c r="O16" s="14" t="n">
        <v>0</v>
      </c>
      <c r="P16" s="13" t="n">
        <v>0</v>
      </c>
      <c r="Q16" s="14">
        <v>886986634.88</v>
      </c>
      <c r="R16" s="13">
        <v>93</v>
      </c>
      <c r="S16" s="14">
        <v>0</v>
      </c>
      <c r="T16" s="13">
        <v>0</v>
      </c>
      <c r="U16" s="14" t="n">
        <v>0</v>
      </c>
      <c r="V16" s="13" t="n">
        <v>0</v>
      </c>
      <c r="W16" s="16">
        <v>0</v>
      </c>
      <c r="X16" s="17">
        <v>0</v>
      </c>
      <c r="Y16" s="15">
        <f>IFERROR($L16/$H16,"")</f>
      </c>
      <c r="Z16" s="15" t="str">
        <f>IFERROR($N16/$L16,"")</f>
      </c>
      <c r="AA16" s="18" t="str">
        <f>IFERROR($H16/$D16,"")</f>
      </c>
      <c r="AB16" s="19" t="str">
        <f>IFERROR($L16/$D16,"")</f>
      </c>
      <c r="AE16" s="20">
        <f>IFERROR($Y16,0)+ROW()/1000000</f>
      </c>
    </row>
    <row r="17" ht="18" customHeight="1" x14ac:dyDescent="0.25">
      <c r="A17" s="10">
        <v>12</v>
      </c>
      <c r="B17" s="11" t="s">
        <v>42</v>
      </c>
      <c r="C17" s="12" t="str">
        <f>IFERROR(INDEX(Справочники!$D$4:$D$21,MATCH($B17,Справочники!$B$4:$B$21,0)),"")</f>
      </c>
      <c r="D17" s="13">
        <f>SUMIF(Справочники!$H$4:$H$21,$B17,Справочники!$E$4:$E$21)</f>
      </c>
      <c r="E17" s="14">
        <v>43531854598.510101</v>
      </c>
      <c r="F17" s="13">
        <v>908</v>
      </c>
      <c r="G17" s="14">
        <v>0</v>
      </c>
      <c r="H17" s="13">
        <v>0</v>
      </c>
      <c r="I17" s="14">
        <v>0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 t="n">
        <v>0</v>
      </c>
      <c r="P17" s="13" t="n">
        <v>0</v>
      </c>
      <c r="Q17" s="14">
        <v>1625726684.3</v>
      </c>
      <c r="R17" s="13">
        <v>115</v>
      </c>
      <c r="S17" s="14">
        <v>0</v>
      </c>
      <c r="T17" s="13">
        <v>0</v>
      </c>
      <c r="U17" s="14" t="n">
        <v>0</v>
      </c>
      <c r="V17" s="13" t="n">
        <v>0</v>
      </c>
      <c r="W17" s="16">
        <v>0</v>
      </c>
      <c r="X17" s="17">
        <v>0</v>
      </c>
      <c r="Y17" s="15">
        <f>IFERROR($L17/$H17,"")</f>
      </c>
      <c r="Z17" s="15" t="str">
        <f>IFERROR($N17/$L17,"")</f>
      </c>
      <c r="AA17" s="18" t="str">
        <f>IFERROR($H17/$D17,"")</f>
      </c>
      <c r="AB17" s="19" t="str">
        <f>IFERROR($L17/$D17,"")</f>
      </c>
      <c r="AE17" s="20">
        <f>IFERROR($Y17,0)+ROW()/1000000</f>
      </c>
    </row>
    <row r="18" ht="18" customHeight="1" x14ac:dyDescent="0.25">
      <c r="A18" s="10">
        <v>13</v>
      </c>
      <c r="B18" s="11" t="s">
        <v>43</v>
      </c>
      <c r="C18" s="12" t="str">
        <f>IFERROR(INDEX(Справочники!$D$4:$D$21,MATCH($B18,Справочники!$B$4:$B$21,0)),"")</f>
      </c>
      <c r="D18" s="13">
        <f>SUMIF(Справочники!$H$4:$H$21,$B18,Справочники!$E$4:$E$21)</f>
      </c>
      <c r="E18" s="14">
        <v>17403438751.5</v>
      </c>
      <c r="F18" s="13">
        <v>361</v>
      </c>
      <c r="G18" s="14">
        <v>0</v>
      </c>
      <c r="H18" s="13">
        <v>0</v>
      </c>
      <c r="I18" s="14">
        <v>0</v>
      </c>
      <c r="J18" s="13">
        <v>0</v>
      </c>
      <c r="K18" s="14">
        <v>0</v>
      </c>
      <c r="L18" s="13">
        <v>0</v>
      </c>
      <c r="M18" s="14">
        <v>0</v>
      </c>
      <c r="N18" s="13">
        <v>0</v>
      </c>
      <c r="O18" s="14" t="n">
        <v>0</v>
      </c>
      <c r="P18" s="13" t="n">
        <v>0</v>
      </c>
      <c r="Q18" s="14">
        <v>806811380</v>
      </c>
      <c r="R18" s="13">
        <v>53</v>
      </c>
      <c r="S18" s="14">
        <v>0</v>
      </c>
      <c r="T18" s="13">
        <v>0</v>
      </c>
      <c r="U18" s="14" t="n">
        <v>0</v>
      </c>
      <c r="V18" s="13" t="n">
        <v>0</v>
      </c>
      <c r="W18" s="16">
        <v>0</v>
      </c>
      <c r="X18" s="17">
        <v>0</v>
      </c>
      <c r="Y18" s="15">
        <f>IFERROR($L18/$H18,"")</f>
      </c>
      <c r="Z18" s="15" t="str">
        <f>IFERROR($N18/$L18,"")</f>
      </c>
      <c r="AA18" s="18" t="str">
        <f>IFERROR($H18/$D18,"")</f>
      </c>
      <c r="AB18" s="19" t="str">
        <f>IFERROR($L18/$D18,"")</f>
      </c>
      <c r="AE18" s="20">
        <f>IFERROR($Y18,0)+ROW()/1000000</f>
      </c>
    </row>
    <row r="19" ht="18" customHeight="1" x14ac:dyDescent="0.25">
      <c r="A19" s="10">
        <v>14</v>
      </c>
      <c r="B19" s="11" t="s">
        <v>44</v>
      </c>
      <c r="C19" s="12" t="str">
        <f>IFERROR(INDEX(Справочники!$D$4:$D$21,MATCH($B19,Справочники!$B$4:$B$21,0)),"")</f>
      </c>
      <c r="D19" s="13">
        <f>SUMIF(Справочники!$H$4:$H$21,$B19,Справочники!$E$4:$E$21)</f>
      </c>
      <c r="E19" s="14">
        <v>20499095940.689999</v>
      </c>
      <c r="F19" s="13">
        <v>504</v>
      </c>
      <c r="G19" s="14">
        <v>0</v>
      </c>
      <c r="H19" s="13">
        <v>0</v>
      </c>
      <c r="I19" s="14">
        <v>0</v>
      </c>
      <c r="J19" s="13">
        <v>0</v>
      </c>
      <c r="K19" s="14">
        <v>99260993.430000007</v>
      </c>
      <c r="L19" s="13">
        <v>23</v>
      </c>
      <c r="M19" s="14">
        <v>46979111.560000002</v>
      </c>
      <c r="N19" s="13">
        <v>6</v>
      </c>
      <c r="O19" s="14" t="n">
        <v>0</v>
      </c>
      <c r="P19" s="13" t="n">
        <v>0</v>
      </c>
      <c r="Q19" s="14">
        <v>194198863.61000001</v>
      </c>
      <c r="R19" s="13">
        <v>26</v>
      </c>
      <c r="S19" s="14">
        <v>0</v>
      </c>
      <c r="T19" s="13">
        <v>0</v>
      </c>
      <c r="U19" s="14" t="n">
        <v>0</v>
      </c>
      <c r="V19" s="13" t="n">
        <v>0</v>
      </c>
      <c r="W19" s="16">
        <v>0</v>
      </c>
      <c r="X19" s="17">
        <v>3</v>
      </c>
      <c r="Y19" s="15">
        <f>IFERROR($L19/$H19,"")</f>
      </c>
      <c r="Z19" s="15">
        <f>IFERROR($N19/$L19,"")</f>
      </c>
      <c r="AA19" s="18" t="str">
        <f>IFERROR($H19/$D19,"")</f>
      </c>
      <c r="AB19" s="19" t="str">
        <f>IFERROR($L19/$D19,"")</f>
      </c>
      <c r="AE19" s="20">
        <f>IFERROR($Y19,0)+ROW()/1000000</f>
      </c>
    </row>
    <row r="20" ht="21.75" customHeight="1" x14ac:dyDescent="0.25">
      <c r="A20" s="23"/>
      <c r="B20" s="69" t="s">
        <v>45</v>
      </c>
      <c r="C20" s="69"/>
      <c r="D20" s="24">
        <f>SUM(D6:D19)</f>
      </c>
      <c r="E20" s="25">
        <f>SUM(E6:E19)</f>
      </c>
      <c r="F20" s="24">
        <f>SUM(F6:F19)</f>
      </c>
      <c r="G20" s="25">
        <f>SUM(G6:G19)</f>
      </c>
      <c r="H20" s="24">
        <f>SUM(H6:H19)</f>
      </c>
      <c r="I20" s="25">
        <f>SUM(I6:I19)</f>
      </c>
      <c r="J20" s="24">
        <f>SUM(J6:J19)</f>
      </c>
      <c r="K20" s="25">
        <f>SUM(K6:K19)</f>
      </c>
      <c r="L20" s="24">
        <f>SUM(L6:L19)</f>
      </c>
      <c r="M20" s="25">
        <f>SUM(M6:M19)</f>
      </c>
      <c r="N20" s="24">
        <f>SUM(N6:N19)</f>
      </c>
      <c r="O20" s="25">
        <f>SUM(O6:O19)</f>
      </c>
      <c r="P20" s="24">
        <f>SUM(P6:P19)</f>
      </c>
      <c r="Q20" s="25">
        <f>SUM(Q6:Q19)</f>
      </c>
      <c r="R20" s="24">
        <f>SUM(R6:R19)</f>
      </c>
      <c r="S20" s="25">
        <f>SUM(S6:S19)</f>
      </c>
      <c r="T20" s="24">
        <f>SUM(T6:T19)</f>
      </c>
      <c r="U20" s="25">
        <f>SUM(U6:U19)</f>
      </c>
      <c r="V20" s="24">
        <f>SUM(V6:V19)</f>
      </c>
      <c r="W20" s="25">
        <f>SUM(W6:W19)</f>
      </c>
      <c r="X20" s="24">
        <f>SUM(X6:X19)</f>
      </c>
      <c r="Y20" s="26">
        <f>IFERROR($L20/$H20,"")</f>
      </c>
      <c r="Z20" s="26">
        <f>IFERROR($N20/$L20,"")</f>
      </c>
      <c r="AA20" s="27" t="str">
        <f>IFERROR($H20/$D20,"")</f>
      </c>
      <c r="AB20" s="28" t="str">
        <f>IFERROR($L20/$D20,"")</f>
      </c>
    </row>
    <row r="21" ht="22.5" customHeight="1" x14ac:dyDescent="0.25">
      <c r="G21" s="95" t="inlineStr">
        <is>
          <t xml:space="preserve">= все кредиты в просрочке</t>
        </is>
      </c>
      <c r="I21" s="95" t="inlineStr">
        <is>
          <t xml:space="preserve">= Gaplashgan + Ko'tarmadi (все, кому звонили)</t>
        </is>
      </c>
      <c r="K21" s="95" t="inlineStr">
        <is>
          <t xml:space="preserve">= все, кто взял трубку: Va'da berdi + To'ladi</t>
        </is>
      </c>
      <c r="W21" s="95" t="inlineStr">
        <is>
          <t xml:space="preserve">= Оплатил дозвон + Объезд оплатил</t>
        </is>
      </c>
    </row>
    <row r="26" ht="15" customHeight="1" x14ac:dyDescent="0.25">
      <c r="A26" s="29"/>
    </row>
  </sheetData>
  <autoFilter ref="A5:AE19" xr:uid="{00000000-0001-0000-0000-000000000000}"/>
  <mergeCells count="13">
    <mergeCell ref="I4:J4"/>
    <mergeCell ref="A1:H1"/>
    <mergeCell ref="A2:B2"/>
    <mergeCell ref="E2:F2"/>
    <mergeCell ref="L2:M2"/>
    <mergeCell ref="A3:AE3"/>
    <mergeCell ref="Y4:AB4"/>
    <mergeCell ref="B20:C20"/>
    <mergeCell ref="K4:N4"/>
    <mergeCell ref="O4:R4"/>
    <mergeCell ref="E4:F4"/>
    <mergeCell ref="G4:H4"/>
    <mergeCell ref="S4:X4"/>
  </mergeCells>
  <conditionalFormatting sqref="Y6:Y19">
    <cfRule type="colorScale" priority="3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AA6:AA1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1">
    <dataValidation type="decimal" operator="greaterThanOrEqual" allowBlank="1" errorTitle="Некорректное значение" error="Значение не может быть отрицательным" sqref="W6:X23" xr:uid="{00000000-0002-0000-0000-000000000000}">
      <formula1>0</formula1>
      <formula2>0</formula2>
    </dataValidation>
  </dataValidations>
  <pageMargins left="0.75" right="0.75" top="1" bottom="1" header="0.511811023622047" footer="0.511811023622047"/>
  <pageSetup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  <pageSetUpPr fitToPage="1"/>
  </sheetPr>
  <dimension ref="A1:I61"/>
  <sheetViews>
    <sheetView showGridLines="0" zoomScaleNormal="100" workbookViewId="0">
      <selection activeCell="E3" sqref="E3"/>
    </sheetView>
  </sheetViews>
  <sheetFormatPr defaultColWidth="8.7109375" defaultRowHeight="15" x14ac:dyDescent="0.25"/>
  <cols>
    <col min="1" max="1" width="22" style="1" customWidth="1"/>
    <col min="2" max="2" width="20" style="1" customWidth="1"/>
    <col min="3" max="3" width="9" style="1" customWidth="1"/>
    <col min="4" max="4" width="19" style="1" customWidth="1"/>
    <col min="5" max="5" width="20" style="1" customWidth="1"/>
    <col min="6" max="6" width="11" style="1" customWidth="1"/>
    <col min="7" max="7" width="12" style="1" customWidth="1"/>
    <col min="8" max="8" width="15" style="1" customWidth="1"/>
    <col min="9" max="9" width="18" style="1" customWidth="1"/>
  </cols>
  <sheetData>
    <row r="1" spans="1:9" ht="19.5" customHeight="1" x14ac:dyDescent="0.3">
      <c r="A1" s="86"/>
      <c r="B1" s="86"/>
      <c r="C1" s="86"/>
      <c r="D1" s="86"/>
      <c r="E1" s="86"/>
      <c r="F1" s="86"/>
      <c r="G1" s="86"/>
      <c r="H1" s="86"/>
      <c r="I1" s="86"/>
    </row>
    <row r="2" spans="1:9" ht="15" customHeight="1" x14ac:dyDescent="0.25">
      <c r="A2" s="87"/>
      <c r="B2" s="87"/>
      <c r="C2" s="87"/>
      <c r="D2" s="87"/>
      <c r="E2" s="87"/>
      <c r="F2" s="87"/>
      <c r="G2" s="87"/>
      <c r="H2" s="87"/>
      <c r="I2" s="87"/>
    </row>
    <row r="3" spans="1:9" ht="15" customHeight="1" x14ac:dyDescent="0.25">
      <c r="A3" s="30" t="s">
        <v>0</v>
      </c>
      <c r="C3" s="88">
        <f>Ввод!$C$2</f>
        <v>46272</v>
      </c>
      <c r="D3" s="88"/>
    </row>
    <row r="5" spans="1:9" ht="19.5" customHeight="1" x14ac:dyDescent="0.25"/>
    <row r="6" spans="1:9" ht="15" customHeight="1" x14ac:dyDescent="0.25">
      <c r="A6" s="85" t="s">
        <v>46</v>
      </c>
      <c r="B6" s="85"/>
      <c r="C6" s="85"/>
      <c r="D6" s="85"/>
      <c r="E6" s="85"/>
      <c r="F6" s="85"/>
      <c r="G6" s="85"/>
      <c r="H6" s="85"/>
      <c r="I6" s="85"/>
    </row>
    <row r="7" spans="1:9" ht="15" customHeight="1" x14ac:dyDescent="0.25">
      <c r="A7" s="83" t="s">
        <v>47</v>
      </c>
      <c r="B7" s="83"/>
      <c r="C7" s="83"/>
      <c r="D7" s="31">
        <f>Ввод!$E$20</f>
        <v>243298761566.53021</v>
      </c>
    </row>
    <row r="8" spans="1:9" ht="15" customHeight="1" x14ac:dyDescent="0.25">
      <c r="A8" s="83" t="s">
        <v>48</v>
      </c>
      <c r="B8" s="83"/>
      <c r="C8" s="83"/>
      <c r="D8" s="31">
        <f>Ввод!$G$20</f>
        <v>6901439547.2700005</v>
      </c>
    </row>
    <row r="9" spans="1:9" ht="15" customHeight="1" x14ac:dyDescent="0.25">
      <c r="A9" s="84" t="s">
        <v>49</v>
      </c>
      <c r="B9" s="84"/>
      <c r="C9" s="84"/>
      <c r="D9" s="32">
        <f>IFERROR(Ввод!$G$20/Ввод!$E$20,"")</f>
      </c>
    </row>
    <row r="10" spans="1:9" ht="15" customHeight="1" x14ac:dyDescent="0.25">
      <c r="A10" s="83" t="s">
        <v>50</v>
      </c>
      <c r="B10" s="83"/>
      <c r="C10" s="83"/>
      <c r="D10" s="31">
        <f>Ввод!$H$20</f>
        <v>725</v>
      </c>
    </row>
    <row r="11" spans="1:9" ht="15" customHeight="1" x14ac:dyDescent="0.25">
      <c r="A11" s="83" t="inlineStr">
        <is>
          <t xml:space="preserve">Звонков всего, шт</t>
        </is>
      </c>
      <c r="B11" s="83"/>
      <c r="C11" s="83"/>
      <c r="D11" s="31">
        <f>Ввод!$J$20</f>
      </c>
    </row>
    <row r="12" spans="1:9" ht="15" customHeight="1" x14ac:dyDescent="0.25">
      <c r="A12" s="83" t="inlineStr">
        <is>
          <t xml:space="preserve">Gaplashgan, шт</t>
        </is>
      </c>
      <c r="B12" s="83"/>
      <c r="C12" s="83"/>
      <c r="D12" s="31">
        <f>Ввод!$L$20</f>
      </c>
    </row>
    <row r="13" spans="1:9" ht="15" customHeight="1" x14ac:dyDescent="0.25">
      <c r="A13" s="84" t="inlineStr">
        <is>
          <t xml:space="preserve">% дозвона</t>
        </is>
      </c>
      <c r="B13" s="84"/>
      <c r="C13" s="84"/>
      <c r="D13" s="32">
        <f>Ввод!$Y$20</f>
      </c>
    </row>
    <row r="14" spans="1:9" ht="15" customHeight="1" x14ac:dyDescent="0.25">
      <c r="A14" s="83" t="inlineStr">
        <is>
          <t xml:space="preserve">Обещали оплату, шт</t>
        </is>
      </c>
      <c r="B14" s="83"/>
      <c r="C14" s="83"/>
      <c r="D14" s="31">
        <f>Ввод!$N$20</f>
      </c>
    </row>
    <row r="15" spans="1:9" ht="15" customHeight="1" x14ac:dyDescent="0.25">
      <c r="A15" s="83" t="inlineStr">
        <is>
          <t xml:space="preserve">Не взяли трубку (Ko'tarmadi), шт</t>
        </is>
      </c>
      <c r="B15" s="83"/>
      <c r="C15" s="83"/>
      <c r="D15" s="31">
        <f>Ввод!$P$20</f>
      </c>
    </row>
    <row r="16" spans="1:9" ht="15" customHeight="1" x14ac:dyDescent="0.25">
      <c r="A16" s="83" t="inlineStr">
        <is>
          <t xml:space="preserve">Объезд, шт</t>
        </is>
      </c>
      <c r="B16" s="83"/>
      <c r="C16" s="83"/>
      <c r="D16" s="31">
        <f>Ввод!$R$20</f>
      </c>
    </row>
    <row r="17" spans="1:9" ht="15" customHeight="1" x14ac:dyDescent="0.25">
      <c r="A17" s="83" t="inlineStr">
        <is>
          <t xml:space="preserve">Не тронуты (Ishlanmagan), шт</t>
        </is>
      </c>
      <c r="B17" s="83"/>
      <c r="C17" s="83"/>
      <c r="D17" s="31">
        <f>Ввод!$H$20-Ввод!$L$20-Ввод!$P$20-Ввод!$R$20</f>
      </c>
    </row>
    <row r="18" spans="1:9" ht="15" customHeight="1" x14ac:dyDescent="0.25">
      <c r="A18" s="84" t="inlineStr">
        <is>
          <t xml:space="preserve">Оплачено общее (дозвон + объезд), сум</t>
        </is>
      </c>
      <c r="B18" s="84"/>
      <c r="C18" s="84"/>
      <c r="D18" s="31">
        <f>Ввод!$W$20</f>
      </c>
    </row>
    <row r="19" spans="1:9" ht="15" customHeight="1" x14ac:dyDescent="0.25">
      <c r="A19" s="85" t="s">
        <v>57</v>
      </c>
      <c r="B19" s="85"/>
      <c r="C19" s="85"/>
      <c r="D19" s="85"/>
      <c r="E19" s="85"/>
      <c r="F19" s="85"/>
      <c r="G19" s="85"/>
      <c r="H19" s="85"/>
      <c r="I19" s="85"/>
    </row>
    <row r="20" spans="1:9" ht="15" customHeight="1" x14ac:dyDescent="0.25"/>
    <row r="21" spans="1:9" ht="21.75" customHeight="1" x14ac:dyDescent="0.25">
      <c r="A21" s="7" t="s">
        <v>7</v>
      </c>
      <c r="B21" s="7" t="s">
        <v>8</v>
      </c>
      <c r="C21" s="7" t="s">
        <v>9</v>
      </c>
      <c r="D21" s="7" t="s">
        <v>52</v>
      </c>
      <c r="E21" s="7" t="s">
        <v>28</v>
      </c>
      <c r="F21" s="7" t="s">
        <v>58</v>
      </c>
      <c r="G21" s="7" t="s">
        <v>59</v>
      </c>
    </row>
    <row r="22" spans="1:9" ht="21.75" customHeight="1" x14ac:dyDescent="0.25">
      <c r="A22" s="33" t="str">
        <f>Ввод!$B$6</f>
        <v>АНДИЖОН ВИЛОЯТИ</v>
      </c>
      <c r="B22" s="33" t="str">
        <f>Ввод!$C$6</f>
        <v/>
      </c>
      <c r="C22" s="34">
        <f>Ввод!$D$6</f>
        <v>0</v>
      </c>
      <c r="D22" s="35">
        <f>IFERROR(Ввод!$Y$6,0)</f>
        <v>0</v>
      </c>
      <c r="E22" s="36" t="str">
        <f>IFERROR(Ввод!$AA$6,0)</f>
        <v/>
      </c>
      <c r="F22" s="37">
        <f>Ввод!$W$6</f>
        <v>0</v>
      </c>
      <c r="G22" s="38" t="str">
        <f>IF(Ввод!$H$6=0,"Нет данных",IF($D22&gt;=0.8,"Отлично",IF($D22&gt;=0.5,"Хорошо","Требует внимания")))</f>
        <v>Требует внимания</v>
      </c>
    </row>
    <row r="23" spans="1:9" ht="21.75" customHeight="1" x14ac:dyDescent="0.25">
      <c r="A23" s="33" t="str">
        <f>Ввод!$B$7</f>
        <v>БУХОРО ВИЛОЯТИ</v>
      </c>
      <c r="B23" s="33" t="str">
        <f>Ввод!$C$7</f>
        <v/>
      </c>
      <c r="C23" s="34">
        <f>Ввод!$D$7</f>
        <v>0</v>
      </c>
      <c r="D23" s="35">
        <f>IFERROR(Ввод!$Y$7,0)</f>
        <v>0</v>
      </c>
      <c r="E23" s="36" t="str">
        <f>IFERROR(Ввод!$AA$7,0)</f>
        <v/>
      </c>
      <c r="F23" s="37">
        <f>Ввод!$W$7</f>
        <v>0</v>
      </c>
      <c r="G23" s="38" t="str">
        <f>IF(Ввод!$H$7=0,"Нет данных",IF($D23&gt;=0.8,"Отлично",IF($D23&gt;=0.5,"Хорошо","Требует внимания")))</f>
        <v>Требует внимания</v>
      </c>
    </row>
    <row r="24" spans="1:9" ht="21.75" customHeight="1" x14ac:dyDescent="0.25">
      <c r="A24" s="33" t="str">
        <f>Ввод!$B$8</f>
        <v>ЖИЗЗАХ ВИЛОЯТИ</v>
      </c>
      <c r="B24" s="33" t="str">
        <f>Ввод!$C$8</f>
        <v/>
      </c>
      <c r="C24" s="34">
        <f>Ввод!$D$8</f>
        <v>0</v>
      </c>
      <c r="D24" s="35">
        <f>IFERROR(Ввод!$Y$8,0)</f>
        <v>0.39215686274509803</v>
      </c>
      <c r="E24" s="36" t="str">
        <f>IFERROR(Ввод!$AA$8,0)</f>
        <v/>
      </c>
      <c r="F24" s="37">
        <f>Ввод!$W$8</f>
        <v>0</v>
      </c>
      <c r="G24" s="38" t="str">
        <f>IF(Ввод!$H$8=0,"Нет данных",IF($D24&gt;=0.8,"Отлично",IF($D24&gt;=0.5,"Хорошо","Требует внимания")))</f>
        <v>Требует внимания</v>
      </c>
    </row>
    <row r="25" spans="1:9" ht="21.75" customHeight="1" x14ac:dyDescent="0.25">
      <c r="A25" s="33" t="str">
        <f>Ввод!$B$9</f>
        <v>КАШКАДАРЁ ВИЛОЯТИ</v>
      </c>
      <c r="B25" s="33" t="str">
        <f>Ввод!$C$9</f>
        <v/>
      </c>
      <c r="C25" s="34">
        <f>Ввод!$D$9</f>
        <v>0</v>
      </c>
      <c r="D25" s="35">
        <f>IFERROR(Ввод!$Y$9,0)</f>
        <v>0.87878787878787878</v>
      </c>
      <c r="E25" s="36" t="str">
        <f>IFERROR(Ввод!$AA$9,0)</f>
        <v/>
      </c>
      <c r="F25" s="37">
        <f>Ввод!$W$9</f>
        <v>0</v>
      </c>
      <c r="G25" s="38" t="str">
        <f>IF(Ввод!$H$9=0,"Нет данных",IF($D25&gt;=0.8,"Отлично",IF($D25&gt;=0.5,"Хорошо","Требует внимания")))</f>
        <v>Отлично</v>
      </c>
    </row>
    <row r="26" spans="1:9" ht="21.75" customHeight="1" x14ac:dyDescent="0.25">
      <c r="A26" s="33" t="str">
        <f>Ввод!$B$10</f>
        <v>КОРАКАЛПОГИСТОН РЕСПУБЛИКАСИ</v>
      </c>
      <c r="B26" s="33" t="str">
        <f>Ввод!$C$10</f>
        <v/>
      </c>
      <c r="C26" s="34">
        <f>Ввод!$D$10</f>
        <v>0</v>
      </c>
      <c r="D26" s="35">
        <f>IFERROR(Ввод!$Y$10,0)</f>
        <v>0.76923076923076927</v>
      </c>
      <c r="E26" s="36" t="str">
        <f>IFERROR(Ввод!$AA$10,0)</f>
        <v/>
      </c>
      <c r="F26" s="37">
        <f>Ввод!$W$10</f>
        <v>0</v>
      </c>
      <c r="G26" s="38" t="str">
        <f>IF(Ввод!$H$10=0,"Нет данных",IF($D26&gt;=0.8,"Отлично",IF($D26&gt;=0.5,"Хорошо","Требует внимания")))</f>
        <v>Хорошо</v>
      </c>
    </row>
    <row r="27" spans="1:9" ht="21.75" customHeight="1" x14ac:dyDescent="0.25">
      <c r="A27" s="33" t="str">
        <f>Ввод!$B$11</f>
        <v>НАВОИЙ ВИЛОЯТИ</v>
      </c>
      <c r="B27" s="33" t="str">
        <f>Ввод!$C$11</f>
        <v/>
      </c>
      <c r="C27" s="34">
        <f>Ввод!$D$11</f>
        <v>0</v>
      </c>
      <c r="D27" s="35">
        <f>IFERROR(Ввод!$Y$11,0)</f>
        <v>5.5555555555555552E-2</v>
      </c>
      <c r="E27" s="36" t="str">
        <f>IFERROR(Ввод!$AA$11,0)</f>
        <v/>
      </c>
      <c r="F27" s="37">
        <f>Ввод!$W$11</f>
        <v>0</v>
      </c>
      <c r="G27" s="38" t="str">
        <f>IF(Ввод!$H$11=0,"Нет данных",IF($D27&gt;=0.8,"Отлично",IF($D27&gt;=0.5,"Хорошо","Требует внимания")))</f>
        <v>Требует внимания</v>
      </c>
    </row>
    <row r="28" spans="1:9" ht="21.75" customHeight="1" x14ac:dyDescent="0.25">
      <c r="A28" s="33" t="str">
        <f>Ввод!$B$12</f>
        <v>НАМАНГАН ВИЛОЯТИ</v>
      </c>
      <c r="B28" s="33" t="str">
        <f>Ввод!$C$12</f>
        <v/>
      </c>
      <c r="C28" s="34">
        <f>Ввод!$D$12</f>
        <v>0</v>
      </c>
      <c r="D28" s="35">
        <f>IFERROR(Ввод!$Y$12,0)</f>
        <v>0.4838709677419355</v>
      </c>
      <c r="E28" s="36" t="str">
        <f>IFERROR(Ввод!$AA$12,0)</f>
        <v/>
      </c>
      <c r="F28" s="37">
        <f>Ввод!$W$12</f>
        <v>0</v>
      </c>
      <c r="G28" s="38" t="str">
        <f>IF(Ввод!$H$12=0,"Нет данных",IF($D28&gt;=0.8,"Отлично",IF($D28&gt;=0.5,"Хорошо","Требует внимания")))</f>
        <v>Требует внимания</v>
      </c>
    </row>
    <row r="29" spans="1:9" ht="21.75" customHeight="1" x14ac:dyDescent="0.25">
      <c r="A29" s="33" t="str">
        <f>Ввод!$B$13</f>
        <v>САМАРКАНД ВИЛОЯТИ</v>
      </c>
      <c r="B29" s="33" t="str">
        <f>Ввод!$C$13</f>
        <v/>
      </c>
      <c r="C29" s="34">
        <f>Ввод!$D$13</f>
        <v>0</v>
      </c>
      <c r="D29" s="35">
        <f>IFERROR(Ввод!$Y$13,0)</f>
        <v>0.24590163934426229</v>
      </c>
      <c r="E29" s="36" t="str">
        <f>IFERROR(Ввод!$AA$13,0)</f>
        <v/>
      </c>
      <c r="F29" s="37">
        <f>Ввод!$W$13</f>
        <v>0</v>
      </c>
      <c r="G29" s="38" t="str">
        <f>IF(Ввод!$H$13=0,"Нет данных",IF($D29&gt;=0.8,"Отлично",IF($D29&gt;=0.5,"Хорошо","Требует внимания")))</f>
        <v>Требует внимания</v>
      </c>
    </row>
    <row r="30" spans="1:9" ht="21.75" customHeight="1" x14ac:dyDescent="0.25">
      <c r="A30" s="33" t="str">
        <f>Ввод!$B$14</f>
        <v>СИРДАРЁ ВИЛОЯТИ</v>
      </c>
      <c r="B30" s="33" t="str">
        <f>Ввод!$C$14</f>
        <v/>
      </c>
      <c r="C30" s="34">
        <f>Ввод!$D$14</f>
        <v>0</v>
      </c>
      <c r="D30" s="35">
        <f>IFERROR(Ввод!$Y$14,0)</f>
        <v>0.58823529411764708</v>
      </c>
      <c r="E30" s="36" t="str">
        <f>IFERROR(Ввод!$AA$14,0)</f>
        <v/>
      </c>
      <c r="F30" s="37">
        <f>Ввод!$W$14</f>
        <v>0</v>
      </c>
      <c r="G30" s="38" t="str">
        <f>IF(Ввод!$H$14=0,"Нет данных",IF($D30&gt;=0.8,"Отлично",IF($D30&gt;=0.5,"Хорошо","Требует внимания")))</f>
        <v>Хорошо</v>
      </c>
    </row>
    <row r="31" spans="1:9" ht="21.75" customHeight="1" x14ac:dyDescent="0.25">
      <c r="A31" s="33" t="str">
        <f>Ввод!$B$15</f>
        <v>СУРХОНДАРЁ ВИЛОЯТИ</v>
      </c>
      <c r="B31" s="33" t="str">
        <f>Ввод!$C$15</f>
        <v/>
      </c>
      <c r="C31" s="34">
        <f>Ввод!$D$15</f>
        <v>0</v>
      </c>
      <c r="D31" s="35">
        <f>IFERROR(Ввод!$Y$15,0)</f>
        <v>0.18556701030927836</v>
      </c>
      <c r="E31" s="36" t="str">
        <f>IFERROR(Ввод!$AA$15,0)</f>
        <v/>
      </c>
      <c r="F31" s="37">
        <f>Ввод!$W$15</f>
        <v>0</v>
      </c>
      <c r="G31" s="38" t="str">
        <f>IF(Ввод!$H$15=0,"Нет данных",IF($D31&gt;=0.8,"Отлично",IF($D31&gt;=0.5,"Хорошо","Требует внимания")))</f>
        <v>Требует внимания</v>
      </c>
    </row>
    <row r="32" spans="1:9" ht="21.75" customHeight="1" x14ac:dyDescent="0.25">
      <c r="A32" s="33" t="str">
        <f>Ввод!$B$16</f>
        <v>ТОШКЕНТ ВИЛОЯТИ</v>
      </c>
      <c r="B32" s="33" t="str">
        <f>Ввод!$C$16</f>
        <v/>
      </c>
      <c r="C32" s="34">
        <f>Ввод!$D$16</f>
        <v>0</v>
      </c>
      <c r="D32" s="35">
        <f>IFERROR(Ввод!$Y$16,0)</f>
        <v>0</v>
      </c>
      <c r="E32" s="36" t="str">
        <f>IFERROR(Ввод!$AA$16,0)</f>
        <v/>
      </c>
      <c r="F32" s="37">
        <f>Ввод!$W$16</f>
        <v>0</v>
      </c>
      <c r="G32" s="38" t="str">
        <f>IF(Ввод!$H$16=0,"Нет данных",IF($D32&gt;=0.8,"Отлично",IF($D32&gt;=0.5,"Хорошо","Требует внимания")))</f>
        <v>Требует внимания</v>
      </c>
    </row>
    <row r="33" spans="1:9" ht="21.75" customHeight="1" x14ac:dyDescent="0.25">
      <c r="A33" s="33" t="str">
        <f>Ввод!$B$17</f>
        <v>ТОШКЕНТ ШАХРИ</v>
      </c>
      <c r="B33" s="33" t="str">
        <f>Ввод!$C$17</f>
        <v/>
      </c>
      <c r="C33" s="34">
        <f>Ввод!$D$17</f>
        <v>0</v>
      </c>
      <c r="D33" s="35">
        <f>IFERROR(Ввод!$Y$17,0)</f>
        <v>0</v>
      </c>
      <c r="E33" s="36" t="str">
        <f>IFERROR(Ввод!$AA$17,0)</f>
        <v/>
      </c>
      <c r="F33" s="37">
        <f>Ввод!$W$17</f>
        <v>0</v>
      </c>
      <c r="G33" s="38" t="str">
        <f>IF(Ввод!$H$17=0,"Нет данных",IF($D33&gt;=0.8,"Отлично",IF($D33&gt;=0.5,"Хорошо","Требует внимания")))</f>
        <v>Требует внимания</v>
      </c>
    </row>
    <row r="34" spans="1:9" ht="21.75" customHeight="1" x14ac:dyDescent="0.25">
      <c r="A34" s="33" t="str">
        <f>Ввод!$B$18</f>
        <v>ФАРГОНА ВИЛОЯТИ</v>
      </c>
      <c r="B34" s="33" t="str">
        <f>Ввод!$C$18</f>
        <v/>
      </c>
      <c r="C34" s="34">
        <f>Ввод!$D$18</f>
        <v>0</v>
      </c>
      <c r="D34" s="35">
        <f>IFERROR(Ввод!$Y$18,0)</f>
        <v>0</v>
      </c>
      <c r="E34" s="36" t="str">
        <f>IFERROR(Ввод!$AA$18,0)</f>
        <v/>
      </c>
      <c r="F34" s="37">
        <f>Ввод!$W$18</f>
        <v>0</v>
      </c>
      <c r="G34" s="38" t="str">
        <f>IF(Ввод!$H$18=0,"Нет данных",IF($D34&gt;=0.8,"Отлично",IF($D34&gt;=0.5,"Хорошо","Требует внимания")))</f>
        <v>Требует внимания</v>
      </c>
    </row>
    <row r="35" spans="1:9" ht="21.75" customHeight="1" x14ac:dyDescent="0.25">
      <c r="A35" s="33" t="str">
        <f>Ввод!$B$19</f>
        <v>ХОРАЗМ ВИЛОЯТИ</v>
      </c>
      <c r="B35" s="33" t="str">
        <f>Ввод!$C$19</f>
        <v/>
      </c>
      <c r="C35" s="34">
        <f>Ввод!$D$19</f>
        <v>0</v>
      </c>
      <c r="D35" s="35">
        <f>IFERROR(Ввод!$Y$19,0)</f>
        <v>0.46938775510204084</v>
      </c>
      <c r="E35" s="36" t="str">
        <f>IFERROR(Ввод!$AA$19,0)</f>
        <v/>
      </c>
      <c r="F35" s="37">
        <f>Ввод!$W$19</f>
        <v>0</v>
      </c>
      <c r="G35" s="38" t="str">
        <f>IF(Ввод!$H$19=0,"Нет данных",IF($D35&gt;=0.8,"Отлично",IF($D35&gt;=0.5,"Хорошо","Требует внимания")))</f>
        <v>Требует внимания</v>
      </c>
    </row>
    <row r="36" spans="1:9" ht="21.75" customHeight="1" x14ac:dyDescent="0.25">
      <c r="A36" s="33"/>
      <c r="B36" s="33"/>
      <c r="C36" s="34"/>
      <c r="D36" s="35"/>
      <c r="E36" s="36"/>
      <c r="F36" s="37"/>
      <c r="G36" s="38"/>
    </row>
    <row r="37" spans="1:9" ht="21.75" customHeight="1" x14ac:dyDescent="0.25">
      <c r="A37" s="33"/>
      <c r="B37" s="33"/>
      <c r="C37" s="34"/>
      <c r="D37" s="35"/>
      <c r="E37" s="36"/>
      <c r="F37" s="37"/>
      <c r="G37" s="38"/>
    </row>
    <row r="38" spans="1:9" ht="21.75" customHeight="1" x14ac:dyDescent="0.25">
      <c r="A38" s="33"/>
      <c r="B38" s="33"/>
      <c r="C38" s="34"/>
      <c r="D38" s="35"/>
      <c r="E38" s="36"/>
      <c r="F38" s="37"/>
      <c r="G38" s="38"/>
    </row>
    <row r="39" spans="1:9" ht="21.75" customHeight="1" x14ac:dyDescent="0.25">
      <c r="A39" s="33"/>
      <c r="B39" s="33"/>
      <c r="C39" s="34"/>
      <c r="D39" s="35"/>
      <c r="E39" s="36"/>
      <c r="F39" s="37"/>
      <c r="G39" s="38"/>
    </row>
    <row r="40" spans="1:9" ht="15" customHeight="1" x14ac:dyDescent="0.25"/>
    <row r="41" spans="1:9" ht="15" customHeight="1" x14ac:dyDescent="0.25">
      <c r="A41" s="81" t="s">
        <v>60</v>
      </c>
      <c r="B41" s="81"/>
      <c r="C41" s="81"/>
      <c r="D41" s="81"/>
      <c r="E41" s="81"/>
      <c r="F41" s="81"/>
      <c r="G41" s="81"/>
      <c r="H41" s="81"/>
      <c r="I41" s="81"/>
    </row>
    <row r="42" spans="1:9" ht="15" customHeight="1" x14ac:dyDescent="0.25">
      <c r="A42" s="82" t="s">
        <v>61</v>
      </c>
      <c r="B42" s="82"/>
      <c r="C42" s="82" t="s">
        <v>52</v>
      </c>
      <c r="D42" s="82"/>
      <c r="E42" s="82" t="s">
        <v>62</v>
      </c>
      <c r="F42" s="82"/>
      <c r="G42" s="82"/>
      <c r="H42" s="82" t="s">
        <v>52</v>
      </c>
      <c r="I42" s="82"/>
    </row>
    <row r="43" spans="1:9" ht="15" customHeight="1" x14ac:dyDescent="0.25">
      <c r="A43" s="77" t="str">
        <f>IFERROR(INDEX(Ввод!$B$6:$B$19,MATCH(LARGE(Ввод!$AE$6:$AE$19,1),Ввод!$AE$6:$AE$19,0)),"")</f>
        <v>КАШКАДАРЁ ВИЛОЯТИ</v>
      </c>
      <c r="B43" s="77"/>
      <c r="C43" s="78">
        <f>IFERROR(INDEX(Ввод!$Y$6:$Y$19,MATCH(LARGE(Ввод!$AE$6:$AE$19,1),Ввод!$AE$6:$AE$19,0)),"")</f>
        <v>0.87878787878787878</v>
      </c>
      <c r="D43" s="78"/>
      <c r="E43" s="79" t="str">
        <f>IFERROR(INDEX(Ввод!$B$6:$B$19,MATCH(SMALL(Ввод!$AE$6:$AE$19,1),Ввод!$AE$6:$AE$19,0)),"")</f>
        <v>АНДИЖОН ВИЛОЯТИ</v>
      </c>
      <c r="F43" s="79"/>
      <c r="G43" s="79"/>
      <c r="H43" s="80">
        <f>IFERROR(INDEX(Ввод!$Y$6:$Y$19,MATCH(SMALL(Ввод!$AE$6:$AE$19,1),Ввод!$AE$6:$AE$19,0)),"")</f>
        <v>0</v>
      </c>
      <c r="I43" s="80"/>
    </row>
    <row r="44" spans="1:9" ht="15" customHeight="1" x14ac:dyDescent="0.25">
      <c r="A44" s="77" t="str">
        <f>IFERROR(INDEX(Ввод!$B$6:$B$19,MATCH(LARGE(Ввод!$AE$6:$AE$19,2),Ввод!$AE$6:$AE$19,0)),"")</f>
        <v>КОРАКАЛПОГИСТОН РЕСПУБЛИКАСИ</v>
      </c>
      <c r="B44" s="77"/>
      <c r="C44" s="78">
        <f>IFERROR(INDEX(Ввод!$Y$6:$Y$19,MATCH(LARGE(Ввод!$AE$6:$AE$19,2),Ввод!$AE$6:$AE$19,0)),"")</f>
        <v>0.76923076923076927</v>
      </c>
      <c r="D44" s="78"/>
      <c r="E44" s="79" t="str">
        <f>IFERROR(INDEX(Ввод!$B$6:$B$19,MATCH(SMALL(Ввод!$AE$6:$AE$19,2),Ввод!$AE$6:$AE$19,0)),"")</f>
        <v>БУХОРО ВИЛОЯТИ</v>
      </c>
      <c r="F44" s="79"/>
      <c r="G44" s="79"/>
      <c r="H44" s="80">
        <f>IFERROR(INDEX(Ввод!$Y$6:$Y$19,MATCH(SMALL(Ввод!$AE$6:$AE$19,2),Ввод!$AE$6:$AE$19,0)),"")</f>
        <v>0</v>
      </c>
      <c r="I44" s="80"/>
    </row>
    <row r="45" spans="1:9" ht="15" customHeight="1" x14ac:dyDescent="0.25">
      <c r="A45" s="77" t="str">
        <f>IFERROR(INDEX(Ввод!$B$6:$B$19,MATCH(LARGE(Ввод!$AE$6:$AE$19,3),Ввод!$AE$6:$AE$19,0)),"")</f>
        <v>СИРДАРЁ ВИЛОЯТИ</v>
      </c>
      <c r="B45" s="77"/>
      <c r="C45" s="78">
        <f>IFERROR(INDEX(Ввод!$Y$6:$Y$19,MATCH(LARGE(Ввод!$AE$6:$AE$19,3),Ввод!$AE$6:$AE$19,0)),"")</f>
        <v>0.58823529411764708</v>
      </c>
      <c r="D45" s="78"/>
      <c r="E45" s="79" t="str">
        <f>IFERROR(INDEX(Ввод!$B$6:$B$19,MATCH(SMALL(Ввод!$AE$6:$AE$19,3),Ввод!$AE$6:$AE$19,0)),"")</f>
        <v>ТОШКЕНТ ВИЛОЯТИ</v>
      </c>
      <c r="F45" s="79"/>
      <c r="G45" s="79"/>
      <c r="H45" s="80">
        <f>IFERROR(INDEX(Ввод!$Y$6:$Y$19,MATCH(SMALL(Ввод!$AE$6:$AE$19,3),Ввод!$AE$6:$AE$19,0)),"")</f>
        <v>0</v>
      </c>
      <c r="I45" s="80"/>
    </row>
    <row r="46" spans="1:9" ht="15" customHeight="1" x14ac:dyDescent="0.25"/>
    <row r="47" spans="1:9" ht="15" customHeight="1" x14ac:dyDescent="0.25"/>
    <row r="48" spans="1:9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7" ht="19.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</sheetData>
  <mergeCells count="34">
    <mergeCell ref="A18:C18"/>
    <mergeCell ref="A17:C17"/>
    <mergeCell ref="A1:I1"/>
    <mergeCell ref="A2:I2"/>
    <mergeCell ref="C3:D3"/>
    <mergeCell ref="A6:I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9:I19"/>
    <mergeCell ref="A41:I41"/>
    <mergeCell ref="A42:B42"/>
    <mergeCell ref="C42:D42"/>
    <mergeCell ref="E42:G42"/>
    <mergeCell ref="H42:I42"/>
    <mergeCell ref="A45:B45"/>
    <mergeCell ref="C45:D45"/>
    <mergeCell ref="E45:G45"/>
    <mergeCell ref="H45:I45"/>
    <mergeCell ref="A43:B43"/>
    <mergeCell ref="C43:D43"/>
    <mergeCell ref="E43:G43"/>
    <mergeCell ref="H43:I43"/>
    <mergeCell ref="A44:B44"/>
    <mergeCell ref="C44:D44"/>
    <mergeCell ref="E44:G44"/>
    <mergeCell ref="H44:I44"/>
  </mergeCells>
  <conditionalFormatting sqref="G22:G39">
    <cfRule type="expression" dxfId="5" priority="2">
      <formula>$G22="Отлично"</formula>
    </cfRule>
    <cfRule type="expression" dxfId="4" priority="3">
      <formula>$G22="Хорошо"</formula>
    </cfRule>
    <cfRule type="expression" dxfId="3" priority="4">
      <formula>$G22="Требует внимания"</formula>
    </cfRule>
  </conditionalFormatting>
  <conditionalFormatting sqref="D22:D39">
    <cfRule type="colorScale" priority="5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E22:E3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pageSetUpPr fitToPage="1"/>
  </sheetPr>
  <dimension ref="A1:N54"/>
  <sheetViews>
    <sheetView showGridLines="0" zoomScaleNormal="100" workbookViewId="0">
      <selection activeCell="M5" sqref="M5"/>
    </sheetView>
  </sheetViews>
  <sheetFormatPr defaultColWidth="8.7109375" defaultRowHeight="15" x14ac:dyDescent="0.25"/>
  <cols>
    <col min="1" max="1" width="22" style="1" customWidth="1"/>
    <col min="2" max="2" width="12" style="1" customWidth="1"/>
    <col min="3" max="3" width="9" style="1" customWidth="1"/>
    <col min="4" max="5" width="16" style="1" customWidth="1"/>
    <col min="6" max="7" width="11" style="1" customWidth="1"/>
    <col min="8" max="9" width="10" style="1" customWidth="1"/>
    <col min="10" max="11" width="11" style="1" customWidth="1"/>
    <col min="12" max="12" width="15" style="1" customWidth="1"/>
    <col min="13" max="13" width="18" style="1" customWidth="1"/>
    <col min="14" max="14" width="14.28515625" style="1" customWidth="1"/>
  </cols>
  <sheetData>
    <row r="1" spans="1:14" ht="19.5" customHeight="1" x14ac:dyDescent="0.3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4" ht="15" customHeight="1" x14ac:dyDescent="0.25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</row>
    <row r="3" spans="1:14" ht="19.5" customHeight="1" x14ac:dyDescent="0.25">
      <c r="A3" s="94" t="s">
        <v>0</v>
      </c>
      <c r="B3" s="94"/>
      <c r="C3" s="88">
        <f>Ввод!$C$2</f>
        <v>46272</v>
      </c>
      <c r="D3" s="88"/>
      <c r="E3" s="90" t="s">
        <v>48</v>
      </c>
      <c r="F3" s="90"/>
      <c r="G3" s="90"/>
      <c r="H3" s="91">
        <f>Ввод!$G$20</f>
        <v>6901439547.2700005</v>
      </c>
      <c r="I3" s="91"/>
      <c r="J3" s="91"/>
    </row>
    <row r="4" spans="1:14" ht="19.5" customHeight="1" x14ac:dyDescent="0.25">
      <c r="E4" s="90" t="s">
        <v>56</v>
      </c>
      <c r="F4" s="90"/>
      <c r="G4" s="90"/>
      <c r="H4" s="91">
        <f>Ввод!$W$20</f>
        <v>0</v>
      </c>
      <c r="I4" s="91"/>
      <c r="J4" s="91"/>
    </row>
    <row r="5" spans="1:14" ht="19.5" customHeight="1" x14ac:dyDescent="0.25">
      <c r="E5" s="90" t="s">
        <v>63</v>
      </c>
      <c r="F5" s="90"/>
      <c r="G5" s="90"/>
      <c r="H5" s="92">
        <f>IFERROR(Ввод!$H$20/Ввод!$D$20,0)</f>
        <v>0</v>
      </c>
      <c r="I5" s="92"/>
      <c r="J5" s="92"/>
    </row>
    <row r="7" spans="1:14" ht="19.5" customHeight="1" x14ac:dyDescent="0.25">
      <c r="A7" s="93" t="s">
        <v>64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</row>
    <row r="8" spans="1:14" ht="31.5" customHeight="1" x14ac:dyDescent="0.25">
      <c r="A8" s="7" t="s">
        <v>7</v>
      </c>
      <c r="B8" s="7" t="s">
        <v>65</v>
      </c>
      <c r="C8" s="7" t="s">
        <v>9</v>
      </c>
      <c r="D8" s="7" t="s">
        <v>47</v>
      </c>
      <c r="E8" s="7" t="s">
        <v>48</v>
      </c>
      <c r="F8" s="7" t="s">
        <v>66</v>
      </c>
      <c r="G8" s="7" t="s">
        <v>50</v>
      </c>
      <c r="H8" s="7" t="s">
        <v>67</v>
      </c>
      <c r="I8" s="7" t="s">
        <v>52</v>
      </c>
      <c r="J8" s="7" t="s">
        <v>28</v>
      </c>
      <c r="K8" s="7" t="s">
        <v>68</v>
      </c>
      <c r="L8" s="7" t="s">
        <v>58</v>
      </c>
      <c r="M8" s="7" t="s">
        <v>59</v>
      </c>
      <c r="N8" s="7" t="s">
        <v>7</v>
      </c>
    </row>
    <row r="9" spans="1:14" ht="15" customHeight="1" x14ac:dyDescent="0.25">
      <c r="A9" s="33" t="str">
        <f>Ввод!$B$6</f>
        <v>АНДИЖОН ВИЛОЯТИ</v>
      </c>
      <c r="B9" s="38"/>
      <c r="C9" s="34">
        <f>Ввод!$D$6</f>
        <v>0</v>
      </c>
      <c r="D9" s="37">
        <f>Ввод!$E$6</f>
        <v>21670183628.189999</v>
      </c>
      <c r="E9" s="37">
        <f>Ввод!$G$6</f>
        <v>216997310.13</v>
      </c>
      <c r="F9" s="35">
        <f t="shared" ref="F9:F22" si="0">IFERROR($E9/$D9,0)</f>
        <v>1.0013635041270053E-2</v>
      </c>
      <c r="G9" s="34">
        <f>Ввод!$H$6</f>
        <v>32</v>
      </c>
      <c r="H9" s="34">
        <f>Ввод!$L$6</f>
        <v>0</v>
      </c>
      <c r="I9" s="35">
        <f t="shared" ref="I9:I22" si="1">IFERROR($H9/$G9,0)</f>
        <v>0</v>
      </c>
      <c r="J9" s="36">
        <f t="shared" ref="J9:J22" si="2">IFERROR($G9/$C9,0)</f>
        <v>0</v>
      </c>
      <c r="K9" s="34">
        <f>Ввод!$N$6</f>
        <v>0</v>
      </c>
      <c r="L9" s="37">
        <f>Ввод!$W$6</f>
        <v>0</v>
      </c>
      <c r="M9" s="38" t="str">
        <f t="shared" ref="M9:M22" si="3">IF($G9=0,"Нет данных",IF($I9&gt;=0.8,"Отлично",IF($I9&gt;=0.5,"Хорошо","Требует внимания")))</f>
        <v>Требует внимания</v>
      </c>
      <c r="N9" s="38" t="str">
        <f>IFERROR(INDEX(Справочники!$H$4:$H$21,MATCH($A9,Справочники!$B$4:$B$21,0)),"")</f>
        <v/>
      </c>
    </row>
    <row r="10" spans="1:14" ht="15" customHeight="1" x14ac:dyDescent="0.25">
      <c r="A10" s="33" t="str">
        <f>Ввод!$B$7</f>
        <v>БУХОРО ВИЛОЯТИ</v>
      </c>
      <c r="B10" s="38"/>
      <c r="C10" s="34">
        <f>Ввод!$D$7</f>
        <v>0</v>
      </c>
      <c r="D10" s="37">
        <f>Ввод!$E$7</f>
        <v>5123173370.1599998</v>
      </c>
      <c r="E10" s="37">
        <f>Ввод!$G$7</f>
        <v>202669512.91</v>
      </c>
      <c r="F10" s="35">
        <f t="shared" si="0"/>
        <v>3.9559370387590553E-2</v>
      </c>
      <c r="G10" s="34">
        <f>Ввод!$H$7</f>
        <v>18</v>
      </c>
      <c r="H10" s="34">
        <f>Ввод!$L$7</f>
        <v>0</v>
      </c>
      <c r="I10" s="35">
        <f t="shared" si="1"/>
        <v>0</v>
      </c>
      <c r="J10" s="36">
        <f t="shared" si="2"/>
        <v>0</v>
      </c>
      <c r="K10" s="34">
        <f>Ввод!$N$7</f>
        <v>0</v>
      </c>
      <c r="L10" s="37">
        <f>Ввод!$W$7</f>
        <v>0</v>
      </c>
      <c r="M10" s="38" t="str">
        <f t="shared" si="3"/>
        <v>Требует внимания</v>
      </c>
      <c r="N10" s="38" t="str">
        <f>IFERROR(INDEX(Справочники!$H$4:$H$21,MATCH($A10,Справочники!$B$4:$B$21,0)),"")</f>
        <v/>
      </c>
    </row>
    <row r="11" spans="1:14" ht="15" customHeight="1" x14ac:dyDescent="0.25">
      <c r="A11" s="33" t="str">
        <f>Ввод!$B$8</f>
        <v>ЖИЗЗАХ ВИЛОЯТИ</v>
      </c>
      <c r="B11" s="38"/>
      <c r="C11" s="34">
        <f>Ввод!$D$8</f>
        <v>0</v>
      </c>
      <c r="D11" s="37">
        <f>Ввод!$E$8</f>
        <v>13904205190.280001</v>
      </c>
      <c r="E11" s="37">
        <f>Ввод!$G$8</f>
        <v>249852799.42000002</v>
      </c>
      <c r="F11" s="35">
        <f t="shared" si="0"/>
        <v>1.7969585172309191E-2</v>
      </c>
      <c r="G11" s="34">
        <f>Ввод!$H$8</f>
        <v>51</v>
      </c>
      <c r="H11" s="34">
        <f>Ввод!$L$8</f>
        <v>20</v>
      </c>
      <c r="I11" s="35">
        <f t="shared" si="1"/>
        <v>0.39215686274509803</v>
      </c>
      <c r="J11" s="36">
        <f t="shared" si="2"/>
        <v>0</v>
      </c>
      <c r="K11" s="34">
        <f>Ввод!$N$8</f>
        <v>19</v>
      </c>
      <c r="L11" s="37">
        <f>Ввод!$W$8</f>
        <v>0</v>
      </c>
      <c r="M11" s="38" t="str">
        <f t="shared" si="3"/>
        <v>Требует внимания</v>
      </c>
      <c r="N11" s="38" t="str">
        <f>IFERROR(INDEX(Справочники!$H$4:$H$21,MATCH($A11,Справочники!$B$4:$B$21,0)),"")</f>
        <v/>
      </c>
    </row>
    <row r="12" spans="1:14" ht="15" customHeight="1" x14ac:dyDescent="0.25">
      <c r="A12" s="33" t="str">
        <f>Ввод!$B$9</f>
        <v>КАШКАДАРЁ ВИЛОЯТИ</v>
      </c>
      <c r="B12" s="38"/>
      <c r="C12" s="34">
        <f>Ввод!$D$9</f>
        <v>0</v>
      </c>
      <c r="D12" s="37">
        <f>Ввод!$E$9</f>
        <v>12186568520.77</v>
      </c>
      <c r="E12" s="37">
        <f>Ввод!$G$9</f>
        <v>205557960.12</v>
      </c>
      <c r="F12" s="35">
        <f t="shared" si="0"/>
        <v>1.6867583337316021E-2</v>
      </c>
      <c r="G12" s="34">
        <f>Ввод!$H$9</f>
        <v>33</v>
      </c>
      <c r="H12" s="34">
        <f>Ввод!$L$9</f>
        <v>29</v>
      </c>
      <c r="I12" s="35">
        <f t="shared" si="1"/>
        <v>0.87878787878787878</v>
      </c>
      <c r="J12" s="36">
        <f t="shared" si="2"/>
        <v>0</v>
      </c>
      <c r="K12" s="34">
        <f>Ввод!$N$9</f>
        <v>18</v>
      </c>
      <c r="L12" s="37">
        <f>Ввод!$W$9</f>
        <v>0</v>
      </c>
      <c r="M12" s="38" t="str">
        <f t="shared" si="3"/>
        <v>Отлично</v>
      </c>
      <c r="N12" s="38" t="str">
        <f>IFERROR(INDEX(Справочники!$H$4:$H$21,MATCH($A12,Справочники!$B$4:$B$21,0)),"")</f>
        <v/>
      </c>
    </row>
    <row r="13" spans="1:14" ht="15" customHeight="1" x14ac:dyDescent="0.25">
      <c r="A13" s="33" t="str">
        <f>Ввод!$B$10</f>
        <v>КОРАКАЛПОГИСТОН РЕСПУБЛИКАСИ</v>
      </c>
      <c r="B13" s="38"/>
      <c r="C13" s="34">
        <f>Ввод!$D$10</f>
        <v>0</v>
      </c>
      <c r="D13" s="37">
        <f>Ввод!$E$10</f>
        <v>11119544923.16</v>
      </c>
      <c r="E13" s="37">
        <f>Ввод!$G$10</f>
        <v>259639584.46000001</v>
      </c>
      <c r="F13" s="35">
        <f t="shared" si="0"/>
        <v>2.3349839067533937E-2</v>
      </c>
      <c r="G13" s="34">
        <f>Ввод!$H$10</f>
        <v>26</v>
      </c>
      <c r="H13" s="34">
        <f>Ввод!$L$10</f>
        <v>20</v>
      </c>
      <c r="I13" s="35">
        <f t="shared" si="1"/>
        <v>0.76923076923076927</v>
      </c>
      <c r="J13" s="36">
        <f t="shared" si="2"/>
        <v>0</v>
      </c>
      <c r="K13" s="34">
        <f>Ввод!$N$10</f>
        <v>4</v>
      </c>
      <c r="L13" s="37">
        <f>Ввод!$W$10</f>
        <v>0</v>
      </c>
      <c r="M13" s="38" t="str">
        <f t="shared" si="3"/>
        <v>Хорошо</v>
      </c>
      <c r="N13" s="38" t="str">
        <f>IFERROR(INDEX(Справочники!$H$4:$H$21,MATCH($A13,Справочники!$B$4:$B$21,0)),"")</f>
        <v/>
      </c>
    </row>
    <row r="14" spans="1:14" ht="15" customHeight="1" x14ac:dyDescent="0.25">
      <c r="A14" s="33" t="str">
        <f>Ввод!$B$11</f>
        <v>НАВОИЙ ВИЛОЯТИ</v>
      </c>
      <c r="B14" s="38"/>
      <c r="C14" s="34">
        <f>Ввод!$D$11</f>
        <v>0</v>
      </c>
      <c r="D14" s="37">
        <f>Ввод!$E$11</f>
        <v>6476844959.7000103</v>
      </c>
      <c r="E14" s="37">
        <f>Ввод!$G$11</f>
        <v>107085347.11</v>
      </c>
      <c r="F14" s="35">
        <f t="shared" si="0"/>
        <v>1.65335665399284E-2</v>
      </c>
      <c r="G14" s="34">
        <f>Ввод!$H$11</f>
        <v>18</v>
      </c>
      <c r="H14" s="34">
        <f>Ввод!$L$11</f>
        <v>1</v>
      </c>
      <c r="I14" s="35">
        <f t="shared" si="1"/>
        <v>5.5555555555555552E-2</v>
      </c>
      <c r="J14" s="36">
        <f t="shared" si="2"/>
        <v>0</v>
      </c>
      <c r="K14" s="34">
        <f>Ввод!$N$11</f>
        <v>1</v>
      </c>
      <c r="L14" s="37">
        <f>Ввод!$W$11</f>
        <v>0</v>
      </c>
      <c r="M14" s="38" t="str">
        <f t="shared" si="3"/>
        <v>Требует внимания</v>
      </c>
      <c r="N14" s="38" t="str">
        <f>IFERROR(INDEX(Справочники!$H$4:$H$21,MATCH($A14,Справочники!$B$4:$B$21,0)),"")</f>
        <v/>
      </c>
    </row>
    <row r="15" spans="1:14" ht="15" customHeight="1" x14ac:dyDescent="0.25">
      <c r="A15" s="33" t="str">
        <f>Ввод!$B$12</f>
        <v>НАМАНГАН ВИЛОЯТИ</v>
      </c>
      <c r="B15" s="38"/>
      <c r="C15" s="34">
        <f>Ввод!$D$12</f>
        <v>0</v>
      </c>
      <c r="D15" s="37">
        <f>Ввод!$E$12</f>
        <v>14729615980.030001</v>
      </c>
      <c r="E15" s="37">
        <f>Ввод!$G$12</f>
        <v>597998506.93000007</v>
      </c>
      <c r="F15" s="35">
        <f t="shared" si="0"/>
        <v>4.0598377292439237E-2</v>
      </c>
      <c r="G15" s="34">
        <f>Ввод!$H$12</f>
        <v>62</v>
      </c>
      <c r="H15" s="34">
        <f>Ввод!$L$12</f>
        <v>30</v>
      </c>
      <c r="I15" s="35">
        <f t="shared" si="1"/>
        <v>0.4838709677419355</v>
      </c>
      <c r="J15" s="36">
        <f t="shared" si="2"/>
        <v>0</v>
      </c>
      <c r="K15" s="34">
        <f>Ввод!$N$12</f>
        <v>30</v>
      </c>
      <c r="L15" s="37">
        <f>Ввод!$W$12</f>
        <v>0</v>
      </c>
      <c r="M15" s="38" t="str">
        <f t="shared" si="3"/>
        <v>Требует внимания</v>
      </c>
      <c r="N15" s="38" t="str">
        <f>IFERROR(INDEX(Справочники!$H$4:$H$21,MATCH($A15,Справочники!$B$4:$B$21,0)),"")</f>
        <v/>
      </c>
    </row>
    <row r="16" spans="1:14" ht="15" customHeight="1" x14ac:dyDescent="0.25">
      <c r="A16" s="33" t="str">
        <f>Ввод!$B$13</f>
        <v>САМАРКАНД ВИЛОЯТИ</v>
      </c>
      <c r="B16" s="38"/>
      <c r="C16" s="34">
        <f>Ввод!$D$13</f>
        <v>0</v>
      </c>
      <c r="D16" s="37">
        <f>Ввод!$E$13</f>
        <v>16007858956.77</v>
      </c>
      <c r="E16" s="37">
        <f>Ввод!$G$13</f>
        <v>267212425.58000001</v>
      </c>
      <c r="F16" s="35">
        <f t="shared" si="0"/>
        <v>1.669257745846088E-2</v>
      </c>
      <c r="G16" s="34">
        <f>Ввод!$H$13</f>
        <v>61</v>
      </c>
      <c r="H16" s="34">
        <f>Ввод!$L$13</f>
        <v>15</v>
      </c>
      <c r="I16" s="35">
        <f t="shared" si="1"/>
        <v>0.24590163934426229</v>
      </c>
      <c r="J16" s="36">
        <f t="shared" si="2"/>
        <v>0</v>
      </c>
      <c r="K16" s="34">
        <f>Ввод!$N$13</f>
        <v>15</v>
      </c>
      <c r="L16" s="37">
        <f>Ввод!$W$13</f>
        <v>0</v>
      </c>
      <c r="M16" s="38" t="str">
        <f t="shared" si="3"/>
        <v>Требует внимания</v>
      </c>
      <c r="N16" s="38" t="str">
        <f>IFERROR(INDEX(Справочники!$H$4:$H$21,MATCH($A16,Справочники!$B$4:$B$21,0)),"")</f>
        <v/>
      </c>
    </row>
    <row r="17" spans="1:14" ht="15" customHeight="1" x14ac:dyDescent="0.25">
      <c r="A17" s="33" t="str">
        <f>Ввод!$B$14</f>
        <v>СИРДАРЁ ВИЛОЯТИ</v>
      </c>
      <c r="B17" s="38"/>
      <c r="C17" s="34">
        <f>Ввод!$D$14</f>
        <v>0</v>
      </c>
      <c r="D17" s="37">
        <f>Ввод!$E$14</f>
        <v>7189760534.1000004</v>
      </c>
      <c r="E17" s="37">
        <f>Ввод!$G$14</f>
        <v>97690450.189999998</v>
      </c>
      <c r="F17" s="35">
        <f t="shared" si="0"/>
        <v>1.3587441435172735E-2</v>
      </c>
      <c r="G17" s="34">
        <f>Ввод!$H$14</f>
        <v>17</v>
      </c>
      <c r="H17" s="34">
        <f>Ввод!$L$14</f>
        <v>10</v>
      </c>
      <c r="I17" s="35">
        <f t="shared" si="1"/>
        <v>0.58823529411764708</v>
      </c>
      <c r="J17" s="36">
        <f t="shared" si="2"/>
        <v>0</v>
      </c>
      <c r="K17" s="34">
        <f>Ввод!$N$14</f>
        <v>1</v>
      </c>
      <c r="L17" s="37">
        <f>Ввод!$W$14</f>
        <v>0</v>
      </c>
      <c r="M17" s="38" t="str">
        <f t="shared" si="3"/>
        <v>Хорошо</v>
      </c>
      <c r="N17" s="38" t="str">
        <f>IFERROR(INDEX(Справочники!$H$4:$H$21,MATCH($A17,Справочники!$B$4:$B$21,0)),"")</f>
        <v/>
      </c>
    </row>
    <row r="18" spans="1:14" ht="15" customHeight="1" x14ac:dyDescent="0.25">
      <c r="A18" s="33" t="str">
        <f>Ввод!$B$15</f>
        <v>СУРХОНДАРЁ ВИЛОЯТИ</v>
      </c>
      <c r="B18" s="38"/>
      <c r="C18" s="34">
        <f>Ввод!$D$15</f>
        <v>0</v>
      </c>
      <c r="D18" s="37">
        <f>Ввод!$E$15</f>
        <v>16585229279.559999</v>
      </c>
      <c r="E18" s="37">
        <f>Ввод!$G$15</f>
        <v>1083751094.2</v>
      </c>
      <c r="F18" s="35">
        <f t="shared" si="0"/>
        <v>6.5344354059406265E-2</v>
      </c>
      <c r="G18" s="34">
        <f>Ввод!$H$15</f>
        <v>97</v>
      </c>
      <c r="H18" s="34">
        <f>Ввод!$L$15</f>
        <v>18</v>
      </c>
      <c r="I18" s="35">
        <f t="shared" si="1"/>
        <v>0.18556701030927836</v>
      </c>
      <c r="J18" s="36">
        <f t="shared" si="2"/>
        <v>0</v>
      </c>
      <c r="K18" s="34">
        <f>Ввод!$N$15</f>
        <v>2</v>
      </c>
      <c r="L18" s="37">
        <f>Ввод!$W$15</f>
        <v>0</v>
      </c>
      <c r="M18" s="38" t="str">
        <f t="shared" si="3"/>
        <v>Требует внимания</v>
      </c>
      <c r="N18" s="38" t="str">
        <f>IFERROR(INDEX(Справочники!$H$4:$H$21,MATCH($A18,Справочники!$B$4:$B$21,0)),"")</f>
        <v/>
      </c>
    </row>
    <row r="19" spans="1:14" ht="15" customHeight="1" x14ac:dyDescent="0.25">
      <c r="A19" s="33" t="str">
        <f>Ввод!$B$16</f>
        <v>ТОШКЕНТ ВИЛОЯТИ</v>
      </c>
      <c r="B19" s="38"/>
      <c r="C19" s="34">
        <f>Ввод!$D$16</f>
        <v>0</v>
      </c>
      <c r="D19" s="37">
        <f>Ввод!$E$16</f>
        <v>36871386933.1101</v>
      </c>
      <c r="E19" s="37">
        <f>Ввод!$G$16</f>
        <v>886986634.88</v>
      </c>
      <c r="F19" s="35">
        <f t="shared" si="0"/>
        <v>2.4056231909288329E-2</v>
      </c>
      <c r="G19" s="34">
        <f>Ввод!$H$16</f>
        <v>93</v>
      </c>
      <c r="H19" s="34">
        <f>Ввод!$L$16</f>
        <v>0</v>
      </c>
      <c r="I19" s="35">
        <f t="shared" si="1"/>
        <v>0</v>
      </c>
      <c r="J19" s="36">
        <f t="shared" si="2"/>
        <v>0</v>
      </c>
      <c r="K19" s="34">
        <f>Ввод!$N$16</f>
        <v>0</v>
      </c>
      <c r="L19" s="37">
        <f>Ввод!$W$16</f>
        <v>0</v>
      </c>
      <c r="M19" s="38" t="str">
        <f t="shared" si="3"/>
        <v>Требует внимания</v>
      </c>
      <c r="N19" s="38" t="str">
        <f>IFERROR(INDEX(Справочники!$H$4:$H$21,MATCH($A19,Справочники!$B$4:$B$21,0)),"")</f>
        <v/>
      </c>
    </row>
    <row r="20" spans="1:14" ht="15" customHeight="1" x14ac:dyDescent="0.25">
      <c r="A20" s="33" t="str">
        <f>Ввод!$B$17</f>
        <v>ТОШКЕНТ ШАХРИ</v>
      </c>
      <c r="B20" s="38"/>
      <c r="C20" s="34">
        <f>Ввод!$D$17</f>
        <v>0</v>
      </c>
      <c r="D20" s="37">
        <f>Ввод!$E$17</f>
        <v>43531854598.510101</v>
      </c>
      <c r="E20" s="37">
        <f>Ввод!$G$17</f>
        <v>1625726684.3</v>
      </c>
      <c r="F20" s="35">
        <f t="shared" si="0"/>
        <v>3.7345679371897041E-2</v>
      </c>
      <c r="G20" s="34">
        <f>Ввод!$H$17</f>
        <v>115</v>
      </c>
      <c r="H20" s="34">
        <f>Ввод!$L$17</f>
        <v>0</v>
      </c>
      <c r="I20" s="35">
        <f t="shared" si="1"/>
        <v>0</v>
      </c>
      <c r="J20" s="36">
        <f t="shared" si="2"/>
        <v>0</v>
      </c>
      <c r="K20" s="34">
        <f>Ввод!$N$17</f>
        <v>0</v>
      </c>
      <c r="L20" s="37">
        <f>Ввод!$W$17</f>
        <v>0</v>
      </c>
      <c r="M20" s="38" t="str">
        <f t="shared" si="3"/>
        <v>Требует внимания</v>
      </c>
      <c r="N20" s="38" t="str">
        <f>IFERROR(INDEX(Справочники!$H$4:$H$21,MATCH($A20,Справочники!$B$4:$B$21,0)),"")</f>
        <v/>
      </c>
    </row>
    <row r="21" spans="1:14" ht="15" customHeight="1" x14ac:dyDescent="0.25">
      <c r="A21" s="33" t="str">
        <f>Ввод!$B$18</f>
        <v>ФАРГОНА ВИЛОЯТИ</v>
      </c>
      <c r="B21" s="38"/>
      <c r="C21" s="34">
        <f>Ввод!$D$18</f>
        <v>0</v>
      </c>
      <c r="D21" s="37">
        <f>Ввод!$E$18</f>
        <v>17403438751.5</v>
      </c>
      <c r="E21" s="37">
        <f>Ввод!$G$18</f>
        <v>806811380</v>
      </c>
      <c r="F21" s="35">
        <f t="shared" si="0"/>
        <v>4.6359308152847729E-2</v>
      </c>
      <c r="G21" s="34">
        <f>Ввод!$H$18</f>
        <v>53</v>
      </c>
      <c r="H21" s="34">
        <f>Ввод!$L$18</f>
        <v>0</v>
      </c>
      <c r="I21" s="35">
        <f t="shared" si="1"/>
        <v>0</v>
      </c>
      <c r="J21" s="36">
        <f t="shared" si="2"/>
        <v>0</v>
      </c>
      <c r="K21" s="34">
        <f>Ввод!$N$18</f>
        <v>0</v>
      </c>
      <c r="L21" s="37">
        <f>Ввод!$W$18</f>
        <v>0</v>
      </c>
      <c r="M21" s="38" t="str">
        <f t="shared" si="3"/>
        <v>Требует внимания</v>
      </c>
      <c r="N21" s="38" t="str">
        <f>IFERROR(INDEX(Справочники!$H$4:$H$21,MATCH($A21,Справочники!$B$4:$B$21,0)),"")</f>
        <v/>
      </c>
    </row>
    <row r="22" spans="1:14" ht="15" customHeight="1" x14ac:dyDescent="0.25">
      <c r="A22" s="33" t="str">
        <f>Ввод!$B$19</f>
        <v>ХОРАЗМ ВИЛОЯТИ</v>
      </c>
      <c r="B22" s="38"/>
      <c r="C22" s="34">
        <f>Ввод!$D$19</f>
        <v>0</v>
      </c>
      <c r="D22" s="37">
        <f>Ввод!$E$19</f>
        <v>20499095940.689999</v>
      </c>
      <c r="E22" s="37">
        <f>Ввод!$G$19</f>
        <v>293459857.04000002</v>
      </c>
      <c r="F22" s="35">
        <f t="shared" si="0"/>
        <v>1.4315746308474625E-2</v>
      </c>
      <c r="G22" s="34">
        <f>Ввод!$H$19</f>
        <v>49</v>
      </c>
      <c r="H22" s="34">
        <f>Ввод!$L$19</f>
        <v>23</v>
      </c>
      <c r="I22" s="35">
        <f t="shared" si="1"/>
        <v>0.46938775510204084</v>
      </c>
      <c r="J22" s="36">
        <f t="shared" si="2"/>
        <v>0</v>
      </c>
      <c r="K22" s="34">
        <f>Ввод!$N$19</f>
        <v>6</v>
      </c>
      <c r="L22" s="37">
        <f>Ввод!$W$19</f>
        <v>0</v>
      </c>
      <c r="M22" s="38" t="str">
        <f t="shared" si="3"/>
        <v>Требует внимания</v>
      </c>
      <c r="N22" s="38" t="str">
        <f>IFERROR(INDEX(Справочники!$H$4:$H$21,MATCH($A22,Справочники!$B$4:$B$21,0)),"")</f>
        <v/>
      </c>
    </row>
    <row r="23" spans="1:14" ht="15" customHeight="1" x14ac:dyDescent="0.25">
      <c r="A23" s="33"/>
      <c r="B23" s="38"/>
      <c r="C23" s="34"/>
      <c r="D23" s="37"/>
      <c r="E23" s="37"/>
      <c r="F23" s="35"/>
      <c r="G23" s="34"/>
      <c r="H23" s="34"/>
      <c r="I23" s="35"/>
      <c r="J23" s="36"/>
      <c r="K23" s="34"/>
      <c r="L23" s="37"/>
      <c r="M23" s="38"/>
      <c r="N23" s="38"/>
    </row>
    <row r="24" spans="1:14" ht="15" customHeight="1" x14ac:dyDescent="0.25">
      <c r="A24" s="33"/>
      <c r="B24" s="38"/>
      <c r="C24" s="34"/>
      <c r="D24" s="37"/>
      <c r="E24" s="37"/>
      <c r="F24" s="35"/>
      <c r="G24" s="34"/>
      <c r="H24" s="34"/>
      <c r="I24" s="35"/>
      <c r="J24" s="36"/>
      <c r="K24" s="34"/>
      <c r="L24" s="37"/>
      <c r="M24" s="38"/>
      <c r="N24" s="38"/>
    </row>
    <row r="25" spans="1:14" ht="15" customHeight="1" x14ac:dyDescent="0.25">
      <c r="A25" s="39"/>
      <c r="B25" s="40"/>
      <c r="C25" s="34"/>
      <c r="D25" s="37"/>
      <c r="E25" s="37"/>
      <c r="F25" s="35"/>
      <c r="G25" s="34"/>
      <c r="H25" s="34"/>
      <c r="I25" s="35"/>
      <c r="J25" s="36"/>
      <c r="K25" s="34"/>
      <c r="L25" s="37"/>
      <c r="M25" s="38"/>
      <c r="N25" s="38"/>
    </row>
    <row r="26" spans="1:14" ht="15" customHeight="1" x14ac:dyDescent="0.25">
      <c r="A26" s="39"/>
      <c r="B26" s="40"/>
      <c r="C26" s="34"/>
      <c r="D26" s="37"/>
      <c r="E26" s="37"/>
      <c r="F26" s="35"/>
      <c r="G26" s="34"/>
      <c r="H26" s="34"/>
      <c r="I26" s="35"/>
      <c r="J26" s="36"/>
      <c r="K26" s="34"/>
      <c r="L26" s="37"/>
      <c r="M26" s="38"/>
      <c r="N26" s="38"/>
    </row>
    <row r="27" spans="1:14" ht="15" customHeight="1" x14ac:dyDescent="0.25">
      <c r="A27" s="23" t="s">
        <v>45</v>
      </c>
      <c r="B27" s="23"/>
      <c r="C27" s="24">
        <f>SUM(C9:C26)</f>
        <v>0</v>
      </c>
      <c r="D27" s="25">
        <f>SUM(D9:D26)</f>
        <v>243298761566.53021</v>
      </c>
      <c r="E27" s="25">
        <f>SUM(E9:E26)</f>
        <v>6901439547.2700005</v>
      </c>
      <c r="F27" s="26">
        <f>IFERROR($E27/$D27,0)</f>
        <v>2.836611046777892E-2</v>
      </c>
      <c r="G27" s="24">
        <f>SUM(G9:G26)</f>
        <v>725</v>
      </c>
      <c r="H27" s="24">
        <f>SUM(H9:H26)</f>
        <v>166</v>
      </c>
      <c r="I27" s="26">
        <f>IFERROR($H27/$G27,0)</f>
        <v>0.22896551724137931</v>
      </c>
      <c r="J27" s="27">
        <f>IFERROR($G27/$C27,0)</f>
        <v>0</v>
      </c>
      <c r="K27" s="24">
        <f>SUM(K9:K26)</f>
        <v>96</v>
      </c>
      <c r="L27" s="25">
        <f>SUM(L9:L26)</f>
        <v>0</v>
      </c>
      <c r="M27" s="23" t="str">
        <f>IF($I27&gt;=0.8,"Отлично",IF($I27&gt;=0.5,"Хорошо","Требует внимания"))</f>
        <v>Требует внимания</v>
      </c>
    </row>
    <row r="30" spans="1:14" ht="19.5" customHeight="1" x14ac:dyDescent="0.25">
      <c r="A30" s="89" t="inlineStr">
        <is>
          <t xml:space="preserve">СТРУКТУРА РАБОТЫ С ПРОСРОЧКОЙ</t>
        </is>
      </c>
      <c r="B30" s="89"/>
      <c r="C30" s="89"/>
    </row>
    <row r="31" spans="1:14" ht="15" customHeight="1" x14ac:dyDescent="0.25">
      <c r="A31" s="41" t="inlineStr">
        <is>
          <t xml:space="preserve">Группа</t>
        </is>
      </c>
      <c r="B31" s="41" t="inlineStr">
        <is>
          <t xml:space="preserve">Кредитов, шт</t>
        </is>
      </c>
      <c r="C31" s="41" t="inlineStr">
        <is>
          <t xml:space="preserve">Доля</t>
        </is>
      </c>
    </row>
    <row r="32" spans="1:14" ht="15" customHeight="1" x14ac:dyDescent="0.25">
      <c r="A32" s="42" t="inlineStr">
        <is>
          <t xml:space="preserve">Gaplashgan</t>
        </is>
      </c>
      <c r="B32" s="43">
        <f>Ввод!$L$20</f>
      </c>
      <c r="C32" s="44">
        <f>IFERROR(B32/SUM($B$32:$B$35),0)</f>
      </c>
    </row>
    <row r="33" spans="1:7" ht="15" customHeight="1" x14ac:dyDescent="0.25">
      <c r="A33" s="42" t="inlineStr">
        <is>
          <t xml:space="preserve">Ko'tarmadi</t>
        </is>
      </c>
      <c r="B33" s="43">
        <f>Ввод!$P$20</f>
      </c>
      <c r="C33" s="44">
        <f>IFERROR(B33/SUM($B$32:$B$35),0)</f>
      </c>
    </row>
    <row r="34" spans="1:7" ht="15" customHeight="1" x14ac:dyDescent="0.25">
      <c r="A34" s="42" t="inlineStr">
        <is>
          <t xml:space="preserve">Объезд</t>
        </is>
      </c>
      <c r="B34" s="43">
        <f>Ввод!$R$20</f>
      </c>
      <c r="C34" s="44">
        <f>IFERROR(B34/SUM($B$32:$B$35),0)</f>
      </c>
    </row>
    <row r="35" spans="1:7" ht="15" customHeight="1" x14ac:dyDescent="0.25">
      <c r="A35" s="42" t="inlineStr">
        <is>
          <t xml:space="preserve">Ishlanmagan</t>
        </is>
      </c>
      <c r="B35" s="43">
        <f>Ввод!$H$20-Ввод!$L$20-Ввод!$P$20-Ввод!$R$20</f>
      </c>
      <c r="C35" s="44">
        <f>IFERROR(B35/SUM($B$32:$B$35),0)</f>
      </c>
    </row>
    <row r="38" spans="1:7" ht="19.5" customHeight="1" x14ac:dyDescent="0.25">
      <c r="A38" s="45"/>
      <c r="B38" s="45"/>
      <c r="C38" s="45"/>
      <c r="D38" s="45"/>
      <c r="E38" s="45"/>
      <c r="F38" s="45"/>
      <c r="G38" s="45"/>
    </row>
    <row r="39" spans="1:7" ht="15" customHeight="1" x14ac:dyDescent="0.25">
      <c r="A39" s="41"/>
      <c r="B39" s="41"/>
      <c r="C39" s="41"/>
      <c r="D39" s="41"/>
      <c r="E39" s="41"/>
      <c r="F39" s="41"/>
      <c r="G39" s="41"/>
    </row>
    <row r="40" spans="1:7" ht="15" customHeight="1" x14ac:dyDescent="0.25">
      <c r="A40" s="42"/>
      <c r="B40" s="46"/>
      <c r="C40" s="46"/>
      <c r="D40" s="44"/>
      <c r="E40" s="43"/>
      <c r="F40" s="43"/>
      <c r="G40" s="44"/>
    </row>
    <row r="41" spans="1:7" ht="15" customHeight="1" x14ac:dyDescent="0.25">
      <c r="A41" s="42"/>
      <c r="B41" s="46"/>
      <c r="C41" s="46"/>
      <c r="D41" s="44"/>
      <c r="E41" s="43"/>
      <c r="F41" s="43"/>
      <c r="G41" s="44"/>
    </row>
    <row r="42" spans="1:7" ht="15" customHeight="1" x14ac:dyDescent="0.25">
      <c r="A42" s="42"/>
      <c r="B42" s="46"/>
      <c r="C42" s="46"/>
      <c r="D42" s="44"/>
      <c r="E42" s="43"/>
      <c r="F42" s="43"/>
      <c r="G42" s="44"/>
    </row>
    <row r="43" spans="1:7" ht="15" customHeight="1" x14ac:dyDescent="0.25">
      <c r="A43" s="42"/>
      <c r="B43" s="46"/>
      <c r="C43" s="46"/>
      <c r="D43" s="44"/>
      <c r="E43" s="43"/>
      <c r="F43" s="43"/>
      <c r="G43" s="44"/>
    </row>
    <row r="44" spans="1:7" ht="15" customHeight="1" x14ac:dyDescent="0.25">
      <c r="A44" s="42"/>
      <c r="B44" s="46"/>
      <c r="C44" s="46"/>
      <c r="D44" s="44"/>
      <c r="E44" s="43"/>
      <c r="F44" s="43"/>
      <c r="G44" s="44"/>
    </row>
    <row r="45" spans="1:7" ht="15" customHeight="1" x14ac:dyDescent="0.25">
      <c r="A45" s="42"/>
      <c r="B45" s="46"/>
      <c r="C45" s="46"/>
      <c r="D45" s="44"/>
      <c r="E45" s="43"/>
      <c r="F45" s="43"/>
      <c r="G45" s="44"/>
    </row>
    <row r="46" spans="1:7" ht="15" customHeight="1" x14ac:dyDescent="0.25">
      <c r="A46" s="42"/>
      <c r="B46" s="46"/>
      <c r="C46" s="46"/>
      <c r="D46" s="44"/>
      <c r="E46" s="43"/>
      <c r="F46" s="43"/>
      <c r="G46" s="44"/>
    </row>
    <row r="47" spans="1:7" ht="15" customHeight="1" x14ac:dyDescent="0.25">
      <c r="A47" s="42"/>
      <c r="B47" s="46"/>
      <c r="C47" s="46"/>
      <c r="D47" s="44"/>
      <c r="E47" s="43"/>
      <c r="F47" s="43"/>
      <c r="G47" s="44"/>
    </row>
    <row r="48" spans="1:7" ht="15" customHeight="1" x14ac:dyDescent="0.25">
      <c r="A48" s="42"/>
      <c r="B48" s="46"/>
      <c r="C48" s="46"/>
      <c r="D48" s="44"/>
      <c r="E48" s="43"/>
      <c r="F48" s="43"/>
      <c r="G48" s="44"/>
    </row>
    <row r="49" spans="1:7" ht="15" customHeight="1" x14ac:dyDescent="0.25">
      <c r="A49" s="42"/>
      <c r="B49" s="46"/>
      <c r="C49" s="46"/>
      <c r="D49" s="44"/>
      <c r="E49" s="43"/>
      <c r="F49" s="43"/>
      <c r="G49" s="44"/>
    </row>
    <row r="50" spans="1:7" ht="15" customHeight="1" x14ac:dyDescent="0.25">
      <c r="A50" s="42"/>
      <c r="B50" s="46"/>
      <c r="C50" s="46"/>
      <c r="D50" s="44"/>
      <c r="E50" s="43"/>
      <c r="F50" s="43"/>
      <c r="G50" s="44"/>
    </row>
    <row r="51" spans="1:7" ht="15" customHeight="1" x14ac:dyDescent="0.25">
      <c r="A51" s="42"/>
      <c r="B51" s="46"/>
      <c r="C51" s="46"/>
      <c r="D51" s="44"/>
      <c r="E51" s="43"/>
      <c r="F51" s="43"/>
      <c r="G51" s="44"/>
    </row>
    <row r="52" spans="1:7" ht="15" customHeight="1" x14ac:dyDescent="0.25">
      <c r="A52" s="42"/>
      <c r="B52" s="46"/>
      <c r="C52" s="46"/>
      <c r="D52" s="44"/>
      <c r="E52" s="43"/>
      <c r="F52" s="43"/>
      <c r="G52" s="44"/>
    </row>
    <row r="53" spans="1:7" ht="15" customHeight="1" x14ac:dyDescent="0.25">
      <c r="A53" s="42"/>
      <c r="B53" s="46"/>
      <c r="C53" s="46"/>
      <c r="D53" s="44"/>
      <c r="E53" s="43"/>
      <c r="F53" s="43"/>
      <c r="G53" s="44"/>
    </row>
    <row r="54" spans="1:7" ht="15" customHeight="1" x14ac:dyDescent="0.25">
      <c r="A54" s="47"/>
      <c r="B54" s="48"/>
      <c r="C54" s="48"/>
      <c r="D54" s="49"/>
      <c r="E54" s="50"/>
      <c r="F54" s="50"/>
      <c r="G54" s="49"/>
    </row>
  </sheetData>
  <mergeCells count="12">
    <mergeCell ref="A1:M1"/>
    <mergeCell ref="A2:M2"/>
    <mergeCell ref="A3:B3"/>
    <mergeCell ref="C3:D3"/>
    <mergeCell ref="E3:G3"/>
    <mergeCell ref="H3:J3"/>
    <mergeCell ref="A30:C30"/>
    <mergeCell ref="E4:G4"/>
    <mergeCell ref="H4:J4"/>
    <mergeCell ref="E5:G5"/>
    <mergeCell ref="H5:J5"/>
    <mergeCell ref="A7:M7"/>
  </mergeCells>
  <conditionalFormatting sqref="F9:F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9:I26">
    <cfRule type="colorScale" priority="3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J9:J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9:M26">
    <cfRule type="expression" dxfId="2" priority="5">
      <formula>$M9="Отлично"</formula>
    </cfRule>
    <cfRule type="expression" dxfId="1" priority="6">
      <formula>$M9="Хорошо"</formula>
    </cfRule>
    <cfRule type="expression" dxfId="0" priority="7">
      <formula>$M9="Требует внимания"</formula>
    </cfRule>
  </conditionalFormatting>
  <pageMargins left="0.75" right="0.75" top="1" bottom="1" header="0.511811023622047" footer="0.511811023622047"/>
  <pageSetup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</sheetPr>
  <dimension ref="A1:N22"/>
  <sheetViews>
    <sheetView showGridLines="0" zoomScaleNormal="100" workbookViewId="0">
      <selection activeCell="I3" sqref="I3"/>
    </sheetView>
  </sheetViews>
  <sheetFormatPr defaultColWidth="8.7109375" defaultRowHeight="15" x14ac:dyDescent="0.25"/>
  <cols>
    <col min="1" max="1" width="5" style="1" customWidth="1"/>
    <col min="2" max="2" width="22" style="1" customWidth="1"/>
    <col min="3" max="3" width="14" style="1" customWidth="1"/>
    <col min="4" max="4" width="22" style="1" customWidth="1"/>
    <col min="5" max="5" width="12" style="1" customWidth="1"/>
    <col min="6" max="7" width="20" style="1" customWidth="1"/>
    <col min="8" max="8" width="38.28515625" style="1" customWidth="1"/>
    <col min="9" max="9" width="22" style="1" customWidth="1"/>
    <col min="10" max="10" width="3" style="1" customWidth="1"/>
    <col min="11" max="11" width="26" style="1" customWidth="1"/>
    <col min="14" max="14" width="20.5703125" style="1" customWidth="1"/>
  </cols>
  <sheetData>
    <row r="1" spans="1:14" ht="17.25" customHeight="1" x14ac:dyDescent="0.25">
      <c r="A1" s="51"/>
      <c r="M1" s="52"/>
    </row>
    <row r="2" spans="1:14" ht="15" customHeight="1" x14ac:dyDescent="0.25">
      <c r="A2" s="52"/>
    </row>
    <row r="3" spans="1:14" ht="30" customHeight="1" x14ac:dyDescent="0.25">
      <c r="A3" s="53" t="s">
        <v>6</v>
      </c>
      <c r="B3" s="53" t="s">
        <v>69</v>
      </c>
      <c r="C3" s="53" t="s">
        <v>65</v>
      </c>
      <c r="D3" s="53" t="s">
        <v>70</v>
      </c>
      <c r="E3" s="53" t="s">
        <v>71</v>
      </c>
      <c r="F3" s="53" t="s">
        <v>72</v>
      </c>
      <c r="G3" s="53" t="s">
        <v>73</v>
      </c>
      <c r="H3" s="54" t="s">
        <v>7</v>
      </c>
      <c r="I3" s="55"/>
      <c r="K3" s="53" t="s">
        <v>74</v>
      </c>
      <c r="N3" s="53" t="s">
        <v>75</v>
      </c>
    </row>
    <row r="4" spans="1:14" ht="15" customHeight="1" x14ac:dyDescent="0.25">
      <c r="A4" s="10">
        <v>1</v>
      </c>
      <c r="B4" s="11" t="s">
        <v>76</v>
      </c>
      <c r="C4" s="56" t="s">
        <v>77</v>
      </c>
      <c r="D4" s="57" t="s">
        <v>78</v>
      </c>
      <c r="E4" s="17">
        <v>0</v>
      </c>
      <c r="F4" s="57" t="s">
        <v>79</v>
      </c>
      <c r="G4" s="58">
        <v>0.05</v>
      </c>
      <c r="H4" s="1" t="s">
        <v>44</v>
      </c>
      <c r="I4" s="59"/>
      <c r="K4" s="11" t="s">
        <v>80</v>
      </c>
      <c r="N4" s="11" t="s">
        <v>81</v>
      </c>
    </row>
    <row r="5" spans="1:14" ht="15" customHeight="1" x14ac:dyDescent="0.25">
      <c r="A5" s="10">
        <v>2</v>
      </c>
      <c r="B5" s="11" t="s">
        <v>82</v>
      </c>
      <c r="C5" s="56" t="s">
        <v>77</v>
      </c>
      <c r="D5" s="57" t="s">
        <v>78</v>
      </c>
      <c r="E5" s="17">
        <v>0</v>
      </c>
      <c r="F5" s="57" t="s">
        <v>79</v>
      </c>
      <c r="G5" s="58">
        <v>0.05</v>
      </c>
      <c r="H5" s="1" t="s">
        <v>38</v>
      </c>
      <c r="I5" s="59"/>
      <c r="K5" s="11" t="s">
        <v>83</v>
      </c>
      <c r="N5" s="11" t="s">
        <v>84</v>
      </c>
    </row>
    <row r="6" spans="1:14" ht="15" customHeight="1" x14ac:dyDescent="0.25">
      <c r="A6" s="10">
        <v>3</v>
      </c>
      <c r="B6" s="11" t="s">
        <v>85</v>
      </c>
      <c r="C6" s="56" t="s">
        <v>77</v>
      </c>
      <c r="D6" s="57" t="s">
        <v>78</v>
      </c>
      <c r="E6" s="17">
        <v>0</v>
      </c>
      <c r="F6" s="57" t="s">
        <v>79</v>
      </c>
      <c r="G6" s="58">
        <v>0.05</v>
      </c>
      <c r="H6" s="1" t="s">
        <v>40</v>
      </c>
      <c r="K6" s="11" t="s">
        <v>86</v>
      </c>
    </row>
    <row r="7" spans="1:14" ht="15" customHeight="1" x14ac:dyDescent="0.25">
      <c r="A7" s="10">
        <v>4</v>
      </c>
      <c r="B7" s="11" t="s">
        <v>87</v>
      </c>
      <c r="C7" s="56" t="s">
        <v>77</v>
      </c>
      <c r="D7" s="57" t="s">
        <v>78</v>
      </c>
      <c r="E7" s="17">
        <v>0</v>
      </c>
      <c r="F7" s="57" t="s">
        <v>79</v>
      </c>
      <c r="G7" s="58">
        <v>0.05</v>
      </c>
      <c r="H7" s="1" t="s">
        <v>33</v>
      </c>
      <c r="K7" s="11" t="s">
        <v>88</v>
      </c>
    </row>
    <row r="8" spans="1:14" ht="15" customHeight="1" x14ac:dyDescent="0.25">
      <c r="A8" s="10">
        <v>5</v>
      </c>
      <c r="B8" s="11" t="s">
        <v>89</v>
      </c>
      <c r="C8" s="56" t="s">
        <v>77</v>
      </c>
      <c r="D8" s="57" t="s">
        <v>78</v>
      </c>
      <c r="E8" s="17">
        <v>0</v>
      </c>
      <c r="F8" s="57" t="s">
        <v>79</v>
      </c>
      <c r="G8" s="58">
        <v>0.05</v>
      </c>
      <c r="H8" s="1" t="s">
        <v>31</v>
      </c>
    </row>
    <row r="9" spans="1:14" ht="15" customHeight="1" x14ac:dyDescent="0.25">
      <c r="A9" s="10">
        <v>6</v>
      </c>
      <c r="B9" s="11" t="s">
        <v>90</v>
      </c>
      <c r="C9" s="56" t="s">
        <v>77</v>
      </c>
      <c r="D9" s="57" t="s">
        <v>78</v>
      </c>
      <c r="E9" s="17">
        <v>0</v>
      </c>
      <c r="F9" s="57" t="s">
        <v>79</v>
      </c>
      <c r="G9" s="58">
        <v>0.05</v>
      </c>
      <c r="H9" s="1" t="s">
        <v>37</v>
      </c>
    </row>
    <row r="10" spans="1:14" ht="15" customHeight="1" x14ac:dyDescent="0.25">
      <c r="A10" s="10">
        <v>7</v>
      </c>
      <c r="B10" s="11" t="s">
        <v>91</v>
      </c>
      <c r="C10" s="56" t="s">
        <v>77</v>
      </c>
      <c r="D10" s="57" t="s">
        <v>78</v>
      </c>
      <c r="E10" s="17">
        <v>0</v>
      </c>
      <c r="F10" s="57" t="s">
        <v>79</v>
      </c>
      <c r="G10" s="58">
        <v>0.05</v>
      </c>
      <c r="H10" s="1" t="s">
        <v>43</v>
      </c>
    </row>
    <row r="11" spans="1:14" ht="15" customHeight="1" x14ac:dyDescent="0.25">
      <c r="A11" s="10">
        <v>8</v>
      </c>
      <c r="B11" s="11" t="s">
        <v>92</v>
      </c>
      <c r="C11" s="56" t="s">
        <v>77</v>
      </c>
      <c r="D11" s="57" t="s">
        <v>78</v>
      </c>
      <c r="E11" s="17">
        <v>0</v>
      </c>
      <c r="F11" s="57" t="s">
        <v>79</v>
      </c>
      <c r="G11" s="58">
        <v>0.05</v>
      </c>
      <c r="H11" s="1" t="s">
        <v>34</v>
      </c>
    </row>
    <row r="12" spans="1:14" ht="15" customHeight="1" x14ac:dyDescent="0.25">
      <c r="A12" s="10">
        <v>9</v>
      </c>
      <c r="B12" s="11" t="s">
        <v>93</v>
      </c>
      <c r="C12" s="56" t="s">
        <v>77</v>
      </c>
      <c r="D12" s="57" t="s">
        <v>78</v>
      </c>
      <c r="E12" s="17">
        <v>0</v>
      </c>
      <c r="F12" s="57" t="s">
        <v>79</v>
      </c>
      <c r="G12" s="58">
        <v>0.05</v>
      </c>
      <c r="H12" s="1" t="s">
        <v>35</v>
      </c>
    </row>
    <row r="13" spans="1:14" ht="15" customHeight="1" x14ac:dyDescent="0.25">
      <c r="A13" s="10">
        <v>10</v>
      </c>
      <c r="B13" s="11" t="s">
        <v>94</v>
      </c>
      <c r="C13" s="56" t="s">
        <v>77</v>
      </c>
      <c r="D13" s="57" t="s">
        <v>78</v>
      </c>
      <c r="E13" s="17">
        <v>0</v>
      </c>
      <c r="F13" s="57" t="s">
        <v>79</v>
      </c>
      <c r="G13" s="58">
        <v>0.05</v>
      </c>
      <c r="H13" s="1" t="s">
        <v>36</v>
      </c>
    </row>
    <row r="14" spans="1:14" ht="15" customHeight="1" x14ac:dyDescent="0.25">
      <c r="A14" s="10">
        <v>11</v>
      </c>
      <c r="B14" s="11" t="s">
        <v>95</v>
      </c>
      <c r="C14" s="56" t="s">
        <v>77</v>
      </c>
      <c r="D14" s="57" t="s">
        <v>78</v>
      </c>
      <c r="E14" s="17">
        <v>0</v>
      </c>
      <c r="F14" s="57" t="s">
        <v>79</v>
      </c>
      <c r="G14" s="58">
        <v>0.05</v>
      </c>
      <c r="H14" s="1" t="s">
        <v>32</v>
      </c>
    </row>
    <row r="15" spans="1:14" ht="15" customHeight="1" x14ac:dyDescent="0.25">
      <c r="A15" s="10">
        <v>12</v>
      </c>
      <c r="B15" s="11" t="s">
        <v>96</v>
      </c>
      <c r="C15" s="56" t="s">
        <v>77</v>
      </c>
      <c r="D15" s="57" t="s">
        <v>78</v>
      </c>
      <c r="E15" s="17">
        <v>0</v>
      </c>
      <c r="F15" s="57" t="s">
        <v>79</v>
      </c>
      <c r="G15" s="58">
        <v>0.05</v>
      </c>
      <c r="H15" s="1" t="s">
        <v>40</v>
      </c>
    </row>
    <row r="16" spans="1:14" ht="15" customHeight="1" x14ac:dyDescent="0.25">
      <c r="A16" s="10">
        <v>13</v>
      </c>
      <c r="B16" s="11" t="s">
        <v>97</v>
      </c>
      <c r="C16" s="56" t="s">
        <v>77</v>
      </c>
      <c r="D16" s="57" t="s">
        <v>78</v>
      </c>
      <c r="E16" s="17">
        <v>0</v>
      </c>
      <c r="F16" s="57" t="s">
        <v>79</v>
      </c>
      <c r="G16" s="58">
        <v>0.05</v>
      </c>
      <c r="H16" s="1" t="s">
        <v>39</v>
      </c>
    </row>
    <row r="17" spans="1:8" ht="15" customHeight="1" x14ac:dyDescent="0.25">
      <c r="A17" s="10">
        <v>14</v>
      </c>
      <c r="B17" s="11" t="s">
        <v>98</v>
      </c>
      <c r="C17" s="56" t="s">
        <v>77</v>
      </c>
      <c r="D17" s="57" t="s">
        <v>78</v>
      </c>
      <c r="E17" s="17">
        <v>0</v>
      </c>
      <c r="F17" s="57" t="s">
        <v>79</v>
      </c>
      <c r="G17" s="58">
        <v>0.05</v>
      </c>
      <c r="H17" s="1" t="s">
        <v>41</v>
      </c>
    </row>
    <row r="18" spans="1:8" ht="15" customHeight="1" x14ac:dyDescent="0.25">
      <c r="A18" s="10">
        <v>15</v>
      </c>
      <c r="B18" s="11" t="s">
        <v>99</v>
      </c>
      <c r="C18" s="56" t="s">
        <v>77</v>
      </c>
      <c r="D18" s="57" t="s">
        <v>78</v>
      </c>
      <c r="E18" s="17">
        <v>0</v>
      </c>
      <c r="F18" s="57" t="s">
        <v>79</v>
      </c>
      <c r="G18" s="58">
        <v>0.05</v>
      </c>
      <c r="H18" s="1" t="s">
        <v>41</v>
      </c>
    </row>
    <row r="19" spans="1:8" ht="15" customHeight="1" x14ac:dyDescent="0.25">
      <c r="A19" s="10">
        <v>16</v>
      </c>
      <c r="B19" s="11" t="s">
        <v>100</v>
      </c>
      <c r="C19" s="56" t="s">
        <v>77</v>
      </c>
      <c r="D19" s="57" t="s">
        <v>78</v>
      </c>
      <c r="E19" s="17">
        <v>0</v>
      </c>
      <c r="F19" s="57" t="s">
        <v>79</v>
      </c>
      <c r="G19" s="58">
        <v>0.05</v>
      </c>
      <c r="H19" s="1" t="s">
        <v>41</v>
      </c>
    </row>
    <row r="20" spans="1:8" ht="15" customHeight="1" x14ac:dyDescent="0.25">
      <c r="A20" s="21">
        <v>17</v>
      </c>
      <c r="B20" s="22" t="s">
        <v>101</v>
      </c>
      <c r="C20" s="60" t="s">
        <v>102</v>
      </c>
      <c r="D20" s="61" t="s">
        <v>78</v>
      </c>
      <c r="E20" s="62">
        <v>0</v>
      </c>
      <c r="F20" s="61" t="s">
        <v>79</v>
      </c>
      <c r="G20" s="63">
        <v>0.05</v>
      </c>
      <c r="H20" s="1" t="s">
        <v>42</v>
      </c>
    </row>
    <row r="21" spans="1:8" ht="15" customHeight="1" x14ac:dyDescent="0.25">
      <c r="A21" s="21">
        <v>18</v>
      </c>
      <c r="B21" s="22" t="s">
        <v>103</v>
      </c>
      <c r="C21" s="60" t="s">
        <v>102</v>
      </c>
      <c r="D21" s="61" t="s">
        <v>78</v>
      </c>
      <c r="E21" s="62">
        <v>0</v>
      </c>
      <c r="F21" s="61" t="s">
        <v>79</v>
      </c>
      <c r="G21" s="63">
        <v>0.05</v>
      </c>
      <c r="H21" s="1" t="s">
        <v>42</v>
      </c>
    </row>
    <row r="22" spans="1:8" ht="15" customHeight="1" x14ac:dyDescent="0.25">
      <c r="A22" s="64"/>
      <c r="B22" s="65" t="s">
        <v>45</v>
      </c>
      <c r="C22" s="64"/>
      <c r="D22" s="64"/>
      <c r="E22" s="24">
        <f>SUM(E4:E21)</f>
        <v>0</v>
      </c>
      <c r="F22" s="64"/>
      <c r="G22" s="6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7551-58F6-443A-961C-10CD0BED2FFC}">
  <dimension ref="A1"/>
  <sheetViews>
    <sheetView workbookViewId="0"/>
  </sheetViews>
  <sheetFormatPr defaultRowHeight="15" x14ac:dyDescent="0.25"/>
  <sheetData>
    <row r="1" spans="1:1" x14ac:dyDescent="0.25">
      <c r="A1" t="s">
        <v>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dimension ref="A1"/>
  <sheetData/>
</worksheet>
</file>

<file path=xl/worksheets/sheet7.xml><?xml version="1.0" encoding="utf-8"?>
<worksheet xmlns="http://schemas.openxmlformats.org/spreadsheetml/2006/main">
  <dimension ref="A1"/>
  <sheetData/>
</worksheet>
</file>

<file path=xl/worksheets/sheet8.xml><?xml version="1.0" encoding="utf-8"?>
<worksheet xmlns="http://schemas.openxmlformats.org/spreadsheetml/2006/main">
  <dimension ref="A1"/>
  <sheetData/>
</worksheet>
</file>

<file path=xl/worksheets/sheet9.xml><?xml version="1.0" encoding="utf-8"?>
<worksheet xmlns="http://schemas.openxmlformats.org/spreadsheetml/2006/main">
  <dimension ref="A1"/>
  <sheetData/>
</worksheet>
</file>

<file path=xl/worksheets/sheet10.xml><?xml version="1.0" encoding="utf-8"?>
<worksheet xmlns="http://schemas.openxmlformats.org/spreadsheetml/2006/main">
  <dimension ref="A1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2</vt:i4>
      </vt:variant>
    </vt:vector>
  </HeadingPairs>
  <TitlesOfParts>
    <vt:vector size="12" baseType="lpstr">
      <vt:lpstr>Ввод</vt:lpstr>
      <vt:lpstr>Отчёт_дня</vt:lpstr>
      <vt:lpstr>Дашборд</vt:lpstr>
      <vt:lpstr>Справочники</vt:lpstr>
      <vt:lpstr>Gaplashgan</vt:lpstr>
      <vt:lpstr>Обещали</vt:lpstr>
      <vt:lpstr>Ko'tarmadi</vt:lpstr>
      <vt:lpstr>Объезд</vt:lpstr>
      <vt:lpstr>Оплатили</vt:lpstr>
      <vt:lpstr>Оплатили без разговора</vt:lpstr>
      <vt:lpstr>Ввод!Print_Titles</vt:lpstr>
      <vt:lpstr>БазоваяПапка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Ulug`bek Iminov</cp:lastModifiedBy>
  <cp:revision>4</cp:revision>
  <dcterms:created xsi:type="dcterms:W3CDTF">2026-09-04T10:48:33Z</dcterms:created>
  <dcterms:modified xsi:type="dcterms:W3CDTF">2026-09-14T10:45:42Z</dcterms:modified>
  <dc:language>en-US</dc:language>
</cp:coreProperties>
</file>