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0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Gaplashgan" sheetId="5" r:id="rId5"/>
    <sheet name="Обещали" sheetId="6" r:id="rId10"/>
    <sheet name="Ko'tarmadi" sheetId="8" r:id="rId12"/>
    <sheet name="Объезд" sheetId="9" r:id="rId13"/>
    <sheet name="Оплатили" sheetId="7" r:id="rId11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Дату и все числа таблицы бот заполняет сам при сборке отчёта — вручную ничего вводить не нужно.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<sst xmlns="http://schemas.openxmlformats.org/spreadsheetml/2006/main" count="204" uniqueCount="108">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</sst>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i/>
      <sz val="9"/>
      <color rgb="FF595959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0" borderId="0" xfId="0" applyFont="1" applyAlignment="1">
      <alignment horizontal="left" vertical="top"/>
    </xf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Дашборд!$A$32:$A$35</c:f>
              <c:strCache>
                <c:ptCount val="4"/>
                <c:pt idx="0">
                  <c:v>Дозвон всего</c:v>
                </c:pt>
                <c:pt idx="1">
                  <c:v>Ko'tarmadi</c:v>
                </c:pt>
                <c:pt idx="2">
                  <c:v>Объезд</c:v>
                </c:pt>
                <c:pt idx="3">
                  <c:v>Ishlanmagan</c:v>
                </c:pt>
              </c:strCache>
            </c:str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21"/>
  <sheetViews>
    <sheetView tabSelected="1"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3" style="1" customWidth="1"/>
    <col min="7" max="7" width="16" style="1" customWidth="1"/>
    <col min="8" max="8" width="11" style="1" customWidth="1"/>
    <col min="9" max="9" width="15" style="1" customWidth="1"/>
    <col min="10" max="10" width="11" style="1" customWidth="1"/>
    <col min="11" max="11" width="15" style="1" customWidth="1"/>
    <col min="12" max="12" width="11" style="1" customWidth="1"/>
    <col min="13" max="13" width="15" style="1" customWidth="1"/>
    <col min="14" max="14" width="10" style="1" customWidth="1"/>
    <col min="15" max="15" width="15" style="1" customWidth="1"/>
    <col min="16" max="16" width="13" style="1" customWidth="1"/>
    <col min="17" max="17" width="15" style="1" customWidth="1"/>
    <col min="18" max="18" width="10" style="1" customWidth="1"/>
    <col min="19" max="19" width="15" style="1" customWidth="1"/>
    <col min="20" max="20" width="10" style="1" customWidth="1"/>
    <col min="21" max="21" width="15" style="1" customWidth="1"/>
    <col min="22" max="22" width="10" style="1" customWidth="1"/>
    <col min="23" max="23" width="16" style="1" customWidth="1"/>
    <col min="24" max="24" width="10" style="1" customWidth="1"/>
    <col min="25" max="25" width="11" style="1" customWidth="1"/>
    <col min="26" max="26" width="12" style="1" customWidth="1"/>
    <col min="27" max="27" width="11" style="1" customWidth="1"/>
    <col min="28" max="28" width="11" style="1" customWidth="1"/>
    <col min="29" max="29" width="22" style="1" customWidth="1"/>
    <col min="30" max="30" width="18" style="1" customWidth="1"/>
    <col min="31" max="31" width="26" style="1" hidden="1" customWidth="1"/>
    <col min="32" max="32" width="1" style="1" hidden="1" customWidth="1"/>
    <col min="33" max="33" width="1" style="1" hidden="1" customWidth="1"/>
  </cols>
  <sheetData>
    <row r="1" ht="17.25" customHeight="1" x14ac:dyDescent="0.25">
      <c r="A1" s="74"/>
      <c r="B1" s="74"/>
      <c r="C1" s="74"/>
      <c r="D1" s="74"/>
      <c r="E1" s="74"/>
      <c r="F1" s="74"/>
      <c r="G1" s="74"/>
      <c r="H1" s="74"/>
    </row>
    <row r="2" ht="15" customHeight="1" x14ac:dyDescent="0.25">
      <c r="A2" s="75" t="s">
        <v>0</v>
      </c>
      <c r="B2" s="75"/>
      <c r="C2" s="2">
        <v>46272</v>
      </c>
      <c r="E2" s="75"/>
      <c r="F2" s="75"/>
      <c r="G2" s="3"/>
      <c r="H2" s="4"/>
      <c r="L2" s="75"/>
      <c r="M2" s="75"/>
      <c r="N2" s="6"/>
    </row>
    <row r="3" ht="25.5" customHeight="1" x14ac:dyDescent="0.25">
      <c r="A3" s="76"/>
      <c r="B3" s="76"/>
      <c r="C3" s="76"/>
      <c r="D3" s="76"/>
      <c r="E3" s="76"/>
      <c r="F3" s="76"/>
      <c r="G3" s="76"/>
      <c r="H3" s="76"/>
      <c r="K3" s="76"/>
      <c r="L3" s="76"/>
      <c r="M3" s="76"/>
      <c r="N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ht="51.75" customHeight="1" x14ac:dyDescent="0.25">
      <c r="E4" s="73" t="s">
        <v>1</v>
      </c>
      <c r="F4" s="73"/>
      <c r="G4" s="68" t="s">
        <v>2</v>
      </c>
      <c r="H4" s="68"/>
      <c r="I4" s="70" t="inlineStr">
        <is>
          <t xml:space="preserve">ЗВОНКИ</t>
        </is>
      </c>
      <c r="J4" s="71"/>
      <c r="K4" s="70" t="inlineStr">
        <is>
          <t xml:space="preserve">GAPLASHGAN / ОБЕЩАЛИ</t>
        </is>
      </c>
      <c r="L4" s="71"/>
      <c r="M4" s="71"/>
      <c r="N4" s="72"/>
      <c r="O4" s="70" t="inlineStr">
        <is>
          <t xml:space="preserve">НЕ ДОЗВОНИЛИСЬ / ОБЪЕЗД</t>
        </is>
      </c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inlineStr">
        <is>
          <t xml:space="preserve">Звонков всего,
сум</t>
        </is>
      </c>
      <c r="J5" s="7" t="inlineStr">
        <is>
          <t xml:space="preserve">Звонков всего,
шт</t>
        </is>
      </c>
      <c r="K5" s="7" t="inlineStr">
        <is>
          <t xml:space="preserve">Gaplashgan,
сум</t>
        </is>
      </c>
      <c r="L5" s="7" t="inlineStr">
        <is>
          <t xml:space="preserve">Gaplashgan,
шт</t>
        </is>
      </c>
      <c r="M5" s="7" t="s">
        <v>18</v>
      </c>
      <c r="N5" s="7" t="s">
        <v>19</v>
      </c>
      <c r="O5" s="7" t="inlineStr">
        <is>
          <t xml:space="preserve">Ko'tarmadi,
сум</t>
        </is>
      </c>
      <c r="P5" s="7" t="inlineStr">
        <is>
          <t xml:space="preserve">Ko'tarmadi,
шт</t>
        </is>
      </c>
      <c r="Q5" s="7" t="inlineStr">
        <is>
          <t xml:space="preserve">Объезд,
сум</t>
        </is>
      </c>
      <c r="R5" s="7" t="inlineStr">
        <is>
          <t xml:space="preserve">Объезд,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inlineStr">
        <is>
          <t xml:space="preserve">Оплачено общее,
сум</t>
        </is>
      </c>
      <c r="X5" s="7" t="inlineStr">
        <is>
          <t xml:space="preserve">Оплачено общее,
шт</t>
        </is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</c>
      <c r="D6" s="13">
        <f>SUMIF(Справочники!$H$4:$H$21,$B6,Справочники!$E$4:$E$21)</f>
      </c>
      <c r="E6" s="14">
        <v>21670183628.189999</v>
      </c>
      <c r="F6" s="13">
        <v>445</v>
      </c>
      <c r="G6" s="14">
        <v>0</v>
      </c>
      <c r="H6" s="13">
        <v>0</v>
      </c>
      <c r="I6" s="14">
        <v>0</v>
      </c>
      <c r="J6" s="13">
        <v>0</v>
      </c>
      <c r="K6" s="14">
        <v>0</v>
      </c>
      <c r="L6" s="13">
        <v>0</v>
      </c>
      <c r="M6" s="14">
        <v>0</v>
      </c>
      <c r="N6" s="13">
        <v>0</v>
      </c>
      <c r="O6" s="14" t="n">
        <v>0</v>
      </c>
      <c r="P6" s="13" t="n">
        <v>0</v>
      </c>
      <c r="Q6" s="14">
        <v>216997310.13</v>
      </c>
      <c r="R6" s="13">
        <v>32</v>
      </c>
      <c r="S6" s="14">
        <v>0</v>
      </c>
      <c r="T6" s="13">
        <v>0</v>
      </c>
      <c r="U6" s="14" t="n">
        <v>0</v>
      </c>
      <c r="V6" s="13" t="n">
        <v>0</v>
      </c>
      <c r="W6" s="16">
        <v>0</v>
      </c>
      <c r="X6" s="17">
        <v>0</v>
      </c>
      <c r="Y6" s="15">
        <f>IFERROR($L6/$H6,"")</f>
      </c>
      <c r="Z6" s="15" t="str">
        <f>IFERROR($N6/$L6,"")</f>
      </c>
      <c r="AA6" s="18" t="str">
        <f>IFERROR($H6/$D6,"")</f>
      </c>
      <c r="AB6" s="19" t="str">
        <f>IFERROR($L6/$D6,"")</f>
      </c>
      <c r="AE6" s="20">
        <f>IFERROR($Y6,0)+ROW()/1000000</f>
      </c>
    </row>
    <row r="7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</c>
      <c r="D7" s="13">
        <f>SUMIF(Справочники!$H$4:$H$21,$B7,Справочники!$E$4:$E$21)</f>
      </c>
      <c r="E7" s="14">
        <v>5123173370.1599998</v>
      </c>
      <c r="F7" s="13">
        <v>167</v>
      </c>
      <c r="G7" s="14">
        <v>0</v>
      </c>
      <c r="H7" s="13">
        <v>0</v>
      </c>
      <c r="I7" s="14">
        <v>0</v>
      </c>
      <c r="J7" s="13">
        <v>0</v>
      </c>
      <c r="K7" s="14">
        <v>0</v>
      </c>
      <c r="L7" s="13">
        <v>0</v>
      </c>
      <c r="M7" s="14">
        <v>0</v>
      </c>
      <c r="N7" s="13">
        <v>0</v>
      </c>
      <c r="O7" s="14" t="n">
        <v>0</v>
      </c>
      <c r="P7" s="13" t="n">
        <v>0</v>
      </c>
      <c r="Q7" s="14">
        <v>202669512.91</v>
      </c>
      <c r="R7" s="13">
        <v>18</v>
      </c>
      <c r="S7" s="14">
        <v>0</v>
      </c>
      <c r="T7" s="13">
        <v>0</v>
      </c>
      <c r="U7" s="14" t="n">
        <v>0</v>
      </c>
      <c r="V7" s="13" t="n">
        <v>0</v>
      </c>
      <c r="W7" s="16">
        <v>0</v>
      </c>
      <c r="X7" s="17">
        <v>0</v>
      </c>
      <c r="Y7" s="15">
        <f>IFERROR($L7/$H7,"")</f>
      </c>
      <c r="Z7" s="15" t="str">
        <f>IFERROR($N7/$L7,"")</f>
      </c>
      <c r="AA7" s="18" t="str">
        <f>IFERROR($H7/$D7,"")</f>
      </c>
      <c r="AB7" s="19" t="str">
        <f>IFERROR($L7/$D7,"")</f>
      </c>
      <c r="AE7" s="20">
        <f>IFERROR($Y7,0)+ROW()/1000000</f>
      </c>
    </row>
    <row r="8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</c>
      <c r="D8" s="13">
        <f>SUMIF(Справочники!$H$4:$H$21,$B8,Справочники!$E$4:$E$21)</f>
      </c>
      <c r="E8" s="14">
        <v>13904205190.280001</v>
      </c>
      <c r="F8" s="13">
        <v>493</v>
      </c>
      <c r="G8" s="14">
        <v>0</v>
      </c>
      <c r="H8" s="13">
        <v>0</v>
      </c>
      <c r="I8" s="14">
        <v>0</v>
      </c>
      <c r="J8" s="13">
        <v>0</v>
      </c>
      <c r="K8" s="14">
        <v>98595598.590000004</v>
      </c>
      <c r="L8" s="13">
        <v>20</v>
      </c>
      <c r="M8" s="14">
        <v>95111852.719999999</v>
      </c>
      <c r="N8" s="13">
        <v>19</v>
      </c>
      <c r="O8" s="14" t="n">
        <v>0</v>
      </c>
      <c r="P8" s="13" t="n">
        <v>0</v>
      </c>
      <c r="Q8" s="14">
        <v>151257200.83000001</v>
      </c>
      <c r="R8" s="13">
        <v>31</v>
      </c>
      <c r="S8" s="14">
        <v>0</v>
      </c>
      <c r="T8" s="13">
        <v>0</v>
      </c>
      <c r="U8" s="14" t="n">
        <v>0</v>
      </c>
      <c r="V8" s="13" t="n">
        <v>0</v>
      </c>
      <c r="W8" s="16">
        <v>0</v>
      </c>
      <c r="X8" s="17">
        <v>6</v>
      </c>
      <c r="Y8" s="15">
        <f>IFERROR($L8/$H8,"")</f>
      </c>
      <c r="Z8" s="15">
        <f>IFERROR($N8/$L8,"")</f>
      </c>
      <c r="AA8" s="18" t="str">
        <f>IFERROR($H8/$D8,"")</f>
      </c>
      <c r="AB8" s="19" t="str">
        <f>IFERROR($L8/$D8,"")</f>
      </c>
      <c r="AE8" s="20">
        <f>IFERROR($Y8,0)+ROW()/1000000</f>
      </c>
    </row>
    <row r="9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</c>
      <c r="D9" s="13">
        <f>SUMIF(Справочники!$H$4:$H$21,$B9,Справочники!$E$4:$E$21)</f>
      </c>
      <c r="E9" s="14">
        <v>12186568520.77</v>
      </c>
      <c r="F9" s="13">
        <v>418</v>
      </c>
      <c r="G9" s="14">
        <v>0</v>
      </c>
      <c r="H9" s="13">
        <v>0</v>
      </c>
      <c r="I9" s="14">
        <v>0</v>
      </c>
      <c r="J9" s="13">
        <v>0</v>
      </c>
      <c r="K9" s="14">
        <v>147353790.88</v>
      </c>
      <c r="L9" s="13">
        <v>29</v>
      </c>
      <c r="M9" s="14">
        <v>76778558</v>
      </c>
      <c r="N9" s="13">
        <v>18</v>
      </c>
      <c r="O9" s="14" t="n">
        <v>0</v>
      </c>
      <c r="P9" s="13" t="n">
        <v>0</v>
      </c>
      <c r="Q9" s="14">
        <v>58204169.240000002</v>
      </c>
      <c r="R9" s="13">
        <v>4</v>
      </c>
      <c r="S9" s="14">
        <v>0</v>
      </c>
      <c r="T9" s="13">
        <v>0</v>
      </c>
      <c r="U9" s="14" t="n">
        <v>0</v>
      </c>
      <c r="V9" s="13" t="n">
        <v>0</v>
      </c>
      <c r="W9" s="16">
        <v>0</v>
      </c>
      <c r="X9" s="17">
        <v>5</v>
      </c>
      <c r="Y9" s="15">
        <f>IFERROR($L9/$H9,"")</f>
      </c>
      <c r="Z9" s="15">
        <f>IFERROR($N9/$L9,"")</f>
      </c>
      <c r="AA9" s="18" t="str">
        <f>IFERROR($H9/$D9,"")</f>
      </c>
      <c r="AB9" s="19" t="str">
        <f>IFERROR($L9/$D9,"")</f>
      </c>
      <c r="AE9" s="20">
        <f>IFERROR($Y9,0)+ROW()/1000000</f>
      </c>
    </row>
    <row r="10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</c>
      <c r="D10" s="13">
        <f>SUMIF(Справочники!$H$4:$H$21,$B10,Справочники!$E$4:$E$21)</f>
      </c>
      <c r="E10" s="14">
        <v>11119544923.16</v>
      </c>
      <c r="F10" s="13">
        <v>269</v>
      </c>
      <c r="G10" s="14">
        <v>0</v>
      </c>
      <c r="H10" s="13">
        <v>0</v>
      </c>
      <c r="I10" s="14">
        <v>0</v>
      </c>
      <c r="J10" s="13">
        <v>0</v>
      </c>
      <c r="K10" s="14">
        <v>161024730.06</v>
      </c>
      <c r="L10" s="13">
        <v>20</v>
      </c>
      <c r="M10" s="14">
        <v>13359882.640000001</v>
      </c>
      <c r="N10" s="13">
        <v>4</v>
      </c>
      <c r="O10" s="14" t="n">
        <v>0</v>
      </c>
      <c r="P10" s="13" t="n">
        <v>0</v>
      </c>
      <c r="Q10" s="14">
        <v>98614854.400000006</v>
      </c>
      <c r="R10" s="13">
        <v>6</v>
      </c>
      <c r="S10" s="14">
        <v>0</v>
      </c>
      <c r="T10" s="13">
        <v>0</v>
      </c>
      <c r="U10" s="14" t="n">
        <v>0</v>
      </c>
      <c r="V10" s="13" t="n">
        <v>0</v>
      </c>
      <c r="W10" s="16">
        <v>0</v>
      </c>
      <c r="X10" s="17">
        <v>2</v>
      </c>
      <c r="Y10" s="15">
        <f>IFERROR($L10/$H10,"")</f>
      </c>
      <c r="Z10" s="15">
        <f>IFERROR($N10/$L10,"")</f>
      </c>
      <c r="AA10" s="18" t="str">
        <f>IFERROR($H10/$D10,"")</f>
      </c>
      <c r="AB10" s="19" t="str">
        <f>IFERROR($L10/$D10,"")</f>
      </c>
      <c r="AE10" s="20">
        <f>IFERROR($Y10,0)+ROW()/1000000</f>
      </c>
    </row>
    <row r="1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</c>
      <c r="D11" s="13">
        <f>SUMIF(Справочники!$H$4:$H$21,$B11,Справочники!$E$4:$E$21)</f>
      </c>
      <c r="E11" s="14">
        <v>6476844959.7000103</v>
      </c>
      <c r="F11" s="13">
        <v>209</v>
      </c>
      <c r="G11" s="14">
        <v>0</v>
      </c>
      <c r="H11" s="13">
        <v>0</v>
      </c>
      <c r="I11" s="14">
        <v>0</v>
      </c>
      <c r="J11" s="13">
        <v>0</v>
      </c>
      <c r="K11" s="14">
        <v>9768297.2400000002</v>
      </c>
      <c r="L11" s="13">
        <v>1</v>
      </c>
      <c r="M11" s="14">
        <v>9768297.2400000002</v>
      </c>
      <c r="N11" s="13">
        <v>1</v>
      </c>
      <c r="O11" s="14" t="n">
        <v>0</v>
      </c>
      <c r="P11" s="13" t="n">
        <v>0</v>
      </c>
      <c r="Q11" s="14">
        <v>97317049.870000005</v>
      </c>
      <c r="R11" s="13">
        <v>17</v>
      </c>
      <c r="S11" s="14">
        <v>0</v>
      </c>
      <c r="T11" s="13">
        <v>0</v>
      </c>
      <c r="U11" s="14" t="n">
        <v>0</v>
      </c>
      <c r="V11" s="13" t="n">
        <v>0</v>
      </c>
      <c r="W11" s="16">
        <v>0</v>
      </c>
      <c r="X11" s="17">
        <v>0</v>
      </c>
      <c r="Y11" s="15">
        <f>IFERROR($L11/$H11,"")</f>
      </c>
      <c r="Z11" s="15">
        <f>IFERROR($N11/$L11,"")</f>
      </c>
      <c r="AA11" s="18" t="str">
        <f>IFERROR($H11/$D11,"")</f>
      </c>
      <c r="AB11" s="19" t="str">
        <f>IFERROR($L11/$D11,"")</f>
      </c>
      <c r="AE11" s="20">
        <f>IFERROR($Y11,0)+ROW()/1000000</f>
      </c>
    </row>
    <row r="12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</c>
      <c r="D12" s="13">
        <f>SUMIF(Справочники!$H$4:$H$21,$B12,Справочники!$E$4:$E$21)</f>
      </c>
      <c r="E12" s="14">
        <v>14729615980.030001</v>
      </c>
      <c r="F12" s="13">
        <v>438</v>
      </c>
      <c r="G12" s="14">
        <v>0</v>
      </c>
      <c r="H12" s="13">
        <v>0</v>
      </c>
      <c r="I12" s="14">
        <v>0</v>
      </c>
      <c r="J12" s="13">
        <v>0</v>
      </c>
      <c r="K12" s="14">
        <v>458648201.79000002</v>
      </c>
      <c r="L12" s="13">
        <v>30</v>
      </c>
      <c r="M12" s="14">
        <v>458648201.79000002</v>
      </c>
      <c r="N12" s="13">
        <v>30</v>
      </c>
      <c r="O12" s="14" t="n">
        <v>0</v>
      </c>
      <c r="P12" s="13" t="n">
        <v>0</v>
      </c>
      <c r="Q12" s="14">
        <v>139350305.13999999</v>
      </c>
      <c r="R12" s="13">
        <v>32</v>
      </c>
      <c r="S12" s="14">
        <v>0</v>
      </c>
      <c r="T12" s="13">
        <v>0</v>
      </c>
      <c r="U12" s="14" t="n">
        <v>0</v>
      </c>
      <c r="V12" s="13" t="n">
        <v>0</v>
      </c>
      <c r="W12" s="16">
        <v>0</v>
      </c>
      <c r="X12" s="17">
        <v>5</v>
      </c>
      <c r="Y12" s="15">
        <f>IFERROR($L12/$H12,"")</f>
      </c>
      <c r="Z12" s="15">
        <f>IFERROR($N12/$L12,"")</f>
      </c>
      <c r="AA12" s="18" t="str">
        <f>IFERROR($H12/$D12,"")</f>
      </c>
      <c r="AB12" s="19" t="str">
        <f>IFERROR($L12/$D12,"")</f>
      </c>
      <c r="AE12" s="20">
        <f>IFERROR($Y12,0)+ROW()/1000000</f>
      </c>
    </row>
    <row r="13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</c>
      <c r="D13" s="13">
        <f>SUMIF(Справочники!$H$4:$H$21,$B13,Справочники!$E$4:$E$21)</f>
      </c>
      <c r="E13" s="14">
        <v>16007858956.77</v>
      </c>
      <c r="F13" s="13">
        <v>549</v>
      </c>
      <c r="G13" s="14">
        <v>0</v>
      </c>
      <c r="H13" s="13">
        <v>0</v>
      </c>
      <c r="I13" s="14">
        <v>0</v>
      </c>
      <c r="J13" s="13">
        <v>0</v>
      </c>
      <c r="K13" s="14">
        <v>38436085.840000004</v>
      </c>
      <c r="L13" s="13">
        <v>15</v>
      </c>
      <c r="M13" s="14">
        <v>38436085.840000004</v>
      </c>
      <c r="N13" s="13">
        <v>15</v>
      </c>
      <c r="O13" s="14" t="n">
        <v>0</v>
      </c>
      <c r="P13" s="13" t="n">
        <v>0</v>
      </c>
      <c r="Q13" s="14">
        <v>228776339.74000001</v>
      </c>
      <c r="R13" s="13">
        <v>46</v>
      </c>
      <c r="S13" s="14">
        <v>0</v>
      </c>
      <c r="T13" s="13">
        <v>0</v>
      </c>
      <c r="U13" s="14" t="n">
        <v>0</v>
      </c>
      <c r="V13" s="13" t="n">
        <v>0</v>
      </c>
      <c r="W13" s="16">
        <v>0</v>
      </c>
      <c r="X13" s="17">
        <v>1</v>
      </c>
      <c r="Y13" s="15">
        <f>IFERROR($L13/$H13,"")</f>
      </c>
      <c r="Z13" s="15">
        <f>IFERROR($N13/$L13,"")</f>
      </c>
      <c r="AA13" s="18" t="str">
        <f>IFERROR($H13/$D13,"")</f>
      </c>
      <c r="AB13" s="19" t="str">
        <f>IFERROR($L13/$D13,"")</f>
      </c>
      <c r="AE13" s="20">
        <f>IFERROR($Y13,0)+ROW()/1000000</f>
      </c>
    </row>
    <row r="14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</c>
      <c r="D14" s="13">
        <f>SUMIF(Справочники!$H$4:$H$21,$B14,Справочники!$E$4:$E$21)</f>
      </c>
      <c r="E14" s="14">
        <v>7189760534.1000004</v>
      </c>
      <c r="F14" s="13">
        <v>151</v>
      </c>
      <c r="G14" s="14">
        <v>0</v>
      </c>
      <c r="H14" s="13">
        <v>0</v>
      </c>
      <c r="I14" s="14">
        <v>0</v>
      </c>
      <c r="J14" s="13">
        <v>0</v>
      </c>
      <c r="K14" s="14">
        <v>45343085.590000004</v>
      </c>
      <c r="L14" s="13">
        <v>10</v>
      </c>
      <c r="M14" s="14">
        <v>6824473.1699999999</v>
      </c>
      <c r="N14" s="13">
        <v>1</v>
      </c>
      <c r="O14" s="14" t="n">
        <v>0</v>
      </c>
      <c r="P14" s="13" t="n">
        <v>0</v>
      </c>
      <c r="Q14" s="14">
        <v>52347364.600000001</v>
      </c>
      <c r="R14" s="13">
        <v>7</v>
      </c>
      <c r="S14" s="14">
        <v>0</v>
      </c>
      <c r="T14" s="13">
        <v>0</v>
      </c>
      <c r="U14" s="14" t="n">
        <v>0</v>
      </c>
      <c r="V14" s="13" t="n">
        <v>0</v>
      </c>
      <c r="W14" s="16">
        <v>0</v>
      </c>
      <c r="X14" s="17">
        <v>0</v>
      </c>
      <c r="Y14" s="15">
        <f>IFERROR($L14/$H14,"")</f>
      </c>
      <c r="Z14" s="15">
        <f>IFERROR($N14/$L14,"")</f>
      </c>
      <c r="AA14" s="18" t="str">
        <f>IFERROR($H14/$D14,"")</f>
      </c>
      <c r="AB14" s="19" t="str">
        <f>IFERROR($L14/$D14,"")</f>
      </c>
      <c r="AE14" s="20">
        <f>IFERROR($Y14,0)+ROW()/1000000</f>
      </c>
    </row>
    <row r="15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</c>
      <c r="D15" s="13">
        <f>SUMIF(Справочники!$H$4:$H$21,$B15,Справочники!$E$4:$E$21)</f>
      </c>
      <c r="E15" s="14">
        <v>16585229279.559999</v>
      </c>
      <c r="F15" s="13">
        <v>558</v>
      </c>
      <c r="G15" s="14">
        <v>0</v>
      </c>
      <c r="H15" s="13">
        <v>0</v>
      </c>
      <c r="I15" s="14">
        <v>0</v>
      </c>
      <c r="J15" s="13">
        <v>0</v>
      </c>
      <c r="K15" s="14">
        <v>129816911.17</v>
      </c>
      <c r="L15" s="13">
        <v>18</v>
      </c>
      <c r="M15" s="14">
        <v>2379524.4900000002</v>
      </c>
      <c r="N15" s="13">
        <v>2</v>
      </c>
      <c r="O15" s="14" t="n">
        <v>0</v>
      </c>
      <c r="P15" s="13" t="n">
        <v>0</v>
      </c>
      <c r="Q15" s="14">
        <v>953934183.02999997</v>
      </c>
      <c r="R15" s="13">
        <v>79</v>
      </c>
      <c r="S15" s="14">
        <v>3291590.6</v>
      </c>
      <c r="T15" s="13">
        <v>2</v>
      </c>
      <c r="U15" s="14" t="n">
        <v>0</v>
      </c>
      <c r="V15" s="13" t="n">
        <v>0</v>
      </c>
      <c r="W15" s="16">
        <v>0</v>
      </c>
      <c r="X15" s="17">
        <v>6</v>
      </c>
      <c r="Y15" s="15">
        <f>IFERROR($L15/$H15,"")</f>
      </c>
      <c r="Z15" s="15">
        <f>IFERROR($N15/$L15,"")</f>
      </c>
      <c r="AA15" s="18" t="str">
        <f>IFERROR($H15/$D15,"")</f>
      </c>
      <c r="AB15" s="19" t="str">
        <f>IFERROR($L15/$D15,"")</f>
      </c>
      <c r="AE15" s="20">
        <f>IFERROR($Y15,0)+ROW()/1000000</f>
      </c>
    </row>
    <row r="16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</c>
      <c r="D16" s="13">
        <f>SUMIF(Справочники!$H$4:$H$21,$B16,Справочники!$E$4:$E$21)</f>
      </c>
      <c r="E16" s="14">
        <v>36871386933.1101</v>
      </c>
      <c r="F16" s="13">
        <v>842</v>
      </c>
      <c r="G16" s="14">
        <v>0</v>
      </c>
      <c r="H16" s="13">
        <v>0</v>
      </c>
      <c r="I16" s="14">
        <v>0</v>
      </c>
      <c r="J16" s="13">
        <v>0</v>
      </c>
      <c r="K16" s="14">
        <v>0</v>
      </c>
      <c r="L16" s="13">
        <v>0</v>
      </c>
      <c r="M16" s="14">
        <v>0</v>
      </c>
      <c r="N16" s="13">
        <v>0</v>
      </c>
      <c r="O16" s="14" t="n">
        <v>0</v>
      </c>
      <c r="P16" s="13" t="n">
        <v>0</v>
      </c>
      <c r="Q16" s="14">
        <v>886986634.88</v>
      </c>
      <c r="R16" s="13">
        <v>93</v>
      </c>
      <c r="S16" s="14">
        <v>0</v>
      </c>
      <c r="T16" s="13">
        <v>0</v>
      </c>
      <c r="U16" s="14" t="n">
        <v>0</v>
      </c>
      <c r="V16" s="13" t="n">
        <v>0</v>
      </c>
      <c r="W16" s="16">
        <v>0</v>
      </c>
      <c r="X16" s="17">
        <v>0</v>
      </c>
      <c r="Y16" s="15">
        <f>IFERROR($L16/$H16,"")</f>
      </c>
      <c r="Z16" s="15" t="str">
        <f>IFERROR($N16/$L16,"")</f>
      </c>
      <c r="AA16" s="18" t="str">
        <f>IFERROR($H16/$D16,"")</f>
      </c>
      <c r="AB16" s="19" t="str">
        <f>IFERROR($L16/$D16,"")</f>
      </c>
      <c r="AE16" s="20">
        <f>IFERROR($Y16,0)+ROW()/1000000</f>
      </c>
    </row>
    <row r="17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</c>
      <c r="D17" s="13">
        <f>SUMIF(Справочники!$H$4:$H$21,$B17,Справочники!$E$4:$E$21)</f>
      </c>
      <c r="E17" s="14">
        <v>43531854598.510101</v>
      </c>
      <c r="F17" s="13">
        <v>908</v>
      </c>
      <c r="G17" s="14">
        <v>0</v>
      </c>
      <c r="H17" s="13">
        <v>0</v>
      </c>
      <c r="I17" s="14">
        <v>0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 t="n">
        <v>0</v>
      </c>
      <c r="P17" s="13" t="n">
        <v>0</v>
      </c>
      <c r="Q17" s="14">
        <v>1625726684.3</v>
      </c>
      <c r="R17" s="13">
        <v>115</v>
      </c>
      <c r="S17" s="14">
        <v>0</v>
      </c>
      <c r="T17" s="13">
        <v>0</v>
      </c>
      <c r="U17" s="14" t="n">
        <v>0</v>
      </c>
      <c r="V17" s="13" t="n">
        <v>0</v>
      </c>
      <c r="W17" s="16">
        <v>0</v>
      </c>
      <c r="X17" s="17">
        <v>0</v>
      </c>
      <c r="Y17" s="15">
        <f>IFERROR($L17/$H17,"")</f>
      </c>
      <c r="Z17" s="15" t="str">
        <f>IFERROR($N17/$L17,"")</f>
      </c>
      <c r="AA17" s="18" t="str">
        <f>IFERROR($H17/$D17,"")</f>
      </c>
      <c r="AB17" s="19" t="str">
        <f>IFERROR($L17/$D17,"")</f>
      </c>
      <c r="AE17" s="20">
        <f>IFERROR($Y17,0)+ROW()/1000000</f>
      </c>
    </row>
    <row r="18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</c>
      <c r="D18" s="13">
        <f>SUMIF(Справочники!$H$4:$H$21,$B18,Справочники!$E$4:$E$21)</f>
      </c>
      <c r="E18" s="14">
        <v>17403438751.5</v>
      </c>
      <c r="F18" s="13">
        <v>361</v>
      </c>
      <c r="G18" s="14">
        <v>0</v>
      </c>
      <c r="H18" s="13">
        <v>0</v>
      </c>
      <c r="I18" s="14">
        <v>0</v>
      </c>
      <c r="J18" s="13">
        <v>0</v>
      </c>
      <c r="K18" s="14">
        <v>0</v>
      </c>
      <c r="L18" s="13">
        <v>0</v>
      </c>
      <c r="M18" s="14">
        <v>0</v>
      </c>
      <c r="N18" s="13">
        <v>0</v>
      </c>
      <c r="O18" s="14" t="n">
        <v>0</v>
      </c>
      <c r="P18" s="13" t="n">
        <v>0</v>
      </c>
      <c r="Q18" s="14">
        <v>806811380</v>
      </c>
      <c r="R18" s="13">
        <v>53</v>
      </c>
      <c r="S18" s="14">
        <v>0</v>
      </c>
      <c r="T18" s="13">
        <v>0</v>
      </c>
      <c r="U18" s="14" t="n">
        <v>0</v>
      </c>
      <c r="V18" s="13" t="n">
        <v>0</v>
      </c>
      <c r="W18" s="16">
        <v>0</v>
      </c>
      <c r="X18" s="17">
        <v>0</v>
      </c>
      <c r="Y18" s="15">
        <f>IFERROR($L18/$H18,"")</f>
      </c>
      <c r="Z18" s="15" t="str">
        <f>IFERROR($N18/$L18,"")</f>
      </c>
      <c r="AA18" s="18" t="str">
        <f>IFERROR($H18/$D18,"")</f>
      </c>
      <c r="AB18" s="19" t="str">
        <f>IFERROR($L18/$D18,"")</f>
      </c>
      <c r="AE18" s="20">
        <f>IFERROR($Y18,0)+ROW()/1000000</f>
      </c>
    </row>
    <row r="19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</c>
      <c r="D19" s="13">
        <f>SUMIF(Справочники!$H$4:$H$21,$B19,Справочники!$E$4:$E$21)</f>
      </c>
      <c r="E19" s="14">
        <v>20499095940.689999</v>
      </c>
      <c r="F19" s="13">
        <v>504</v>
      </c>
      <c r="G19" s="14">
        <v>0</v>
      </c>
      <c r="H19" s="13">
        <v>0</v>
      </c>
      <c r="I19" s="14">
        <v>0</v>
      </c>
      <c r="J19" s="13">
        <v>0</v>
      </c>
      <c r="K19" s="14">
        <v>99260993.430000007</v>
      </c>
      <c r="L19" s="13">
        <v>23</v>
      </c>
      <c r="M19" s="14">
        <v>46979111.560000002</v>
      </c>
      <c r="N19" s="13">
        <v>6</v>
      </c>
      <c r="O19" s="14" t="n">
        <v>0</v>
      </c>
      <c r="P19" s="13" t="n">
        <v>0</v>
      </c>
      <c r="Q19" s="14">
        <v>194198863.61000001</v>
      </c>
      <c r="R19" s="13">
        <v>26</v>
      </c>
      <c r="S19" s="14">
        <v>0</v>
      </c>
      <c r="T19" s="13">
        <v>0</v>
      </c>
      <c r="U19" s="14" t="n">
        <v>0</v>
      </c>
      <c r="V19" s="13" t="n">
        <v>0</v>
      </c>
      <c r="W19" s="16">
        <v>0</v>
      </c>
      <c r="X19" s="17">
        <v>3</v>
      </c>
      <c r="Y19" s="15">
        <f>IFERROR($L19/$H19,"")</f>
      </c>
      <c r="Z19" s="15">
        <f>IFERROR($N19/$L19,"")</f>
      </c>
      <c r="AA19" s="18" t="str">
        <f>IFERROR($H19/$D19,"")</f>
      </c>
      <c r="AB19" s="19" t="str">
        <f>IFERROR($L19/$D19,"")</f>
      </c>
      <c r="AE19" s="20">
        <f>IFERROR($Y19,0)+ROW()/1000000</f>
      </c>
    </row>
    <row r="20" ht="21.75" customHeight="1" x14ac:dyDescent="0.25">
      <c r="A20" s="23"/>
      <c r="B20" s="69" t="s">
        <v>45</v>
      </c>
      <c r="C20" s="69"/>
      <c r="D20" s="24">
        <f>SUM(D6:D19)</f>
      </c>
      <c r="E20" s="25">
        <f>SUM(E6:E19)</f>
      </c>
      <c r="F20" s="24">
        <f>SUM(F6:F19)</f>
      </c>
      <c r="G20" s="25">
        <f>SUM(G6:G19)</f>
      </c>
      <c r="H20" s="24">
        <f>SUM(H6:H19)</f>
      </c>
      <c r="I20" s="25">
        <f>SUM(I6:I19)</f>
      </c>
      <c r="J20" s="24">
        <f>SUM(J6:J19)</f>
      </c>
      <c r="K20" s="25">
        <f>SUM(K6:K19)</f>
      </c>
      <c r="L20" s="24">
        <f>SUM(L6:L19)</f>
      </c>
      <c r="M20" s="25">
        <f>SUM(M6:M19)</f>
      </c>
      <c r="N20" s="24">
        <f>SUM(N6:N19)</f>
      </c>
      <c r="O20" s="25">
        <f>SUM(O6:O19)</f>
      </c>
      <c r="P20" s="24">
        <f>SUM(P6:P19)</f>
      </c>
      <c r="Q20" s="25">
        <f>SUM(Q6:Q19)</f>
      </c>
      <c r="R20" s="24">
        <f>SUM(R6:R19)</f>
      </c>
      <c r="S20" s="25">
        <f>SUM(S6:S19)</f>
      </c>
      <c r="T20" s="24">
        <f>SUM(T6:T19)</f>
      </c>
      <c r="U20" s="25">
        <f>SUM(U6:U19)</f>
      </c>
      <c r="V20" s="24">
        <f>SUM(V6:V19)</f>
      </c>
      <c r="W20" s="25">
        <f>SUM(W6:W19)</f>
      </c>
      <c r="X20" s="24">
        <f>SUM(X6:X19)</f>
      </c>
      <c r="Y20" s="26">
        <f>IFERROR($L20/$H20,"")</f>
      </c>
      <c r="Z20" s="26">
        <f>IFERROR($N20/$L20,"")</f>
      </c>
      <c r="AA20" s="27" t="str">
        <f>IFERROR($H20/$D20,"")</f>
      </c>
      <c r="AB20" s="28" t="str">
        <f>IFERROR($L20/$D20,"")</f>
      </c>
    </row>
    <row r="21" ht="22.5" customHeight="1" x14ac:dyDescent="0.25">
      <c r="G21" s="95" t="inlineStr">
        <is>
          <t xml:space="preserve">= все кредиты в просрочке</t>
        </is>
      </c>
      <c r="I21" s="95" t="inlineStr">
        <is>
          <t xml:space="preserve">= Gaplashgan + Ko'tarmadi + Объезд (вся работа за день)</t>
        </is>
      </c>
      <c r="K21" s="95" t="inlineStr">
        <is>
          <t xml:space="preserve">= все, кто взял трубку: Va'da berdi + To'ladi</t>
        </is>
      </c>
      <c r="W21" s="95" t="inlineStr">
        <is>
          <t xml:space="preserve">= Оплатил дозвон + Объезд оплатил</t>
        </is>
      </c>
    </row>
    <row r="26" ht="15" customHeight="1" x14ac:dyDescent="0.25">
      <c r="A26" s="29"/>
    </row>
  </sheetData>
  <autoFilter ref="A5:AE19" xr:uid="{00000000-0001-0000-0000-000000000000}"/>
  <mergeCells count="13">
    <mergeCell ref="I4:J4"/>
    <mergeCell ref="A1:H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H4"/>
    <mergeCell ref="S4:X4"/>
  </mergeCells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IFERROR(Ввод!$G$20/Ввод!$E$20,"")</f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inlineStr">
        <is>
          <t xml:space="preserve">Звонков всего, шт</t>
        </is>
      </c>
      <c r="B11" s="83"/>
      <c r="C11" s="83"/>
      <c r="D11" s="31">
        <f>Ввод!$J$20</f>
      </c>
    </row>
    <row r="12" spans="1:9" ht="15" customHeight="1" x14ac:dyDescent="0.25">
      <c r="A12" s="83" t="inlineStr">
        <is>
          <t xml:space="preserve">Gaplashgan, шт</t>
        </is>
      </c>
      <c r="B12" s="83"/>
      <c r="C12" s="83"/>
      <c r="D12" s="31">
        <f>Ввод!$L$20</f>
      </c>
    </row>
    <row r="13" spans="1:9" ht="15" customHeight="1" x14ac:dyDescent="0.25">
      <c r="A13" s="84" t="inlineStr">
        <is>
          <t xml:space="preserve">% дозвона</t>
        </is>
      </c>
      <c r="B13" s="84"/>
      <c r="C13" s="84"/>
      <c r="D13" s="32">
        <f>Ввод!$Y$20</f>
      </c>
    </row>
    <row r="14" spans="1:9" ht="15" customHeight="1" x14ac:dyDescent="0.25">
      <c r="A14" s="83" t="inlineStr">
        <is>
          <t xml:space="preserve">Обещали оплату, шт</t>
        </is>
      </c>
      <c r="B14" s="83"/>
      <c r="C14" s="83"/>
      <c r="D14" s="31">
        <f>Ввод!$N$20</f>
      </c>
    </row>
    <row r="15" spans="1:9" ht="15" customHeight="1" x14ac:dyDescent="0.25">
      <c r="A15" s="83" t="inlineStr">
        <is>
          <t xml:space="preserve">Не взяли трубку (Ko'tarmadi), шт</t>
        </is>
      </c>
      <c r="B15" s="83"/>
      <c r="C15" s="83"/>
      <c r="D15" s="31">
        <f>Ввод!$P$20</f>
      </c>
    </row>
    <row r="16" spans="1:9" ht="15" customHeight="1" x14ac:dyDescent="0.25">
      <c r="A16" s="83" t="inlineStr">
        <is>
          <t xml:space="preserve">Объезд, шт</t>
        </is>
      </c>
      <c r="B16" s="83"/>
      <c r="C16" s="83"/>
      <c r="D16" s="31">
        <f>Ввод!$R$20</f>
      </c>
    </row>
    <row r="17" spans="1:9" ht="15" customHeight="1" x14ac:dyDescent="0.25">
      <c r="A17" s="83" t="inlineStr">
        <is>
          <t xml:space="preserve">Не тронуты (Ishlanmagan), шт</t>
        </is>
      </c>
      <c r="B17" s="83"/>
      <c r="C17" s="83"/>
      <c r="D17" s="31">
        <f>Ввод!$H$20-Ввод!$L$20-Ввод!$P$20-Ввод!$R$20</f>
      </c>
    </row>
    <row r="18" spans="1:9" ht="15" customHeight="1" x14ac:dyDescent="0.25">
      <c r="A18" s="84" t="inlineStr">
        <is>
          <t xml:space="preserve">Оплачено общее (дозвон + объезд), сум</t>
        </is>
      </c>
      <c r="B18" s="84"/>
      <c r="C18" s="84"/>
      <c r="D18" s="31">
        <f>Ввод!$W$20</f>
      </c>
    </row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4">
    <mergeCell ref="A18:C18"/>
    <mergeCell ref="A17:C17"/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 t="inlineStr">
        <is>
          <t xml:space="preserve">СТРУКТУРА РАБОТЫ С ПРОСРОЧКОЙ</t>
        </is>
      </c>
      <c r="B30" s="89"/>
      <c r="C30" s="89"/>
    </row>
    <row r="31" spans="1:14" ht="15" customHeight="1" x14ac:dyDescent="0.25">
      <c r="A31" s="41" t="inlineStr">
        <is>
          <t xml:space="preserve">Группа</t>
        </is>
      </c>
      <c r="B31" s="41" t="inlineStr">
        <is>
          <t xml:space="preserve">Кредитов, шт</t>
        </is>
      </c>
      <c r="C31" s="41" t="inlineStr">
        <is>
          <t xml:space="preserve">Доля</t>
        </is>
      </c>
    </row>
    <row r="32" spans="1:14" ht="15" customHeight="1" x14ac:dyDescent="0.25">
      <c r="A32" s="42" t="inlineStr">
        <is>
          <t xml:space="preserve">Gaplashgan</t>
        </is>
      </c>
      <c r="B32" s="43">
        <f>Ввод!$L$20</f>
      </c>
      <c r="C32" s="44">
        <f>IFERROR(B32/SUM($B$32:$B$35),0)</f>
      </c>
    </row>
    <row r="33" spans="1:7" ht="15" customHeight="1" x14ac:dyDescent="0.25">
      <c r="A33" s="42" t="inlineStr">
        <is>
          <t xml:space="preserve">Ko'tarmadi</t>
        </is>
      </c>
      <c r="B33" s="43">
        <f>Ввод!$P$20</f>
      </c>
      <c r="C33" s="44">
        <f>IFERROR(B33/SUM($B$32:$B$35),0)</f>
      </c>
    </row>
    <row r="34" spans="1:7" ht="15" customHeight="1" x14ac:dyDescent="0.25">
      <c r="A34" s="42" t="inlineStr">
        <is>
          <t xml:space="preserve">Объезд</t>
        </is>
      </c>
      <c r="B34" s="43">
        <f>Ввод!$R$20</f>
      </c>
      <c r="C34" s="44">
        <f>IFERROR(B34/SUM($B$32:$B$35),0)</f>
      </c>
    </row>
    <row r="35" spans="1:7" ht="15" customHeight="1" x14ac:dyDescent="0.25">
      <c r="A35" s="42" t="inlineStr">
        <is>
          <t xml:space="preserve">Ishlanmagan</t>
        </is>
      </c>
      <c r="B35" s="43">
        <f>Ввод!$H$20-Ввод!$L$20-Ввод!$P$20-Ввод!$R$20</f>
      </c>
      <c r="C35" s="44">
        <f>IFERROR(B35/SUM($B$32:$B$35),0)</f>
      </c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7551-58F6-443A-961C-10CD0BED2FFC}">
  <dimension ref="A1"/>
  <sheetViews>
    <sheetView workbookViewId="0"/>
  </sheetViews>
  <sheetFormatPr defaultRowHeight="15" x14ac:dyDescent="0.25"/>
  <sheetData>
    <row r="1" spans="1:1" x14ac:dyDescent="0.25">
      <c r="A1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"/>
  <sheetData/>
</worksheet>
</file>

<file path=xl/worksheets/sheet7.xml><?xml version="1.0" encoding="utf-8"?>
<worksheet xmlns="http://schemas.openxmlformats.org/spreadsheetml/2006/main">
  <dimension ref="A1"/>
  <sheetData/>
</worksheet>
</file>

<file path=xl/worksheets/sheet8.xml><?xml version="1.0" encoding="utf-8"?>
<worksheet xmlns="http://schemas.openxmlformats.org/spreadsheetml/2006/main">
  <dimension ref="A1"/>
  <sheetData/>
</worksheet>
</file>

<file path=xl/worksheets/sheet9.xml><?xml version="1.0" encoding="utf-8"?>
<worksheet xmlns="http://schemas.openxmlformats.org/spreadsheetml/2006/main">
  <dimension ref="A1"/>
  <sheetData/>
</worksheet>
</file>

<file path=xl/worksheets/sheet10.xml><?xml version="1.0" encoding="utf-8"?>
<worksheet xmlns="http://schemas.openxmlformats.org/spreadsheetml/2006/main">
  <dimension ref="A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Ввод</vt:lpstr>
      <vt:lpstr>Отчёт_дня</vt:lpstr>
      <vt:lpstr>Дашборд</vt:lpstr>
      <vt:lpstr>Справочники</vt:lpstr>
      <vt:lpstr>Gaplashgan</vt:lpstr>
      <vt:lpstr>Обещали</vt:lpstr>
      <vt:lpstr>Ko'tarmadi</vt:lpstr>
      <vt:lpstr>Объезд</vt:lpstr>
      <vt:lpstr>Оплатили</vt:lpstr>
      <vt:lpstr>Оплатили без разговора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