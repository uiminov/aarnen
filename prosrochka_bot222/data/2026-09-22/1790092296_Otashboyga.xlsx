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xayrulla\Desktop\"/>
    </mc:Choice>
  </mc:AlternateContent>
  <bookViews>
    <workbookView xWindow="240" yWindow="120" windowWidth="18060" windowHeight="7050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'!$A$1:$Q$31</definedName>
  </definedNames>
  <calcPr calcId="162913"/>
</workbook>
</file>

<file path=xl/calcChain.xml><?xml version="1.0" encoding="utf-8"?>
<calcChain xmlns="http://schemas.openxmlformats.org/spreadsheetml/2006/main">
  <c r="O28" i="1" l="1"/>
  <c r="Q28" i="1" s="1"/>
</calcChain>
</file>

<file path=xl/sharedStrings.xml><?xml version="1.0" encoding="utf-8"?>
<sst xmlns="http://schemas.openxmlformats.org/spreadsheetml/2006/main" count="336" uniqueCount="231">
  <si>
    <t>Код для онлайн погашения</t>
  </si>
  <si>
    <t>Код клиента</t>
  </si>
  <si>
    <t>Область</t>
  </si>
  <si>
    <t>Район</t>
  </si>
  <si>
    <t>Адрес</t>
  </si>
  <si>
    <t>Номер телефона</t>
  </si>
  <si>
    <t>Кол-во просроченных дней</t>
  </si>
  <si>
    <t>Пеня</t>
  </si>
  <si>
    <t>Итого просрочка</t>
  </si>
  <si>
    <t>ТОШКЕНТ ШАХРИ</t>
  </si>
  <si>
    <t>УЧТЕПА ТУМАНИ</t>
  </si>
  <si>
    <t>8450529212</t>
  </si>
  <si>
    <t>2318/MFL-26 PS от 31.05.2024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</si>
  <si>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</si>
  <si>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</si>
  <si>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</si>
  <si>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</si>
  <si>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2100504071</t>
  </si>
  <si>
    <t>1201-AK от 19.03.2024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</si>
  <si>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</si>
  <si>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</si>
  <si>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</si>
  <si>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</si>
  <si>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</si>
  <si>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8213352555</t>
  </si>
  <si>
    <t>451 MFL 3256 PS от 23.01.2026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</si>
  <si>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</si>
  <si>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</si>
  <si>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</si>
  <si>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</si>
  <si>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5672327946</t>
  </si>
  <si>
    <t>2794-LZ от 08.07.2024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</si>
  <si>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</si>
  <si>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</si>
  <si>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</si>
  <si>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</si>
  <si>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</si>
  <si>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5197957268</t>
  </si>
  <si>
    <t>568 MFL 6373 PS от 02.04.2026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</si>
  <si>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</si>
  <si>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</si>
  <si>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</si>
  <si>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</si>
  <si>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9865112933</t>
  </si>
  <si>
    <t>2758 MFL 8075 PS от 28.07.2026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</si>
  <si>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</si>
  <si>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</si>
  <si>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</si>
  <si>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</si>
  <si>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1868826874</t>
  </si>
  <si>
    <t>1674 MFL 7436 PS от 08.06.2026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</si>
  <si>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</si>
  <si>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</si>
  <si>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</si>
  <si>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</si>
  <si>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1658904477</t>
  </si>
  <si>
    <t>4854 MFL 4259 PS от 21.08.2025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</si>
  <si>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</si>
  <si>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</si>
  <si>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</si>
  <si>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</si>
  <si>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1708635345</t>
  </si>
  <si>
    <t>2025 MFL 4257 PS от 04.04.2025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</si>
  <si>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</si>
  <si>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</si>
  <si>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</si>
  <si>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</si>
  <si>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8421064752</t>
  </si>
  <si>
    <t>493 MFL 396 PS от 27.03.2026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</si>
  <si>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</si>
  <si>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</si>
  <si>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</si>
  <si>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</si>
  <si>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5575059042</t>
  </si>
  <si>
    <t>4138 MFL 2493 PS от 10.07.2025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</si>
  <si>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</si>
  <si>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</si>
  <si>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</si>
  <si>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</si>
  <si>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6095940778</t>
  </si>
  <si>
    <t>5202 MFL 3179 PS от 10.09.2025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</si>
  <si>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</si>
  <si>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</si>
  <si>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</si>
  <si>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</si>
  <si>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5066203216</t>
  </si>
  <si>
    <t>3521 PS от 10.06.2025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</si>
  <si>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</si>
  <si>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</si>
  <si>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</si>
  <si>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</si>
  <si>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8931530490</t>
  </si>
  <si>
    <t>4155 MFL 2512 PS от 14.07.2025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</si>
  <si>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</si>
  <si>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</si>
  <si>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</si>
  <si>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</si>
  <si>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8007284980</t>
  </si>
  <si>
    <t>4242 MFL 2543 PS от 17.07.2025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</si>
  <si>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</si>
  <si>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</si>
  <si>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</si>
  <si>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</si>
  <si>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0780569729</t>
  </si>
  <si>
    <t>4583 MFL 2763 PS от 07.08.2025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</si>
  <si>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</si>
  <si>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</si>
  <si>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</si>
  <si>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</si>
  <si>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0802463406</t>
  </si>
  <si>
    <t>880 MFL 6530 PS от 13.04.2026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</si>
  <si>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</si>
  <si>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</si>
  <si>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</si>
  <si>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</si>
  <si>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4339819486</t>
  </si>
  <si>
    <t>5418 MFL 3252 PS от 16.09.2025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</si>
  <si>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</si>
  <si>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</si>
  <si>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</si>
  <si>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</si>
  <si>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9192793678</t>
  </si>
  <si>
    <t>5730-ZP от 03.10.2025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</si>
  <si>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</si>
  <si>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</si>
  <si>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</si>
  <si>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</si>
  <si>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1199248665</t>
  </si>
  <si>
    <t>22 MFL 4914 PS от 06.01.2026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</si>
  <si>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</si>
  <si>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</si>
  <si>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</si>
  <si>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</si>
  <si>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7385845099</t>
  </si>
  <si>
    <t>634 MFL 4030 PS от 04.12.2025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</si>
  <si>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</si>
  <si>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</si>
  <si>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</si>
  <si>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</si>
  <si>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3313405908</t>
  </si>
  <si>
    <t>1749 MFL 7670 PS от 23.06.2026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</si>
  <si>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</si>
  <si>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</si>
  <si>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</si>
  <si>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</si>
  <si>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4772186310</t>
  </si>
  <si>
    <t>1119 MFL 5978 PS от 24.04.2026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</si>
  <si>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</si>
  <si>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</si>
  <si>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</si>
  <si>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</si>
  <si>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4537698625</t>
  </si>
  <si>
    <t>1219 MFL 6034 PS от 06.03.2026</t>
  </si>
  <si>
    <t>Кр-99052886-1</t>
  </si>
  <si>
    <t>MASIMOVA UMIDA MAXAMADOVNA</t>
  </si>
  <si>
    <t>KICHIK HALQA YOLI 18-A UY.</t>
  </si>
  <si>
    <t>998903313637 SMS ERI, 998907371414 SMS OGLI, 998909441369 SMS OZI,</t>
  </si>
  <si>
    <t>5542853535</t>
  </si>
  <si>
    <t>1587 MFL 7309 PS от 26.05.2026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</si>
  <si>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</si>
  <si>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</si>
  <si>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</si>
  <si>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</si>
  <si>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1169766845</t>
  </si>
  <si>
    <t>1653 MFL 7411 PS от 04.06.2026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</si>
  <si>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</si>
  <si>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</si>
  <si>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</si>
  <si>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</si>
  <si>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5595325456</t>
  </si>
  <si>
    <t>1769 MFL 7686 PS от 23.06.2026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</si>
  <si>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</si>
  <si>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</si>
  <si>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</si>
  <si>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</si>
  <si>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1459450142</t>
  </si>
  <si>
    <t>1867 MFL 1867 PS от 21.07.2026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</si>
  <si>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</si>
  <si>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</si>
  <si>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</si>
  <si>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</si>
  <si>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2672830748</t>
  </si>
  <si>
    <t>1881 MFL 8134 PS от 04.08.2026</t>
  </si>
  <si>
    <t>Кр-99063555-2</t>
  </si>
  <si>
    <t>8172393046</t>
  </si>
  <si>
    <t>2677 MFL 8043 PS от 23.07.2026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</si>
  <si>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</si>
  <si>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</si>
  <si>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</si>
  <si>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</si>
  <si>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 xml:space="preserve">
№ п/п
</t>
  </si>
  <si>
    <t xml:space="preserve">
Контракт</t>
  </si>
  <si>
    <t xml:space="preserve">
Клиент</t>
  </si>
  <si>
    <t>Всего выдано</t>
  </si>
  <si>
    <t>yopberadi</t>
  </si>
  <si>
    <t>Shu xafta yopaman dedi</t>
  </si>
  <si>
    <t>Bugun kechga</t>
  </si>
  <si>
    <t>25 gacha dedi</t>
  </si>
  <si>
    <t>Qisman qisman yopebdi ekan oyni oxirigacha dedi</t>
  </si>
  <si>
    <t>Bugun kechga uzogi ertaga deydi</t>
  </si>
  <si>
    <t>SRY</t>
  </si>
  <si>
    <t>Xaromi klent bu 25 gacha tolomeman debdi Tillani sottirish kere</t>
  </si>
  <si>
    <t>Kotarmadi</t>
  </si>
  <si>
    <t>Qisman qisman yopebdi ekan bugunam qisman yoparkan kechga 8 laga qayta telefon qilish kere</t>
  </si>
  <si>
    <t>Moshinasi bizda emush penyasiga sudga berilgan dedi</t>
  </si>
  <si>
    <t>25 da deyabdi Tillani sottirish kere</t>
  </si>
  <si>
    <t>Xaromi magazinda ishlarkan pul kutebman yopvoraman deydi</t>
  </si>
  <si>
    <t>Tolovchi boshqa odam aytib qoyaman dedi</t>
  </si>
  <si>
    <t>ertaga Abetgacha toleman dedi</t>
  </si>
  <si>
    <t>Bugunga bittasini vada bergan</t>
  </si>
  <si>
    <t xml:space="preserve">Klentni uyini tagida turibdi Shuhrat aka </t>
  </si>
  <si>
    <t xml:space="preserve">Ertaga debdi </t>
  </si>
  <si>
    <t xml:space="preserve">Uyni sotuvga qoyganman dedi </t>
  </si>
  <si>
    <t>Andijn raxbarini qarindoshi ekan Farrux aka aytb qoyaman dedi 5 6 gacha farruxni kartasiga tasheman dedi</t>
  </si>
  <si>
    <t>6 7 ga</t>
  </si>
  <si>
    <t>Uyiga xodim jonatish kere Xaromini tolameman debdi</t>
  </si>
  <si>
    <t>25 gacha debdi</t>
  </si>
  <si>
    <t>7 laga qoganini qsman qb ketti</t>
  </si>
  <si>
    <t>Biza bilan sudlashebdi ekan ishi sudda</t>
  </si>
  <si>
    <t>Kechgacha qberadigan boldi Kartaga tashedi</t>
  </si>
  <si>
    <t>Kechga vada berdi</t>
  </si>
  <si>
    <t xml:space="preserve">Kechgacha </t>
  </si>
  <si>
    <t>20 000 000 Shuhrat akaga beradi</t>
  </si>
  <si>
    <t>Kechgacha toleman didi</t>
  </si>
  <si>
    <t>25 gacha muddat oganman dedi Shuhrat aka bilan gaplashib tolab beraman dedi</t>
  </si>
  <si>
    <t>6 ga qayta aloqaga</t>
  </si>
  <si>
    <t>Uyiga borildi</t>
  </si>
  <si>
    <t>To'ladi</t>
  </si>
  <si>
    <t>Telefon ko'tardi</t>
  </si>
  <si>
    <t>Va'da berdi</t>
  </si>
  <si>
    <t>Telefon ko'tarmadi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</si>
</sst>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19]#,##0.00;\-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1" fillId="0" borderId="0" xfId="0" applyFont="1" applyFill="1" applyBorder="1"/>
    <xf numFmtId="0" fontId="3" fillId="2" borderId="1" xfId="1" applyNumberFormat="1" applyFont="1" applyFill="1" applyBorder="1" applyAlignment="1">
      <alignment horizontal="center" vertical="top" wrapText="1" readingOrder="1"/>
    </xf>
    <xf numFmtId="0" fontId="4" fillId="0" borderId="1" xfId="1" applyNumberFormat="1" applyFont="1" applyFill="1" applyBorder="1" applyAlignment="1">
      <alignment horizontal="left" vertical="top" wrapText="1" readingOrder="1"/>
    </xf>
    <xf numFmtId="0" fontId="4" fillId="0" borderId="1" xfId="1" applyNumberFormat="1" applyFont="1" applyFill="1" applyBorder="1" applyAlignment="1">
      <alignment vertical="top" wrapText="1" readingOrder="1"/>
    </xf>
    <xf numFmtId="164" fontId="4" fillId="0" borderId="1" xfId="1" applyNumberFormat="1" applyFont="1" applyFill="1" applyBorder="1" applyAlignment="1">
      <alignment vertical="top" wrapText="1" readingOrder="1"/>
    </xf>
    <xf numFmtId="164" fontId="1" fillId="0" borderId="0" xfId="0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showGridLines="0" tabSelected="1" topLeftCell="A2" workbookViewId="0">
      <selection activeCell="E4" sqref="E4"/>
    </sheetView>
  </sheetViews>
  <sheetFormatPr defaultRowHeight="15" x14ac:dyDescent="0.25"/>
  <cols>
    <col min="1" max="1" width="5.140625" customWidth="1"/>
    <col min="2" max="2" width="13.5703125" customWidth="1"/>
    <col min="3" max="3" width="20.7109375" customWidth="1"/>
    <col min="4" max="5" width="10.85546875" customWidth="1"/>
    <col min="6" max="6" width="20.5703125" customWidth="1"/>
    <col min="7" max="7" width="15.28515625" customWidth="1"/>
    <col min="8" max="8" width="22.140625" customWidth="1"/>
    <col min="9" max="9" width="15.42578125" customWidth="1"/>
    <col min="10" max="10" width="15.7109375" customWidth="1"/>
    <col min="11" max="11" width="17.85546875" customWidth="1"/>
    <col min="12" max="12" width="35.140625" customWidth="1"/>
    <col min="13" max="14" width="13.5703125" customWidth="1"/>
    <col min="15" max="16" width="13.42578125" customWidth="1"/>
    <col min="17" max="17" width="11.42578125" bestFit="1" customWidth="1"/>
  </cols>
  <sheetData>
    <row r="1" spans="1:16" ht="51" x14ac:dyDescent="0.25">
      <c r="A1" s="1" t="s">
        <v>190</v>
      </c>
      <c r="B1" s="1" t="s">
        <v>0</v>
      </c>
      <c r="C1" s="1" t="s">
        <v>191</v>
      </c>
      <c r="D1" s="1" t="s">
        <v>1</v>
      </c>
      <c r="E1" s="1"/>
      <c r="F1" s="1" t="s">
        <v>192</v>
      </c>
      <c r="G1" s="1" t="s">
        <v>2</v>
      </c>
      <c r="H1" s="1">
        <v>2</v>
      </c>
      <c r="I1" s="1">
        <v>1</v>
      </c>
      <c r="J1" s="1" t="s">
        <v>3</v>
      </c>
      <c r="K1" s="1" t="s">
        <v>4</v>
      </c>
      <c r="L1" s="1" t="s">
        <v>5</v>
      </c>
      <c r="M1" s="1" t="s">
        <v>193</v>
      </c>
      <c r="N1" s="1" t="s">
        <v>6</v>
      </c>
      <c r="O1" s="1" t="s">
        <v>7</v>
      </c>
      <c r="P1" s="1" t="s">
        <v>8</v>
      </c>
    </row>
    <row r="2" spans="1:16" ht="89.25" x14ac:dyDescent="0.25">
      <c r="A2" s="2">
        <v>1</v>
      </c>
      <c r="B2" s="3" t="s">
        <v>103</v>
      </c>
      <c r="C2" s="3" t="s">
        <v>104</v>
      </c>
      <c r="D2" s="3" t="s">
        <v>105</v>
      </c>
      <c r="E2" s="3" t="s">
        <v>230</v>
      </c>
      <c r="F2" s="3" t="s">
        <v>106</v>
      </c>
      <c r="G2" s="3" t="s">
        <v>9</v>
      </c>
      <c r="H2" s="3" t="s">
        <v>202</v>
      </c>
      <c r="I2" s="3" t="s">
        <v>202</v>
      </c>
      <c r="J2" s="3" t="s">
        <v>21</v>
      </c>
      <c r="K2" s="3" t="s">
        <v>107</v>
      </c>
      <c r="L2" s="3" t="s">
        <v>108</v>
      </c>
      <c r="M2" s="4">
        <v>88000000</v>
      </c>
      <c r="N2" s="3">
        <v>196</v>
      </c>
      <c r="O2" s="3">
        <v>5101944.8899999997</v>
      </c>
      <c r="P2" s="4">
        <v>37621386.590000004</v>
      </c>
    </row>
    <row r="3" spans="1:16" ht="63.75" x14ac:dyDescent="0.25">
      <c r="A3" s="2">
        <v>2</v>
      </c>
      <c r="B3" s="3" t="s">
        <v>79</v>
      </c>
      <c r="C3" s="3" t="s">
        <v>80</v>
      </c>
      <c r="D3" s="3" t="s">
        <v>81</v>
      </c>
      <c r="E3" s="3" t="s">
        <v>229</v>
      </c>
      <c r="F3" s="3" t="s">
        <v>82</v>
      </c>
      <c r="G3" s="3" t="s">
        <v>9</v>
      </c>
      <c r="H3" s="3" t="s">
        <v>203</v>
      </c>
      <c r="I3" s="3" t="s">
        <v>198</v>
      </c>
      <c r="J3" s="3" t="s">
        <v>10</v>
      </c>
      <c r="K3" s="3" t="s">
        <v>83</v>
      </c>
      <c r="L3" s="3" t="s">
        <v>84</v>
      </c>
      <c r="M3" s="4">
        <v>40000000</v>
      </c>
      <c r="N3" s="3">
        <v>104</v>
      </c>
      <c r="O3" s="3">
        <v>1897180.46</v>
      </c>
      <c r="P3" s="4">
        <v>7133848.96</v>
      </c>
    </row>
    <row r="4" spans="1:16" ht="63.75" x14ac:dyDescent="0.25">
      <c r="A4" s="2">
        <v>3</v>
      </c>
      <c r="B4" s="3" t="s">
        <v>49</v>
      </c>
      <c r="C4" s="3" t="s">
        <v>50</v>
      </c>
      <c r="D4" s="3" t="s">
        <v>51</v>
      </c>
      <c r="E4" s="3" t="s">
        <v>228</v>
      </c>
      <c r="F4" s="3" t="s">
        <v>52</v>
      </c>
      <c r="G4" s="3" t="s">
        <v>9</v>
      </c>
      <c r="H4" s="3" t="s">
        <v>202</v>
      </c>
      <c r="I4" s="3" t="s">
        <v>202</v>
      </c>
      <c r="J4" s="3" t="s">
        <v>10</v>
      </c>
      <c r="K4" s="3" t="s">
        <v>53</v>
      </c>
      <c r="L4" s="3" t="s">
        <v>54</v>
      </c>
      <c r="M4" s="4">
        <v>90000000</v>
      </c>
      <c r="N4" s="3">
        <v>78</v>
      </c>
      <c r="O4" s="3">
        <v>10450967.68</v>
      </c>
      <c r="P4" s="4">
        <v>41364261.18</v>
      </c>
    </row>
    <row r="5" spans="1:16" ht="63.75" x14ac:dyDescent="0.25">
      <c r="A5" s="2">
        <v>4</v>
      </c>
      <c r="B5" s="3" t="s">
        <v>61</v>
      </c>
      <c r="C5" s="3" t="s">
        <v>62</v>
      </c>
      <c r="D5" s="3" t="s">
        <v>63</v>
      </c>
      <c r="E5" s="3" t="s">
        <v>230</v>
      </c>
      <c r="F5" s="3" t="s">
        <v>64</v>
      </c>
      <c r="G5" s="3" t="s">
        <v>9</v>
      </c>
      <c r="H5" s="3" t="s">
        <v>202</v>
      </c>
      <c r="I5" s="3" t="s">
        <v>202</v>
      </c>
      <c r="J5" s="3" t="s">
        <v>10</v>
      </c>
      <c r="K5" s="3" t="s">
        <v>65</v>
      </c>
      <c r="L5" s="3" t="s">
        <v>66</v>
      </c>
      <c r="M5" s="4">
        <v>50000000</v>
      </c>
      <c r="N5" s="3">
        <v>78</v>
      </c>
      <c r="O5" s="3">
        <v>0</v>
      </c>
      <c r="P5" s="4">
        <v>9150947.6899999995</v>
      </c>
    </row>
    <row r="6" spans="1:16" ht="63.75" x14ac:dyDescent="0.25">
      <c r="A6" s="2">
        <v>5</v>
      </c>
      <c r="B6" s="3" t="s">
        <v>11</v>
      </c>
      <c r="C6" s="3" t="s">
        <v>12</v>
      </c>
      <c r="D6" s="3" t="s">
        <v>13</v>
      </c>
      <c r="E6" s="3" t="s">
        <v>228</v>
      </c>
      <c r="F6" s="3" t="s">
        <v>14</v>
      </c>
      <c r="G6" s="3" t="s">
        <v>9</v>
      </c>
      <c r="H6" s="3" t="s">
        <v>204</v>
      </c>
      <c r="I6" s="3" t="s">
        <v>204</v>
      </c>
      <c r="J6" s="3" t="s">
        <v>10</v>
      </c>
      <c r="K6" s="3" t="s">
        <v>15</v>
      </c>
      <c r="L6" s="3" t="s">
        <v>16</v>
      </c>
      <c r="M6" s="4">
        <v>277000000</v>
      </c>
      <c r="N6" s="3">
        <v>20</v>
      </c>
      <c r="O6" s="3">
        <v>0</v>
      </c>
      <c r="P6" s="4">
        <v>32075114.649999999</v>
      </c>
    </row>
    <row r="7" spans="1:16" ht="89.25" x14ac:dyDescent="0.25">
      <c r="A7" s="2">
        <v>6</v>
      </c>
      <c r="B7" s="3" t="s">
        <v>121</v>
      </c>
      <c r="C7" s="3" t="s">
        <v>122</v>
      </c>
      <c r="D7" s="3" t="s">
        <v>123</v>
      </c>
      <c r="E7" s="3" t="s">
        <v>229</v>
      </c>
      <c r="F7" s="3" t="s">
        <v>124</v>
      </c>
      <c r="G7" s="3" t="s">
        <v>9</v>
      </c>
      <c r="H7" s="3" t="s">
        <v>205</v>
      </c>
      <c r="I7" s="3" t="s">
        <v>201</v>
      </c>
      <c r="J7" s="3" t="s">
        <v>21</v>
      </c>
      <c r="K7" s="3" t="s">
        <v>125</v>
      </c>
      <c r="L7" s="3" t="s">
        <v>126</v>
      </c>
      <c r="M7" s="4">
        <v>13500000</v>
      </c>
      <c r="N7" s="3">
        <v>19</v>
      </c>
      <c r="O7" s="3">
        <v>0</v>
      </c>
      <c r="P7" s="4">
        <v>1463674.76</v>
      </c>
    </row>
    <row r="8" spans="1:16" ht="102" x14ac:dyDescent="0.25">
      <c r="A8" s="2">
        <v>7</v>
      </c>
      <c r="B8" s="3" t="s">
        <v>67</v>
      </c>
      <c r="C8" s="3" t="s">
        <v>68</v>
      </c>
      <c r="D8" s="3" t="s">
        <v>69</v>
      </c>
      <c r="E8" s="3" t="s">
        <v>229</v>
      </c>
      <c r="F8" s="3" t="s">
        <v>70</v>
      </c>
      <c r="G8" s="3" t="s">
        <v>9</v>
      </c>
      <c r="H8" s="3" t="s">
        <v>206</v>
      </c>
      <c r="I8" s="3" t="s">
        <v>206</v>
      </c>
      <c r="J8" s="3" t="s">
        <v>34</v>
      </c>
      <c r="K8" s="3" t="s">
        <v>71</v>
      </c>
      <c r="L8" s="3" t="s">
        <v>72</v>
      </c>
      <c r="M8" s="4">
        <v>250000000</v>
      </c>
      <c r="N8" s="3">
        <v>18</v>
      </c>
      <c r="O8" s="3">
        <v>346557.83</v>
      </c>
      <c r="P8" s="4">
        <v>16787292.969999999</v>
      </c>
    </row>
    <row r="9" spans="1:16" ht="63.75" x14ac:dyDescent="0.25">
      <c r="A9" s="2">
        <v>8</v>
      </c>
      <c r="B9" s="3" t="s">
        <v>133</v>
      </c>
      <c r="C9" s="3" t="s">
        <v>134</v>
      </c>
      <c r="D9" s="3" t="s">
        <v>135</v>
      </c>
      <c r="E9" s="3" t="s">
        <v>230</v>
      </c>
      <c r="F9" s="3" t="s">
        <v>136</v>
      </c>
      <c r="G9" s="3" t="s">
        <v>9</v>
      </c>
      <c r="H9" s="3" t="s">
        <v>202</v>
      </c>
      <c r="I9" s="3" t="s">
        <v>200</v>
      </c>
      <c r="J9" s="3" t="s">
        <v>21</v>
      </c>
      <c r="K9" s="3" t="s">
        <v>137</v>
      </c>
      <c r="L9" s="3" t="s">
        <v>138</v>
      </c>
      <c r="M9" s="4">
        <v>22000000</v>
      </c>
      <c r="N9" s="3">
        <v>18</v>
      </c>
      <c r="O9" s="3">
        <v>141294.12</v>
      </c>
      <c r="P9" s="4">
        <v>2626062.69</v>
      </c>
    </row>
    <row r="10" spans="1:16" ht="51" x14ac:dyDescent="0.25">
      <c r="A10" s="2">
        <v>9</v>
      </c>
      <c r="B10" s="3" t="s">
        <v>145</v>
      </c>
      <c r="C10" s="3" t="s">
        <v>146</v>
      </c>
      <c r="D10" s="3" t="s">
        <v>147</v>
      </c>
      <c r="E10" s="3" t="s">
        <v>229</v>
      </c>
      <c r="F10" s="3" t="s">
        <v>148</v>
      </c>
      <c r="G10" s="3" t="s">
        <v>9</v>
      </c>
      <c r="H10" s="3" t="s">
        <v>207</v>
      </c>
      <c r="I10" s="3" t="s">
        <v>197</v>
      </c>
      <c r="J10" s="3" t="s">
        <v>10</v>
      </c>
      <c r="K10" s="3" t="s">
        <v>149</v>
      </c>
      <c r="L10" s="3" t="s">
        <v>150</v>
      </c>
      <c r="M10" s="4">
        <v>125000000</v>
      </c>
      <c r="N10" s="3">
        <v>18</v>
      </c>
      <c r="O10" s="3">
        <v>265151.59999999998</v>
      </c>
      <c r="P10" s="4">
        <v>9306994.4299999997</v>
      </c>
    </row>
    <row r="11" spans="1:16" ht="63.75" x14ac:dyDescent="0.25">
      <c r="A11" s="2">
        <v>10</v>
      </c>
      <c r="B11" s="3" t="s">
        <v>163</v>
      </c>
      <c r="C11" s="3" t="s">
        <v>164</v>
      </c>
      <c r="D11" s="3" t="s">
        <v>165</v>
      </c>
      <c r="E11" s="3" t="s">
        <v>226</v>
      </c>
      <c r="F11" s="3" t="s">
        <v>166</v>
      </c>
      <c r="G11" s="3" t="s">
        <v>9</v>
      </c>
      <c r="H11" s="3" t="s">
        <v>208</v>
      </c>
      <c r="I11" s="3" t="s">
        <v>220</v>
      </c>
      <c r="J11" s="3" t="s">
        <v>10</v>
      </c>
      <c r="K11" s="3" t="s">
        <v>167</v>
      </c>
      <c r="L11" s="3" t="s">
        <v>168</v>
      </c>
      <c r="M11" s="4">
        <v>300000000</v>
      </c>
      <c r="N11" s="3">
        <v>18</v>
      </c>
      <c r="O11" s="3">
        <v>143484.65</v>
      </c>
      <c r="P11" s="4">
        <v>3984319.83</v>
      </c>
    </row>
    <row r="12" spans="1:16" ht="51" x14ac:dyDescent="0.25">
      <c r="A12" s="2">
        <v>11</v>
      </c>
      <c r="B12" s="3" t="s">
        <v>175</v>
      </c>
      <c r="C12" s="3" t="s">
        <v>176</v>
      </c>
      <c r="D12" s="3" t="s">
        <v>177</v>
      </c>
      <c r="E12" s="3" t="s">
        <v>229</v>
      </c>
      <c r="F12" s="3" t="s">
        <v>178</v>
      </c>
      <c r="G12" s="3" t="s">
        <v>9</v>
      </c>
      <c r="H12" s="3" t="s">
        <v>209</v>
      </c>
      <c r="I12" s="3" t="s">
        <v>221</v>
      </c>
      <c r="J12" s="3" t="s">
        <v>10</v>
      </c>
      <c r="K12" s="3" t="s">
        <v>179</v>
      </c>
      <c r="L12" s="3" t="s">
        <v>180</v>
      </c>
      <c r="M12" s="4">
        <v>125000000</v>
      </c>
      <c r="N12" s="3">
        <v>18</v>
      </c>
      <c r="O12" s="3">
        <v>750157.57</v>
      </c>
      <c r="P12" s="4">
        <v>14545776.689999999</v>
      </c>
    </row>
    <row r="13" spans="1:16" ht="51" x14ac:dyDescent="0.25">
      <c r="A13" s="2">
        <v>12</v>
      </c>
      <c r="B13" s="3" t="s">
        <v>181</v>
      </c>
      <c r="C13" s="3" t="s">
        <v>182</v>
      </c>
      <c r="D13" s="3" t="s">
        <v>183</v>
      </c>
      <c r="E13" s="3" t="s">
        <v>229</v>
      </c>
      <c r="F13" s="3" t="s">
        <v>178</v>
      </c>
      <c r="G13" s="3" t="s">
        <v>9</v>
      </c>
      <c r="H13" s="3" t="s">
        <v>210</v>
      </c>
      <c r="I13" s="3" t="s">
        <v>222</v>
      </c>
      <c r="J13" s="3" t="s">
        <v>10</v>
      </c>
      <c r="K13" s="3" t="s">
        <v>179</v>
      </c>
      <c r="L13" s="3" t="s">
        <v>180</v>
      </c>
      <c r="M13" s="4">
        <v>170000000</v>
      </c>
      <c r="N13" s="3">
        <v>18</v>
      </c>
      <c r="O13" s="3">
        <v>604014.04</v>
      </c>
      <c r="P13" s="4">
        <v>11828991.6</v>
      </c>
    </row>
    <row r="14" spans="1:16" ht="63.75" x14ac:dyDescent="0.25">
      <c r="A14" s="2">
        <v>13</v>
      </c>
      <c r="B14" s="3" t="s">
        <v>24</v>
      </c>
      <c r="C14" s="3" t="s">
        <v>25</v>
      </c>
      <c r="D14" s="3" t="s">
        <v>26</v>
      </c>
      <c r="E14" s="3" t="s">
        <v>230</v>
      </c>
      <c r="F14" s="3" t="s">
        <v>27</v>
      </c>
      <c r="G14" s="3" t="s">
        <v>9</v>
      </c>
      <c r="H14" s="3" t="s">
        <v>202</v>
      </c>
      <c r="I14" s="3" t="s">
        <v>202</v>
      </c>
      <c r="J14" s="3" t="s">
        <v>10</v>
      </c>
      <c r="K14" s="3" t="s">
        <v>28</v>
      </c>
      <c r="L14" s="3" t="s">
        <v>29</v>
      </c>
      <c r="M14" s="4">
        <v>60000000</v>
      </c>
      <c r="N14" s="3">
        <v>15</v>
      </c>
      <c r="O14" s="3">
        <v>285659</v>
      </c>
      <c r="P14" s="4">
        <v>7533187.3300000001</v>
      </c>
    </row>
    <row r="15" spans="1:16" ht="63.75" x14ac:dyDescent="0.25">
      <c r="A15" s="2">
        <v>14</v>
      </c>
      <c r="B15" s="3" t="s">
        <v>37</v>
      </c>
      <c r="C15" s="3" t="s">
        <v>38</v>
      </c>
      <c r="D15" s="3" t="s">
        <v>39</v>
      </c>
      <c r="E15" s="3" t="s">
        <v>226</v>
      </c>
      <c r="F15" s="3" t="s">
        <v>40</v>
      </c>
      <c r="G15" s="3" t="s">
        <v>9</v>
      </c>
      <c r="H15" s="3" t="s">
        <v>211</v>
      </c>
      <c r="I15" s="3" t="s">
        <v>223</v>
      </c>
      <c r="J15" s="3" t="s">
        <v>10</v>
      </c>
      <c r="K15" s="3" t="s">
        <v>41</v>
      </c>
      <c r="L15" s="3" t="s">
        <v>42</v>
      </c>
      <c r="M15" s="4">
        <v>40000000</v>
      </c>
      <c r="N15" s="3">
        <v>15</v>
      </c>
      <c r="O15" s="3">
        <v>60641.13</v>
      </c>
      <c r="P15" s="4">
        <v>2859309.33</v>
      </c>
    </row>
    <row r="16" spans="1:16" ht="76.5" x14ac:dyDescent="0.25">
      <c r="A16" s="2">
        <v>15</v>
      </c>
      <c r="B16" s="3" t="s">
        <v>43</v>
      </c>
      <c r="C16" s="3" t="s">
        <v>44</v>
      </c>
      <c r="D16" s="3" t="s">
        <v>45</v>
      </c>
      <c r="E16" s="3" t="s">
        <v>229</v>
      </c>
      <c r="F16" s="3" t="s">
        <v>46</v>
      </c>
      <c r="G16" s="3" t="s">
        <v>9</v>
      </c>
      <c r="H16" s="3" t="s">
        <v>202</v>
      </c>
      <c r="I16" s="3" t="s">
        <v>224</v>
      </c>
      <c r="J16" s="3" t="s">
        <v>21</v>
      </c>
      <c r="K16" s="3" t="s">
        <v>47</v>
      </c>
      <c r="L16" s="3" t="s">
        <v>48</v>
      </c>
      <c r="M16" s="4">
        <v>240000000</v>
      </c>
      <c r="N16" s="3">
        <v>15</v>
      </c>
      <c r="O16" s="3">
        <v>171383.34</v>
      </c>
      <c r="P16" s="4">
        <v>14572289.720000001</v>
      </c>
    </row>
    <row r="17" spans="1:17" ht="63.75" x14ac:dyDescent="0.25">
      <c r="A17" s="2">
        <v>16</v>
      </c>
      <c r="B17" s="3" t="s">
        <v>127</v>
      </c>
      <c r="C17" s="3" t="s">
        <v>128</v>
      </c>
      <c r="D17" s="3" t="s">
        <v>129</v>
      </c>
      <c r="E17" s="3" t="s">
        <v>230</v>
      </c>
      <c r="F17" s="3" t="s">
        <v>130</v>
      </c>
      <c r="G17" s="3" t="s">
        <v>9</v>
      </c>
      <c r="H17" s="3" t="s">
        <v>202</v>
      </c>
      <c r="I17" s="3"/>
      <c r="J17" s="3" t="s">
        <v>21</v>
      </c>
      <c r="K17" s="3" t="s">
        <v>131</v>
      </c>
      <c r="L17" s="3" t="s">
        <v>132</v>
      </c>
      <c r="M17" s="4">
        <v>20000000</v>
      </c>
      <c r="N17" s="3">
        <v>15</v>
      </c>
      <c r="O17" s="3">
        <v>23593.79</v>
      </c>
      <c r="P17" s="4">
        <v>1278132.3500000001</v>
      </c>
    </row>
    <row r="18" spans="1:17" ht="38.25" x14ac:dyDescent="0.25">
      <c r="A18" s="2">
        <v>17</v>
      </c>
      <c r="B18" s="3" t="s">
        <v>139</v>
      </c>
      <c r="C18" s="3" t="s">
        <v>140</v>
      </c>
      <c r="D18" s="3" t="s">
        <v>141</v>
      </c>
      <c r="E18" s="3" t="s">
        <v>230</v>
      </c>
      <c r="F18" s="3" t="s">
        <v>142</v>
      </c>
      <c r="G18" s="3" t="s">
        <v>9</v>
      </c>
      <c r="H18" s="3" t="s">
        <v>202</v>
      </c>
      <c r="I18" s="3"/>
      <c r="J18" s="3" t="s">
        <v>10</v>
      </c>
      <c r="K18" s="3" t="s">
        <v>143</v>
      </c>
      <c r="L18" s="3" t="s">
        <v>144</v>
      </c>
      <c r="M18" s="4">
        <v>70000000</v>
      </c>
      <c r="N18" s="3">
        <v>15</v>
      </c>
      <c r="O18" s="3">
        <v>96598.93</v>
      </c>
      <c r="P18" s="4">
        <v>3866588.78</v>
      </c>
    </row>
    <row r="19" spans="1:17" ht="38.25" x14ac:dyDescent="0.25">
      <c r="A19" s="2">
        <v>18</v>
      </c>
      <c r="B19" s="3" t="s">
        <v>151</v>
      </c>
      <c r="C19" s="3" t="s">
        <v>152</v>
      </c>
      <c r="D19" s="3" t="s">
        <v>153</v>
      </c>
      <c r="E19" s="3" t="s">
        <v>230</v>
      </c>
      <c r="F19" s="3" t="s">
        <v>154</v>
      </c>
      <c r="G19" s="3" t="s">
        <v>9</v>
      </c>
      <c r="H19" s="3" t="s">
        <v>212</v>
      </c>
      <c r="I19" s="3"/>
      <c r="J19" s="3" t="s">
        <v>34</v>
      </c>
      <c r="K19" s="3" t="s">
        <v>155</v>
      </c>
      <c r="L19" s="3" t="s">
        <v>156</v>
      </c>
      <c r="M19" s="4">
        <v>80000000</v>
      </c>
      <c r="N19" s="3">
        <v>15</v>
      </c>
      <c r="O19" s="3">
        <v>101442.64</v>
      </c>
      <c r="P19" s="4">
        <v>5158202.58</v>
      </c>
    </row>
    <row r="20" spans="1:17" ht="63.75" x14ac:dyDescent="0.25">
      <c r="A20" s="2">
        <v>19</v>
      </c>
      <c r="B20" s="3" t="s">
        <v>157</v>
      </c>
      <c r="C20" s="3" t="s">
        <v>158</v>
      </c>
      <c r="D20" s="3" t="s">
        <v>159</v>
      </c>
      <c r="E20" s="3" t="s">
        <v>230</v>
      </c>
      <c r="F20" s="3" t="s">
        <v>160</v>
      </c>
      <c r="G20" s="3" t="s">
        <v>9</v>
      </c>
      <c r="H20" s="3" t="s">
        <v>202</v>
      </c>
      <c r="I20" s="3"/>
      <c r="J20" s="3" t="s">
        <v>21</v>
      </c>
      <c r="K20" s="3" t="s">
        <v>161</v>
      </c>
      <c r="L20" s="3" t="s">
        <v>162</v>
      </c>
      <c r="M20" s="4">
        <v>50000000</v>
      </c>
      <c r="N20" s="3">
        <v>15</v>
      </c>
      <c r="O20" s="3">
        <v>48411.66</v>
      </c>
      <c r="P20" s="4">
        <v>3197043.12</v>
      </c>
    </row>
    <row r="21" spans="1:17" ht="102" x14ac:dyDescent="0.25">
      <c r="A21" s="2">
        <v>20</v>
      </c>
      <c r="B21" s="3" t="s">
        <v>169</v>
      </c>
      <c r="C21" s="3" t="s">
        <v>170</v>
      </c>
      <c r="D21" s="3" t="s">
        <v>171</v>
      </c>
      <c r="E21" s="3" t="s">
        <v>230</v>
      </c>
      <c r="F21" s="3" t="s">
        <v>172</v>
      </c>
      <c r="G21" s="3" t="s">
        <v>9</v>
      </c>
      <c r="H21" s="3" t="s">
        <v>213</v>
      </c>
      <c r="J21" s="3" t="s">
        <v>34</v>
      </c>
      <c r="K21" s="3" t="s">
        <v>173</v>
      </c>
      <c r="L21" s="3" t="s">
        <v>174</v>
      </c>
      <c r="M21" s="4">
        <v>60000000</v>
      </c>
      <c r="N21" s="3">
        <v>15</v>
      </c>
      <c r="O21" s="3">
        <v>221716.18</v>
      </c>
      <c r="P21" s="4">
        <v>4360973.78</v>
      </c>
    </row>
    <row r="22" spans="1:17" ht="38.25" x14ac:dyDescent="0.25">
      <c r="A22" s="2">
        <v>21</v>
      </c>
      <c r="B22" s="3" t="s">
        <v>184</v>
      </c>
      <c r="C22" s="3" t="s">
        <v>185</v>
      </c>
      <c r="D22" s="3" t="s">
        <v>186</v>
      </c>
      <c r="E22" s="3" t="s">
        <v>229</v>
      </c>
      <c r="F22" s="3" t="s">
        <v>187</v>
      </c>
      <c r="G22" s="3" t="s">
        <v>9</v>
      </c>
      <c r="H22" s="3" t="s">
        <v>202</v>
      </c>
      <c r="I22" s="3" t="s">
        <v>199</v>
      </c>
      <c r="J22" s="3" t="s">
        <v>10</v>
      </c>
      <c r="K22" s="3" t="s">
        <v>188</v>
      </c>
      <c r="L22" s="3" t="s">
        <v>189</v>
      </c>
      <c r="M22" s="4">
        <v>42000000</v>
      </c>
      <c r="N22" s="3">
        <v>15</v>
      </c>
      <c r="O22" s="3">
        <v>24447.33</v>
      </c>
      <c r="P22" s="4">
        <v>1318755.58</v>
      </c>
    </row>
    <row r="23" spans="1:17" ht="76.5" x14ac:dyDescent="0.25">
      <c r="A23" s="2">
        <v>22</v>
      </c>
      <c r="B23" s="3" t="s">
        <v>73</v>
      </c>
      <c r="C23" s="3" t="s">
        <v>74</v>
      </c>
      <c r="D23" s="3" t="s">
        <v>75</v>
      </c>
      <c r="E23" s="3" t="s">
        <v>226</v>
      </c>
      <c r="F23" s="3" t="s">
        <v>76</v>
      </c>
      <c r="G23" s="3" t="s">
        <v>9</v>
      </c>
      <c r="H23" s="3" t="s">
        <v>202</v>
      </c>
      <c r="I23" s="3" t="s">
        <v>199</v>
      </c>
      <c r="J23" s="3" t="s">
        <v>21</v>
      </c>
      <c r="K23" s="3" t="s">
        <v>77</v>
      </c>
      <c r="L23" s="3" t="s">
        <v>78</v>
      </c>
      <c r="M23" s="4">
        <v>70000000</v>
      </c>
      <c r="N23" s="3">
        <v>12</v>
      </c>
      <c r="O23" s="3">
        <v>79053.759999999995</v>
      </c>
      <c r="P23" s="4">
        <v>4487580.82</v>
      </c>
    </row>
    <row r="24" spans="1:17" ht="102" x14ac:dyDescent="0.25">
      <c r="A24" s="2">
        <v>23</v>
      </c>
      <c r="B24" s="3" t="s">
        <v>85</v>
      </c>
      <c r="C24" s="3" t="s">
        <v>86</v>
      </c>
      <c r="D24" s="3" t="s">
        <v>87</v>
      </c>
      <c r="E24" s="3" t="s">
        <v>230</v>
      </c>
      <c r="F24" s="3" t="s">
        <v>88</v>
      </c>
      <c r="G24" s="3" t="s">
        <v>9</v>
      </c>
      <c r="H24" s="3" t="s">
        <v>202</v>
      </c>
      <c r="J24" s="3" t="s">
        <v>21</v>
      </c>
      <c r="K24" s="3" t="s">
        <v>89</v>
      </c>
      <c r="L24" s="3" t="s">
        <v>90</v>
      </c>
      <c r="M24" s="4">
        <v>20000000</v>
      </c>
      <c r="N24" s="3">
        <v>12</v>
      </c>
      <c r="O24" s="3">
        <v>606498.38</v>
      </c>
      <c r="P24" s="4">
        <v>2511880.2999999998</v>
      </c>
    </row>
    <row r="25" spans="1:17" ht="63.75" x14ac:dyDescent="0.25">
      <c r="A25" s="2">
        <v>24</v>
      </c>
      <c r="B25" s="3" t="s">
        <v>91</v>
      </c>
      <c r="C25" s="3" t="s">
        <v>92</v>
      </c>
      <c r="D25" s="3" t="s">
        <v>93</v>
      </c>
      <c r="E25" s="3" t="s">
        <v>229</v>
      </c>
      <c r="F25" s="3" t="s">
        <v>94</v>
      </c>
      <c r="G25" s="3" t="s">
        <v>9</v>
      </c>
      <c r="H25" s="3" t="s">
        <v>214</v>
      </c>
      <c r="I25" s="3" t="s">
        <v>219</v>
      </c>
      <c r="J25" s="3" t="s">
        <v>21</v>
      </c>
      <c r="K25" s="3" t="s">
        <v>95</v>
      </c>
      <c r="L25" s="3" t="s">
        <v>96</v>
      </c>
      <c r="M25" s="4">
        <v>40000000</v>
      </c>
      <c r="N25" s="3">
        <v>8</v>
      </c>
      <c r="O25" s="3">
        <v>4345.28</v>
      </c>
      <c r="P25" s="4">
        <v>480995.05</v>
      </c>
    </row>
    <row r="26" spans="1:17" ht="51" x14ac:dyDescent="0.25">
      <c r="A26" s="2">
        <v>25</v>
      </c>
      <c r="B26" s="3" t="s">
        <v>109</v>
      </c>
      <c r="C26" s="3" t="s">
        <v>110</v>
      </c>
      <c r="D26" s="3" t="s">
        <v>111</v>
      </c>
      <c r="E26" s="3" t="s">
        <v>230</v>
      </c>
      <c r="F26" s="3" t="s">
        <v>112</v>
      </c>
      <c r="G26" s="3" t="s">
        <v>9</v>
      </c>
      <c r="H26" s="3" t="s">
        <v>215</v>
      </c>
      <c r="I26" s="3" t="s">
        <v>215</v>
      </c>
      <c r="J26" s="3" t="s">
        <v>10</v>
      </c>
      <c r="K26" s="3" t="s">
        <v>113</v>
      </c>
      <c r="L26" s="3" t="s">
        <v>114</v>
      </c>
      <c r="M26" s="4">
        <v>120000000</v>
      </c>
      <c r="N26" s="3">
        <v>8</v>
      </c>
      <c r="O26" s="3">
        <v>11708.16</v>
      </c>
      <c r="P26" s="4">
        <v>6252810.7699999996</v>
      </c>
    </row>
    <row r="27" spans="1:17" ht="89.25" x14ac:dyDescent="0.25">
      <c r="A27" s="2">
        <v>26</v>
      </c>
      <c r="B27" s="3" t="s">
        <v>115</v>
      </c>
      <c r="C27" s="3" t="s">
        <v>116</v>
      </c>
      <c r="D27" s="3" t="s">
        <v>117</v>
      </c>
      <c r="E27" s="3" t="s">
        <v>229</v>
      </c>
      <c r="F27" s="3" t="s">
        <v>118</v>
      </c>
      <c r="G27" s="3" t="s">
        <v>9</v>
      </c>
      <c r="H27" s="3" t="s">
        <v>216</v>
      </c>
      <c r="I27" s="3" t="s">
        <v>216</v>
      </c>
      <c r="J27" s="3" t="s">
        <v>10</v>
      </c>
      <c r="K27" s="3" t="s">
        <v>119</v>
      </c>
      <c r="L27" s="3" t="s">
        <v>120</v>
      </c>
      <c r="M27" s="4">
        <v>44000000</v>
      </c>
      <c r="N27" s="3">
        <v>6</v>
      </c>
      <c r="O27" s="3">
        <v>16862.72</v>
      </c>
      <c r="P27" s="4">
        <v>3117352.14</v>
      </c>
    </row>
    <row r="28" spans="1:17" ht="76.5" x14ac:dyDescent="0.25">
      <c r="A28" s="2">
        <v>27</v>
      </c>
      <c r="B28" s="3" t="s">
        <v>97</v>
      </c>
      <c r="C28" s="3" t="s">
        <v>98</v>
      </c>
      <c r="D28" s="3" t="s">
        <v>99</v>
      </c>
      <c r="E28" s="3" t="s">
        <v>227</v>
      </c>
      <c r="F28" s="3" t="s">
        <v>100</v>
      </c>
      <c r="G28" s="3" t="s">
        <v>9</v>
      </c>
      <c r="H28" s="3" t="s">
        <v>217</v>
      </c>
      <c r="I28" s="3" t="s">
        <v>196</v>
      </c>
      <c r="J28" s="3" t="s">
        <v>21</v>
      </c>
      <c r="K28" s="3" t="s">
        <v>101</v>
      </c>
      <c r="L28" s="3" t="s">
        <v>102</v>
      </c>
      <c r="M28" s="4">
        <v>100000000</v>
      </c>
      <c r="N28" s="3">
        <v>5</v>
      </c>
      <c r="O28" s="3">
        <f>M28/365*N28</f>
        <v>1369863.01369863</v>
      </c>
      <c r="P28" s="4">
        <v>2234508.58</v>
      </c>
      <c r="Q28" s="5">
        <f>+P28+O28</f>
        <v>3604371.5936986301</v>
      </c>
    </row>
    <row r="29" spans="1:17" ht="63.75" x14ac:dyDescent="0.25">
      <c r="A29" s="2">
        <v>28</v>
      </c>
      <c r="B29" s="3" t="s">
        <v>17</v>
      </c>
      <c r="C29" s="3" t="s">
        <v>18</v>
      </c>
      <c r="D29" s="3" t="s">
        <v>19</v>
      </c>
      <c r="E29" s="3" t="s">
        <v>229</v>
      </c>
      <c r="F29" s="3" t="s">
        <v>20</v>
      </c>
      <c r="G29" s="3" t="s">
        <v>9</v>
      </c>
      <c r="H29" s="3"/>
      <c r="I29" s="3" t="s">
        <v>195</v>
      </c>
      <c r="J29" s="3" t="s">
        <v>21</v>
      </c>
      <c r="K29" s="3" t="s">
        <v>22</v>
      </c>
      <c r="L29" s="3" t="s">
        <v>23</v>
      </c>
      <c r="M29" s="4">
        <v>68216000</v>
      </c>
      <c r="N29" s="3">
        <v>1</v>
      </c>
      <c r="O29" s="3">
        <v>0</v>
      </c>
      <c r="P29" s="4">
        <v>4028219.09</v>
      </c>
    </row>
    <row r="30" spans="1:17" ht="76.5" x14ac:dyDescent="0.25">
      <c r="A30" s="2">
        <v>29</v>
      </c>
      <c r="B30" s="3" t="s">
        <v>55</v>
      </c>
      <c r="C30" s="3" t="s">
        <v>56</v>
      </c>
      <c r="D30" s="3" t="s">
        <v>57</v>
      </c>
      <c r="E30" s="3" t="s">
        <v>229</v>
      </c>
      <c r="F30" s="3" t="s">
        <v>58</v>
      </c>
      <c r="G30" s="3" t="s">
        <v>9</v>
      </c>
      <c r="H30" s="3" t="s">
        <v>225</v>
      </c>
      <c r="I30" s="3" t="s">
        <v>194</v>
      </c>
      <c r="J30" s="3" t="s">
        <v>21</v>
      </c>
      <c r="K30" s="3" t="s">
        <v>59</v>
      </c>
      <c r="L30" s="3" t="s">
        <v>60</v>
      </c>
      <c r="M30" s="4">
        <v>40000000</v>
      </c>
      <c r="N30" s="3">
        <v>1</v>
      </c>
      <c r="O30" s="3">
        <v>0</v>
      </c>
      <c r="P30" s="4">
        <v>196990.77</v>
      </c>
    </row>
    <row r="31" spans="1:17" ht="76.5" x14ac:dyDescent="0.25">
      <c r="A31" s="2">
        <v>30</v>
      </c>
      <c r="B31" s="3" t="s">
        <v>30</v>
      </c>
      <c r="C31" s="3" t="s">
        <v>31</v>
      </c>
      <c r="D31" s="3" t="s">
        <v>32</v>
      </c>
      <c r="E31" s="3" t="s">
        <v>228</v>
      </c>
      <c r="F31" s="3" t="s">
        <v>33</v>
      </c>
      <c r="G31" s="3" t="s">
        <v>9</v>
      </c>
      <c r="H31" s="3" t="s">
        <v>218</v>
      </c>
      <c r="I31" s="3" t="s">
        <v>218</v>
      </c>
      <c r="J31" s="3" t="s">
        <v>34</v>
      </c>
      <c r="K31" s="3" t="s">
        <v>35</v>
      </c>
      <c r="L31" s="3" t="s">
        <v>36</v>
      </c>
      <c r="M31" s="4">
        <v>193000000</v>
      </c>
      <c r="N31" s="3"/>
      <c r="O31" s="3">
        <v>0</v>
      </c>
      <c r="P31" s="4">
        <v>14502592.66</v>
      </c>
    </row>
    <row r="32" spans="1:17" ht="90.95" customHeight="1" x14ac:dyDescent="0.25"/>
  </sheetData>
  <autoFilter ref="A1:Q31">
    <sortState ref="A23:Q23">
      <sortCondition ref="D1:D31"/>
    </sortState>
  </autoFilter>
  <dataValidations count="1">
    <dataValidation type="list" allowBlank="1" showInputMessage="1" showErrorMessage="1" sqref="E2:E31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Xayrulla Munnavarov</dc:creator>
  <cp:lastModifiedBy>Xayrulla Munnavarov</cp:lastModifiedBy>
  <dcterms:created xsi:type="dcterms:W3CDTF">2026-09-22T15:06:39Z</dcterms:created>
  <dcterms:modified xsi:type="dcterms:W3CDTF">2026-09-22T15:06:39Z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