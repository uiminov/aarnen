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0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Gaplashgan" sheetId="5" r:id="rId5"/>
    <sheet name="Обещали" sheetId="6" r:id="rId10"/>
    <sheet name="Ko'tarmadi" sheetId="8" r:id="rId12"/>
    <sheet name="Объезд" sheetId="9" r:id="rId13"/>
    <sheet name="Оплатили" sheetId="7" r:id="rId11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Дату и все числа таблицы бот заполняет сам при сборке отчёта — вручную ничего вводить не нужно.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<sst xmlns="http://schemas.openxmlformats.org/spreadsheetml/2006/main" count="204" uniqueCount="108">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</sst>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30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i/>
      <sz val="9"/>
      <color rgb="FF595959"/>
      <name val="Arial"/>
      <family val="2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9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0" borderId="0" xfId="0" applyFont="1" applyAlignment="1">
      <alignment horizontal="left" vertical="top"/>
    </xf>
    <xf numFmtId="0" fontId="28" fillId="11" borderId="0" xfId="0" applyNumberFormat="true" applyFont="true" applyFill="true"/>
    <xf numFmtId="0" fontId="29" fillId="12" borderId="0" xfId="0" applyFont="true" applyFill="true" applyAlignment="true">
      <alignment horizontal="center" vertical="center"/>
    </xf>
    <xf numFmtId="0" fontId="29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Дашборд!$A$32:$A$35</c:f>
              <c:strCache>
                <c:ptCount val="4"/>
                <c:pt idx="0">
                  <c:v>Дозвон всего</c:v>
                </c:pt>
                <c:pt idx="1">
                  <c:v>Ko'tarmadi</c:v>
                </c:pt>
                <c:pt idx="2">
                  <c:v>Объезд</c:v>
                </c:pt>
                <c:pt idx="3">
                  <c:v>Ishlanmagan</c:v>
                </c:pt>
              </c:strCache>
            </c:str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38"/>
  <sheetViews>
    <sheetView tabSelected="1"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3" style="1" customWidth="1"/>
    <col min="7" max="7" width="16" style="1" customWidth="1"/>
    <col min="8" max="8" width="11" style="1" customWidth="1"/>
    <col min="9" max="9" width="15" style="1" customWidth="1"/>
    <col min="10" max="10" width="11" style="1" customWidth="1"/>
    <col min="11" max="11" width="15" style="1" customWidth="1"/>
    <col min="12" max="12" width="11" style="1" customWidth="1"/>
    <col min="13" max="13" width="15" style="1" customWidth="1"/>
    <col min="14" max="14" width="10" style="1" customWidth="1"/>
    <col min="15" max="15" width="15" style="1" customWidth="1"/>
    <col min="16" max="16" width="13" style="1" customWidth="1"/>
    <col min="17" max="17" width="15" style="1" customWidth="1"/>
    <col min="18" max="18" width="10" style="1" customWidth="1"/>
    <col min="19" max="19" width="15" style="1" customWidth="1"/>
    <col min="20" max="20" width="10" style="1" customWidth="1"/>
    <col min="21" max="21" width="15" style="1" customWidth="1"/>
    <col min="22" max="22" width="10" style="1" customWidth="1"/>
    <col min="23" max="23" width="16" style="1" customWidth="1"/>
    <col min="24" max="24" width="10" style="1" customWidth="1"/>
    <col min="25" max="25" width="11" style="1" customWidth="1"/>
    <col min="26" max="26" width="12" style="1" customWidth="1"/>
    <col min="27" max="27" width="11" style="1" customWidth="1"/>
    <col min="28" max="28" width="11" style="1" customWidth="1"/>
    <col min="29" max="29" width="22" style="1" customWidth="1"/>
    <col min="30" max="30" width="18" style="1" customWidth="1"/>
    <col min="31" max="31" width="26" style="1" hidden="1" customWidth="1"/>
    <col min="32" max="32" width="1" style="1" hidden="1" customWidth="1"/>
    <col min="33" max="33" width="1" style="1" hidden="1" customWidth="1"/>
  </cols>
  <sheetData>
    <row r="1" ht="17.25" customHeight="1" x14ac:dyDescent="0.25">
      <c r="A1" s="74"/>
      <c r="B1" s="74"/>
      <c r="C1" s="74"/>
      <c r="D1" s="74"/>
      <c r="E1" s="74"/>
      <c r="F1" s="74"/>
      <c r="G1" s="74"/>
      <c r="H1" s="74"/>
    </row>
    <row r="2" ht="15" customHeight="1" x14ac:dyDescent="0.25">
      <c r="A2" s="75" t="s">
        <v>0</v>
      </c>
      <c r="B2" s="75"/>
      <c r="C2" s="2" t="n">
        <v>46304</v>
      </c>
      <c r="E2" s="75"/>
      <c r="F2" s="75"/>
      <c r="G2" s="3"/>
      <c r="H2" s="4"/>
      <c r="L2" s="75"/>
      <c r="M2" s="75"/>
      <c r="N2" s="6"/>
    </row>
    <row r="3" ht="25.5" customHeight="1" x14ac:dyDescent="0.25">
      <c r="A3" s="76"/>
      <c r="B3" s="76"/>
      <c r="C3" s="76"/>
      <c r="D3" s="76"/>
      <c r="E3" s="76"/>
      <c r="F3" s="76"/>
      <c r="G3" s="76"/>
      <c r="H3" s="76"/>
      <c r="K3" s="76"/>
      <c r="L3" s="76"/>
      <c r="M3" s="76"/>
      <c r="N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ht="51.75" customHeight="1" x14ac:dyDescent="0.25">
      <c r="E4" s="73" t="s">
        <v>1</v>
      </c>
      <c r="F4" s="73"/>
      <c r="G4" s="68" t="s">
        <v>2</v>
      </c>
      <c r="H4" s="68"/>
      <c r="I4" s="70" t="inlineStr">
        <is>
          <t xml:space="preserve">ЗВОНКИ</t>
        </is>
      </c>
      <c r="J4" s="71"/>
      <c r="K4" s="70" t="inlineStr">
        <is>
          <t xml:space="preserve">GAPLASHGAN / ОБЕЩАЛИ</t>
        </is>
      </c>
      <c r="L4" s="71"/>
      <c r="M4" s="71"/>
      <c r="N4" s="72"/>
      <c r="O4" s="70" t="inlineStr">
        <is>
          <t xml:space="preserve">НЕ ДОЗВОНИЛИСЬ / ОБЪЕЗД</t>
        </is>
      </c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inlineStr">
        <is>
          <t xml:space="preserve">Звонков всего,
сум</t>
        </is>
      </c>
      <c r="J5" s="7" t="inlineStr">
        <is>
          <t xml:space="preserve">Звонков всего,
шт</t>
        </is>
      </c>
      <c r="K5" s="7" t="inlineStr">
        <is>
          <t xml:space="preserve">Gaplashgan,
сум</t>
        </is>
      </c>
      <c r="L5" s="7" t="inlineStr">
        <is>
          <t xml:space="preserve">Gaplashgan,
шт</t>
        </is>
      </c>
      <c r="M5" s="7" t="s">
        <v>18</v>
      </c>
      <c r="N5" s="7" t="s">
        <v>19</v>
      </c>
      <c r="O5" s="7" t="inlineStr">
        <is>
          <t xml:space="preserve">Ko'tarmadi,
сум</t>
        </is>
      </c>
      <c r="P5" s="7" t="inlineStr">
        <is>
          <t xml:space="preserve">Ko'tarmadi,
шт</t>
        </is>
      </c>
      <c r="Q5" s="7" t="inlineStr">
        <is>
          <t xml:space="preserve">Объезд,
сум</t>
        </is>
      </c>
      <c r="R5" s="7" t="inlineStr">
        <is>
          <t xml:space="preserve">Объезд,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inlineStr">
        <is>
          <t xml:space="preserve">Оплачено общее,
сум</t>
        </is>
      </c>
      <c r="X5" s="7" t="inlineStr">
        <is>
          <t xml:space="preserve">Оплачено общее,
шт</t>
        </is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</c>
      <c r="D6" s="13">
        <f>SUMIF(Справочники!$H$4:$H$21,$B6,Справочники!$E$4:$E$21)</f>
      </c>
      <c r="E6" s="14" t="n">
        <v>21670183628.19</v>
      </c>
      <c r="F6" s="13" t="n">
        <v>445.0</v>
      </c>
      <c r="G6" s="14" t="n">
        <v>717703349.94</v>
      </c>
      <c r="H6" s="13" t="n">
        <v>173.0</v>
      </c>
      <c r="I6" s="14" t="n">
        <v>522224763.87</v>
      </c>
      <c r="J6" s="13" t="n">
        <v>132.0</v>
      </c>
      <c r="K6" s="14" t="n">
        <v>400186527.0</v>
      </c>
      <c r="L6" s="13" t="n">
        <v>110.0</v>
      </c>
      <c r="M6" s="14" t="n">
        <v>11537225.74</v>
      </c>
      <c r="N6" s="13" t="n">
        <v>3.0</v>
      </c>
      <c r="O6" s="14" t="n">
        <v>48777883.97</v>
      </c>
      <c r="P6" s="13" t="n">
        <v>5.0</v>
      </c>
      <c r="Q6" s="14" t="n">
        <v>73260352.9</v>
      </c>
      <c r="R6" s="13" t="n">
        <v>17.0</v>
      </c>
      <c r="S6" s="14" t="n">
        <v>22868115.71</v>
      </c>
      <c r="T6" s="13" t="n">
        <v>10.0</v>
      </c>
      <c r="U6" s="14" t="n">
        <v>0.0</v>
      </c>
      <c r="V6" s="13" t="n">
        <v>0.0</v>
      </c>
      <c r="W6" s="16" t="n">
        <v>22868115.71</v>
      </c>
      <c r="X6" s="17" t="n">
        <v>10.0</v>
      </c>
      <c r="Y6" s="15">
        <f>IFERROR($L6/$H6,"")</f>
      </c>
      <c r="Z6" s="15" t="str">
        <f>IFERROR($N6/$L6,"")</f>
      </c>
      <c r="AA6" s="18" t="str">
        <f>IFERROR($H6/$D6,"")</f>
      </c>
      <c r="AB6" s="19" t="str">
        <f>IFERROR($L6/$D6,"")</f>
      </c>
      <c r="AE6" s="20">
        <f>IFERROR($Y6,0)+ROW()/1000000</f>
      </c>
    </row>
    <row r="7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</c>
      <c r="D7" s="13">
        <f>SUMIF(Справочники!$H$4:$H$21,$B7,Справочники!$E$4:$E$21)</f>
      </c>
      <c r="E7" s="14" t="n">
        <v>5123173370.16</v>
      </c>
      <c r="F7" s="13" t="n">
        <v>167.0</v>
      </c>
      <c r="G7" s="14" t="n">
        <v>253937626.65</v>
      </c>
      <c r="H7" s="13" t="n">
        <v>55.0</v>
      </c>
      <c r="I7" s="14" t="n">
        <v>253937626.65</v>
      </c>
      <c r="J7" s="13" t="n">
        <v>55.0</v>
      </c>
      <c r="K7" s="14" t="n">
        <v>164504941.91</v>
      </c>
      <c r="L7" s="13" t="n">
        <v>47.0</v>
      </c>
      <c r="M7" s="14" t="n">
        <v>149501688.64</v>
      </c>
      <c r="N7" s="13" t="n">
        <v>41.0</v>
      </c>
      <c r="O7" s="14" t="n">
        <v>87611718.7</v>
      </c>
      <c r="P7" s="13" t="n">
        <v>7.0</v>
      </c>
      <c r="Q7" s="14" t="n">
        <v>1820966.04</v>
      </c>
      <c r="R7" s="13" t="n">
        <v>1.0</v>
      </c>
      <c r="S7" s="14" t="n">
        <v>15003253.27</v>
      </c>
      <c r="T7" s="13" t="n">
        <v>6.0</v>
      </c>
      <c r="U7" s="14" t="n">
        <v>0.0</v>
      </c>
      <c r="V7" s="13" t="n">
        <v>0.0</v>
      </c>
      <c r="W7" s="16" t="n">
        <v>15003253.27</v>
      </c>
      <c r="X7" s="17" t="n">
        <v>6.0</v>
      </c>
      <c r="Y7" s="15">
        <f>IFERROR($L7/$H7,"")</f>
      </c>
      <c r="Z7" s="15" t="str">
        <f>IFERROR($N7/$L7,"")</f>
      </c>
      <c r="AA7" s="18" t="str">
        <f>IFERROR($H7/$D7,"")</f>
      </c>
      <c r="AB7" s="19" t="str">
        <f>IFERROR($L7/$D7,"")</f>
      </c>
      <c r="AE7" s="20">
        <f>IFERROR($Y7,0)+ROW()/1000000</f>
      </c>
    </row>
    <row r="8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</c>
      <c r="D8" s="13">
        <f>SUMIF(Справочники!$H$4:$H$21,$B8,Справочники!$E$4:$E$21)</f>
      </c>
      <c r="E8" s="14" t="n">
        <v>13904205190.28</v>
      </c>
      <c r="F8" s="13" t="n">
        <v>493.0</v>
      </c>
      <c r="G8" s="14" t="n">
        <v>548469168.56</v>
      </c>
      <c r="H8" s="13" t="n">
        <v>167.0</v>
      </c>
      <c r="I8" s="14" t="n">
        <v>381519837.98</v>
      </c>
      <c r="J8" s="13" t="n">
        <v>125.0</v>
      </c>
      <c r="K8" s="14" t="n">
        <v>256365699.19</v>
      </c>
      <c r="L8" s="13" t="n">
        <v>87.0</v>
      </c>
      <c r="M8" s="14" t="n">
        <v>206834239.85</v>
      </c>
      <c r="N8" s="13" t="n">
        <v>64.0</v>
      </c>
      <c r="O8" s="14" t="n">
        <v>125154138.79</v>
      </c>
      <c r="P8" s="13" t="n">
        <v>38.0</v>
      </c>
      <c r="Q8" s="14" t="n">
        <v>0.0</v>
      </c>
      <c r="R8" s="13" t="n">
        <v>0.0</v>
      </c>
      <c r="S8" s="14" t="n">
        <v>28866199.9</v>
      </c>
      <c r="T8" s="13" t="n">
        <v>16.0</v>
      </c>
      <c r="U8" s="14" t="n">
        <v>0.0</v>
      </c>
      <c r="V8" s="13" t="n">
        <v>0.0</v>
      </c>
      <c r="W8" s="16" t="n">
        <v>28866199.9</v>
      </c>
      <c r="X8" s="17" t="n">
        <v>16.0</v>
      </c>
      <c r="Y8" s="15">
        <f>IFERROR($L8/$H8,"")</f>
      </c>
      <c r="Z8" s="15">
        <f>IFERROR($N8/$L8,"")</f>
      </c>
      <c r="AA8" s="18" t="str">
        <f>IFERROR($H8/$D8,"")</f>
      </c>
      <c r="AB8" s="19" t="str">
        <f>IFERROR($L8/$D8,"")</f>
      </c>
      <c r="AE8" s="20">
        <f>IFERROR($Y8,0)+ROW()/1000000</f>
      </c>
    </row>
    <row r="9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</c>
      <c r="D9" s="13">
        <f>SUMIF(Справочники!$H$4:$H$21,$B9,Справочники!$E$4:$E$21)</f>
      </c>
      <c r="E9" s="14" t="n">
        <v>12186568520.77</v>
      </c>
      <c r="F9" s="13" t="n">
        <v>418.0</v>
      </c>
      <c r="G9" s="14" t="n">
        <v>335727781.65</v>
      </c>
      <c r="H9" s="13" t="n">
        <v>158.0</v>
      </c>
      <c r="I9" s="14" t="n">
        <v>7478935.56</v>
      </c>
      <c r="J9" s="13" t="n">
        <v>69.0</v>
      </c>
      <c r="K9" s="14" t="n">
        <v>1759259.97</v>
      </c>
      <c r="L9" s="13" t="n">
        <v>49.0</v>
      </c>
      <c r="M9" s="14" t="n">
        <v>1759259.97</v>
      </c>
      <c r="N9" s="13" t="n">
        <v>21.0</v>
      </c>
      <c r="O9" s="14" t="n">
        <v>0.0</v>
      </c>
      <c r="P9" s="13" t="n">
        <v>17.0</v>
      </c>
      <c r="Q9" s="14" t="n">
        <v>5719675.59</v>
      </c>
      <c r="R9" s="13" t="n">
        <v>3.0</v>
      </c>
      <c r="S9" s="14" t="n">
        <v>0.0</v>
      </c>
      <c r="T9" s="13" t="n">
        <v>7.0</v>
      </c>
      <c r="U9" s="14" t="n">
        <v>0.0</v>
      </c>
      <c r="V9" s="13" t="n">
        <v>0.0</v>
      </c>
      <c r="W9" s="16" t="n">
        <v>0.0</v>
      </c>
      <c r="X9" s="17" t="n">
        <v>7.0</v>
      </c>
      <c r="Y9" s="15">
        <f>IFERROR($L9/$H9,"")</f>
      </c>
      <c r="Z9" s="15">
        <f>IFERROR($N9/$L9,"")</f>
      </c>
      <c r="AA9" s="18" t="str">
        <f>IFERROR($H9/$D9,"")</f>
      </c>
      <c r="AB9" s="19" t="str">
        <f>IFERROR($L9/$D9,"")</f>
      </c>
      <c r="AE9" s="20">
        <f>IFERROR($Y9,0)+ROW()/1000000</f>
      </c>
    </row>
    <row r="10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</c>
      <c r="D10" s="13">
        <f>SUMIF(Справочники!$H$4:$H$21,$B10,Справочники!$E$4:$E$21)</f>
      </c>
      <c r="E10" s="14" t="n">
        <v>11119544923.16</v>
      </c>
      <c r="F10" s="13" t="n">
        <v>269.0</v>
      </c>
      <c r="G10" s="14" t="n">
        <v>484675922.49</v>
      </c>
      <c r="H10" s="13" t="n">
        <v>113.0</v>
      </c>
      <c r="I10" s="14" t="n">
        <v>121797121.41</v>
      </c>
      <c r="J10" s="13" t="n">
        <v>37.0</v>
      </c>
      <c r="K10" s="14" t="n">
        <v>101324599.07</v>
      </c>
      <c r="L10" s="13" t="n">
        <v>33.0</v>
      </c>
      <c r="M10" s="14" t="n">
        <v>30601546.61</v>
      </c>
      <c r="N10" s="13" t="n">
        <v>9.0</v>
      </c>
      <c r="O10" s="14" t="n">
        <v>20472522.34</v>
      </c>
      <c r="P10" s="13" t="n">
        <v>4.0</v>
      </c>
      <c r="Q10" s="14" t="n">
        <v>0.0</v>
      </c>
      <c r="R10" s="13" t="n">
        <v>0.0</v>
      </c>
      <c r="S10" s="14" t="n">
        <v>50496784.4</v>
      </c>
      <c r="T10" s="13" t="n">
        <v>16.0</v>
      </c>
      <c r="U10" s="14" t="n">
        <v>0.0</v>
      </c>
      <c r="V10" s="13" t="n">
        <v>0.0</v>
      </c>
      <c r="W10" s="16" t="n">
        <v>50496784.4</v>
      </c>
      <c r="X10" s="17" t="n">
        <v>16.0</v>
      </c>
      <c r="Y10" s="15">
        <f>IFERROR($L10/$H10,"")</f>
      </c>
      <c r="Z10" s="15">
        <f>IFERROR($N10/$L10,"")</f>
      </c>
      <c r="AA10" s="18" t="str">
        <f>IFERROR($H10/$D10,"")</f>
      </c>
      <c r="AB10" s="19" t="str">
        <f>IFERROR($L10/$D10,"")</f>
      </c>
      <c r="AE10" s="20">
        <f>IFERROR($Y10,0)+ROW()/1000000</f>
      </c>
    </row>
    <row r="1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</c>
      <c r="D11" s="13">
        <f>SUMIF(Справочники!$H$4:$H$21,$B11,Справочники!$E$4:$E$21)</f>
      </c>
      <c r="E11" s="14" t="n">
        <v>6476844959.7</v>
      </c>
      <c r="F11" s="13" t="n">
        <v>209.0</v>
      </c>
      <c r="G11" s="14" t="n">
        <v>303895557.3</v>
      </c>
      <c r="H11" s="13" t="n">
        <v>83.0</v>
      </c>
      <c r="I11" s="14" t="n">
        <v>2810986.42</v>
      </c>
      <c r="J11" s="13" t="n">
        <v>1.0</v>
      </c>
      <c r="K11" s="14" t="n">
        <v>0.0</v>
      </c>
      <c r="L11" s="13" t="n">
        <v>0.0</v>
      </c>
      <c r="M11" s="14" t="n">
        <v>0.0</v>
      </c>
      <c r="N11" s="13" t="n">
        <v>0.0</v>
      </c>
      <c r="O11" s="14" t="n">
        <v>2810986.42</v>
      </c>
      <c r="P11" s="13" t="n">
        <v>1.0</v>
      </c>
      <c r="Q11" s="14" t="n">
        <v>0.0</v>
      </c>
      <c r="R11" s="13" t="n">
        <v>0.0</v>
      </c>
      <c r="S11" s="14" t="n">
        <v>0.0</v>
      </c>
      <c r="T11" s="13" t="n">
        <v>0.0</v>
      </c>
      <c r="U11" s="14" t="n">
        <v>0.0</v>
      </c>
      <c r="V11" s="13" t="n">
        <v>0.0</v>
      </c>
      <c r="W11" s="16" t="n">
        <v>0.0</v>
      </c>
      <c r="X11" s="17" t="n">
        <v>0.0</v>
      </c>
      <c r="Y11" s="15">
        <f>IFERROR($L11/$H11,"")</f>
      </c>
      <c r="Z11" s="15">
        <f>IFERROR($N11/$L11,"")</f>
      </c>
      <c r="AA11" s="18" t="str">
        <f>IFERROR($H11/$D11,"")</f>
      </c>
      <c r="AB11" s="19" t="str">
        <f>IFERROR($L11/$D11,"")</f>
      </c>
      <c r="AE11" s="20">
        <f>IFERROR($Y11,0)+ROW()/1000000</f>
      </c>
    </row>
    <row r="12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</c>
      <c r="D12" s="13">
        <f>SUMIF(Справочники!$H$4:$H$21,$B12,Справочники!$E$4:$E$21)</f>
      </c>
      <c r="E12" s="14" t="n">
        <v>14729615980.03</v>
      </c>
      <c r="F12" s="13" t="n">
        <v>438.0</v>
      </c>
      <c r="G12" s="14" t="n">
        <v>1008451136.87</v>
      </c>
      <c r="H12" s="13" t="n">
        <v>171.0</v>
      </c>
      <c r="I12" s="14" t="n">
        <v>619865008.77</v>
      </c>
      <c r="J12" s="13" t="n">
        <v>107.0</v>
      </c>
      <c r="K12" s="14" t="n">
        <v>222542968.59</v>
      </c>
      <c r="L12" s="13" t="n">
        <v>57.0</v>
      </c>
      <c r="M12" s="14" t="n">
        <v>42191979.14</v>
      </c>
      <c r="N12" s="13" t="n">
        <v>14.0</v>
      </c>
      <c r="O12" s="14" t="n">
        <v>391986355.21</v>
      </c>
      <c r="P12" s="13" t="n">
        <v>47.0</v>
      </c>
      <c r="Q12" s="14" t="n">
        <v>5335684.97</v>
      </c>
      <c r="R12" s="13" t="n">
        <v>3.0</v>
      </c>
      <c r="S12" s="14" t="n">
        <v>20606528.82</v>
      </c>
      <c r="T12" s="13" t="n">
        <v>7.0</v>
      </c>
      <c r="U12" s="14" t="n">
        <v>0.0</v>
      </c>
      <c r="V12" s="13" t="n">
        <v>0.0</v>
      </c>
      <c r="W12" s="16" t="n">
        <v>20606528.82</v>
      </c>
      <c r="X12" s="17" t="n">
        <v>7.0</v>
      </c>
      <c r="Y12" s="15">
        <f>IFERROR($L12/$H12,"")</f>
      </c>
      <c r="Z12" s="15">
        <f>IFERROR($N12/$L12,"")</f>
      </c>
      <c r="AA12" s="18" t="str">
        <f>IFERROR($H12/$D12,"")</f>
      </c>
      <c r="AB12" s="19" t="str">
        <f>IFERROR($L12/$D12,"")</f>
      </c>
      <c r="AE12" s="20">
        <f>IFERROR($Y12,0)+ROW()/1000000</f>
      </c>
    </row>
    <row r="13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</c>
      <c r="D13" s="13">
        <f>SUMIF(Справочники!$H$4:$H$21,$B13,Справочники!$E$4:$E$21)</f>
      </c>
      <c r="E13" s="14" t="n">
        <v>16007858956.77</v>
      </c>
      <c r="F13" s="13" t="n">
        <v>549.0</v>
      </c>
      <c r="G13" s="14" t="n">
        <v>800579630.97</v>
      </c>
      <c r="H13" s="13" t="n">
        <v>232.0</v>
      </c>
      <c r="I13" s="14" t="n">
        <v>125065462.22</v>
      </c>
      <c r="J13" s="13" t="n">
        <v>42.0</v>
      </c>
      <c r="K13" s="14" t="n">
        <v>72321805.02</v>
      </c>
      <c r="L13" s="13" t="n">
        <v>30.0</v>
      </c>
      <c r="M13" s="14" t="n">
        <v>48397085.03</v>
      </c>
      <c r="N13" s="13" t="n">
        <v>24.0</v>
      </c>
      <c r="O13" s="14" t="n">
        <v>52743657.2</v>
      </c>
      <c r="P13" s="13" t="n">
        <v>12.0</v>
      </c>
      <c r="Q13" s="14" t="n">
        <v>0.0</v>
      </c>
      <c r="R13" s="13" t="n">
        <v>0.0</v>
      </c>
      <c r="S13" s="14" t="n">
        <v>1856396.53</v>
      </c>
      <c r="T13" s="13" t="n">
        <v>3.0</v>
      </c>
      <c r="U13" s="14" t="n">
        <v>0.0</v>
      </c>
      <c r="V13" s="13" t="n">
        <v>0.0</v>
      </c>
      <c r="W13" s="16" t="n">
        <v>1856396.53</v>
      </c>
      <c r="X13" s="17" t="n">
        <v>3.0</v>
      </c>
      <c r="Y13" s="15">
        <f>IFERROR($L13/$H13,"")</f>
      </c>
      <c r="Z13" s="15">
        <f>IFERROR($N13/$L13,"")</f>
      </c>
      <c r="AA13" s="18" t="str">
        <f>IFERROR($H13/$D13,"")</f>
      </c>
      <c r="AB13" s="19" t="str">
        <f>IFERROR($L13/$D13,"")</f>
      </c>
      <c r="AE13" s="20">
        <f>IFERROR($Y13,0)+ROW()/1000000</f>
      </c>
    </row>
    <row r="14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</c>
      <c r="D14" s="13">
        <f>SUMIF(Справочники!$H$4:$H$21,$B14,Справочники!$E$4:$E$21)</f>
      </c>
      <c r="E14" s="14" t="n">
        <v>7189760534.1</v>
      </c>
      <c r="F14" s="13" t="n">
        <v>151.0</v>
      </c>
      <c r="G14" s="14" t="n">
        <v>278763456.23</v>
      </c>
      <c r="H14" s="13" t="n">
        <v>65.0</v>
      </c>
      <c r="I14" s="14" t="n">
        <v>0.0</v>
      </c>
      <c r="J14" s="13" t="n">
        <v>0.0</v>
      </c>
      <c r="K14" s="14" t="n">
        <v>0.0</v>
      </c>
      <c r="L14" s="13" t="n">
        <v>0.0</v>
      </c>
      <c r="M14" s="14" t="n">
        <v>0.0</v>
      </c>
      <c r="N14" s="13" t="n">
        <v>0.0</v>
      </c>
      <c r="O14" s="14" t="n">
        <v>0.0</v>
      </c>
      <c r="P14" s="13" t="n">
        <v>0.0</v>
      </c>
      <c r="Q14" s="14" t="n">
        <v>0.0</v>
      </c>
      <c r="R14" s="13" t="n">
        <v>0.0</v>
      </c>
      <c r="S14" s="14" t="n">
        <v>0.0</v>
      </c>
      <c r="T14" s="13" t="n">
        <v>0.0</v>
      </c>
      <c r="U14" s="14" t="n">
        <v>0.0</v>
      </c>
      <c r="V14" s="13" t="n">
        <v>0.0</v>
      </c>
      <c r="W14" s="16" t="n">
        <v>0.0</v>
      </c>
      <c r="X14" s="17" t="n">
        <v>0.0</v>
      </c>
      <c r="Y14" s="15">
        <f>IFERROR($L14/$H14,"")</f>
      </c>
      <c r="Z14" s="15">
        <f>IFERROR($N14/$L14,"")</f>
      </c>
      <c r="AA14" s="18" t="str">
        <f>IFERROR($H14/$D14,"")</f>
      </c>
      <c r="AB14" s="19" t="str">
        <f>IFERROR($L14/$D14,"")</f>
      </c>
      <c r="AE14" s="20">
        <f>IFERROR($Y14,0)+ROW()/1000000</f>
      </c>
    </row>
    <row r="15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</c>
      <c r="D15" s="13">
        <f>SUMIF(Справочники!$H$4:$H$21,$B15,Справочники!$E$4:$E$21)</f>
      </c>
      <c r="E15" s="14" t="n">
        <v>16585229279.56</v>
      </c>
      <c r="F15" s="13" t="n">
        <v>558.0</v>
      </c>
      <c r="G15" s="14" t="n">
        <v>1588033599.26</v>
      </c>
      <c r="H15" s="13" t="n">
        <v>218.0</v>
      </c>
      <c r="I15" s="14" t="n">
        <v>1588033599.26</v>
      </c>
      <c r="J15" s="13" t="n">
        <v>218.0</v>
      </c>
      <c r="K15" s="14" t="n">
        <v>1137825738.23</v>
      </c>
      <c r="L15" s="13" t="n">
        <v>139.0</v>
      </c>
      <c r="M15" s="14" t="n">
        <v>57633347.65</v>
      </c>
      <c r="N15" s="13" t="n">
        <v>24.0</v>
      </c>
      <c r="O15" s="14" t="n">
        <v>406321545.46</v>
      </c>
      <c r="P15" s="13" t="n">
        <v>63.0</v>
      </c>
      <c r="Q15" s="14" t="n">
        <v>43886315.57</v>
      </c>
      <c r="R15" s="13" t="n">
        <v>16.0</v>
      </c>
      <c r="S15" s="14" t="n">
        <v>14932570.98</v>
      </c>
      <c r="T15" s="13" t="n">
        <v>7.0</v>
      </c>
      <c r="U15" s="14" t="n">
        <v>0.0</v>
      </c>
      <c r="V15" s="13" t="n">
        <v>0.0</v>
      </c>
      <c r="W15" s="16" t="n">
        <v>14932570.98</v>
      </c>
      <c r="X15" s="17" t="n">
        <v>7.0</v>
      </c>
      <c r="Y15" s="15">
        <f>IFERROR($L15/$H15,"")</f>
      </c>
      <c r="Z15" s="15">
        <f>IFERROR($N15/$L15,"")</f>
      </c>
      <c r="AA15" s="18" t="str">
        <f>IFERROR($H15/$D15,"")</f>
      </c>
      <c r="AB15" s="19" t="str">
        <f>IFERROR($L15/$D15,"")</f>
      </c>
      <c r="AE15" s="20">
        <f>IFERROR($Y15,0)+ROW()/1000000</f>
      </c>
    </row>
    <row r="16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</c>
      <c r="D16" s="13">
        <f>SUMIF(Справочники!$H$4:$H$21,$B16,Справочники!$E$4:$E$21)</f>
      </c>
      <c r="E16" s="14" t="n">
        <v>36871386933.11</v>
      </c>
      <c r="F16" s="13" t="n">
        <v>842.0</v>
      </c>
      <c r="G16" s="14" t="n">
        <v>1455017267.75</v>
      </c>
      <c r="H16" s="13" t="n">
        <v>321.0</v>
      </c>
      <c r="I16" s="14" t="n">
        <v>0.0</v>
      </c>
      <c r="J16" s="13" t="n">
        <v>0.0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0.0</v>
      </c>
      <c r="P16" s="13" t="n">
        <v>0.0</v>
      </c>
      <c r="Q16" s="14" t="n">
        <v>0.0</v>
      </c>
      <c r="R16" s="13" t="n">
        <v>0.0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6" t="n">
        <v>0.0</v>
      </c>
      <c r="X16" s="17" t="n">
        <v>0.0</v>
      </c>
      <c r="Y16" s="15">
        <f>IFERROR($L16/$H16,"")</f>
      </c>
      <c r="Z16" s="15" t="str">
        <f>IFERROR($N16/$L16,"")</f>
      </c>
      <c r="AA16" s="18" t="str">
        <f>IFERROR($H16/$D16,"")</f>
      </c>
      <c r="AB16" s="19" t="str">
        <f>IFERROR($L16/$D16,"")</f>
      </c>
      <c r="AE16" s="20">
        <f>IFERROR($Y16,0)+ROW()/1000000</f>
      </c>
    </row>
    <row r="17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</c>
      <c r="D17" s="13">
        <f>SUMIF(Справочники!$H$4:$H$21,$B17,Справочники!$E$4:$E$21)</f>
      </c>
      <c r="E17" s="14" t="n">
        <v>43531854598.51</v>
      </c>
      <c r="F17" s="13" t="n">
        <v>908.0</v>
      </c>
      <c r="G17" s="14" t="n">
        <v>1970446652.71</v>
      </c>
      <c r="H17" s="13" t="n">
        <v>295.0</v>
      </c>
      <c r="I17" s="14" t="n">
        <v>1405949304.49</v>
      </c>
      <c r="J17" s="13" t="n">
        <v>161.0</v>
      </c>
      <c r="K17" s="14" t="n">
        <v>826713275.61</v>
      </c>
      <c r="L17" s="13" t="n">
        <v>96.0</v>
      </c>
      <c r="M17" s="14" t="n">
        <v>579531946.57</v>
      </c>
      <c r="N17" s="13" t="n">
        <v>74.0</v>
      </c>
      <c r="O17" s="14" t="n">
        <v>500725016.33</v>
      </c>
      <c r="P17" s="13" t="n">
        <v>49.0</v>
      </c>
      <c r="Q17" s="14" t="n">
        <v>78511012.55</v>
      </c>
      <c r="R17" s="13" t="n">
        <v>16.0</v>
      </c>
      <c r="S17" s="14" t="n">
        <v>166906030.69</v>
      </c>
      <c r="T17" s="13" t="n">
        <v>16.0</v>
      </c>
      <c r="U17" s="14" t="n">
        <v>0.0</v>
      </c>
      <c r="V17" s="13" t="n">
        <v>0.0</v>
      </c>
      <c r="W17" s="16" t="n">
        <v>166906030.69</v>
      </c>
      <c r="X17" s="17" t="n">
        <v>16.0</v>
      </c>
      <c r="Y17" s="15">
        <f>IFERROR($L17/$H17,"")</f>
      </c>
      <c r="Z17" s="15" t="str">
        <f>IFERROR($N17/$L17,"")</f>
      </c>
      <c r="AA17" s="18" t="str">
        <f>IFERROR($H17/$D17,"")</f>
      </c>
      <c r="AB17" s="19" t="str">
        <f>IFERROR($L17/$D17,"")</f>
      </c>
      <c r="AE17" s="20">
        <f>IFERROR($Y17,0)+ROW()/1000000</f>
      </c>
    </row>
    <row r="18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</c>
      <c r="D18" s="13">
        <f>SUMIF(Справочники!$H$4:$H$21,$B18,Справочники!$E$4:$E$21)</f>
      </c>
      <c r="E18" s="14" t="n">
        <v>17403438751.5</v>
      </c>
      <c r="F18" s="13" t="n">
        <v>361.0</v>
      </c>
      <c r="G18" s="14" t="n">
        <v>1403145935.91</v>
      </c>
      <c r="H18" s="13" t="n">
        <v>166.0</v>
      </c>
      <c r="I18" s="14" t="n">
        <v>908131076.83</v>
      </c>
      <c r="J18" s="13" t="n">
        <v>117.0</v>
      </c>
      <c r="K18" s="14" t="n">
        <v>393970755.74</v>
      </c>
      <c r="L18" s="13" t="n">
        <v>66.0</v>
      </c>
      <c r="M18" s="14" t="n">
        <v>266599014.14</v>
      </c>
      <c r="N18" s="13" t="n">
        <v>42.0</v>
      </c>
      <c r="O18" s="14" t="n">
        <v>235115467.99</v>
      </c>
      <c r="P18" s="13" t="n">
        <v>30.0</v>
      </c>
      <c r="Q18" s="14" t="n">
        <v>279044853.1</v>
      </c>
      <c r="R18" s="13" t="n">
        <v>21.0</v>
      </c>
      <c r="S18" s="14" t="n">
        <v>58553958.51</v>
      </c>
      <c r="T18" s="13" t="n">
        <v>11.0</v>
      </c>
      <c r="U18" s="14" t="n">
        <v>0.0</v>
      </c>
      <c r="V18" s="13" t="n">
        <v>0.0</v>
      </c>
      <c r="W18" s="16" t="n">
        <v>58553958.51</v>
      </c>
      <c r="X18" s="17" t="n">
        <v>11.0</v>
      </c>
      <c r="Y18" s="15">
        <f>IFERROR($L18/$H18,"")</f>
      </c>
      <c r="Z18" s="15" t="str">
        <f>IFERROR($N18/$L18,"")</f>
      </c>
      <c r="AA18" s="18" t="str">
        <f>IFERROR($H18/$D18,"")</f>
      </c>
      <c r="AB18" s="19" t="str">
        <f>IFERROR($L18/$D18,"")</f>
      </c>
      <c r="AE18" s="20">
        <f>IFERROR($Y18,0)+ROW()/1000000</f>
      </c>
    </row>
    <row r="19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</c>
      <c r="D19" s="13">
        <f>SUMIF(Справочники!$H$4:$H$21,$B19,Справочники!$E$4:$E$21)</f>
      </c>
      <c r="E19" s="14" t="n">
        <v>20499095940.69</v>
      </c>
      <c r="F19" s="13" t="n">
        <v>504.0</v>
      </c>
      <c r="G19" s="14" t="n">
        <v>711849169.89</v>
      </c>
      <c r="H19" s="13" t="n">
        <v>176.0</v>
      </c>
      <c r="I19" s="14" t="n">
        <v>393739430.87</v>
      </c>
      <c r="J19" s="13" t="n">
        <v>108.0</v>
      </c>
      <c r="K19" s="14" t="n">
        <v>232351205.77</v>
      </c>
      <c r="L19" s="13" t="n">
        <v>72.0</v>
      </c>
      <c r="M19" s="14" t="n">
        <v>118762956.55</v>
      </c>
      <c r="N19" s="13" t="n">
        <v>43.0</v>
      </c>
      <c r="O19" s="14" t="n">
        <v>80712644.32</v>
      </c>
      <c r="P19" s="13" t="n">
        <v>28.0</v>
      </c>
      <c r="Q19" s="14" t="n">
        <v>80675580.78</v>
      </c>
      <c r="R19" s="13" t="n">
        <v>8.0</v>
      </c>
      <c r="S19" s="14" t="n">
        <v>16024023.0</v>
      </c>
      <c r="T19" s="13" t="n">
        <v>9.0</v>
      </c>
      <c r="U19" s="14" t="n">
        <v>0.0</v>
      </c>
      <c r="V19" s="13" t="n">
        <v>0.0</v>
      </c>
      <c r="W19" s="16" t="n">
        <v>16024023.0</v>
      </c>
      <c r="X19" s="17" t="n">
        <v>9.0</v>
      </c>
      <c r="Y19" s="15">
        <f>IFERROR($L19/$H19,"")</f>
      </c>
      <c r="Z19" s="15">
        <f>IFERROR($N19/$L19,"")</f>
      </c>
      <c r="AA19" s="18" t="str">
        <f>IFERROR($H19/$D19,"")</f>
      </c>
      <c r="AB19" s="19" t="str">
        <f>IFERROR($L19/$D19,"")</f>
      </c>
      <c r="AE19" s="20">
        <f>IFERROR($Y19,0)+ROW()/1000000</f>
      </c>
    </row>
    <row r="20" ht="21.75" customHeight="1" x14ac:dyDescent="0.25">
      <c r="A20" s="23"/>
      <c r="B20" s="69" t="s">
        <v>45</v>
      </c>
      <c r="C20" s="69"/>
      <c r="D20" s="24">
        <f>SUM(D6:D19)</f>
      </c>
      <c r="E20" s="25">
        <f>SUM(E6:E19)</f>
      </c>
      <c r="F20" s="24">
        <f>SUM(F6:F19)</f>
      </c>
      <c r="G20" s="25">
        <f>SUM(G6:G19)</f>
      </c>
      <c r="H20" s="24">
        <f>SUM(H6:H19)</f>
      </c>
      <c r="I20" s="25">
        <f>SUM(I6:I19)</f>
      </c>
      <c r="J20" s="24">
        <f>SUM(J6:J19)</f>
      </c>
      <c r="K20" s="25">
        <f>SUM(K6:K19)</f>
      </c>
      <c r="L20" s="24">
        <f>SUM(L6:L19)</f>
      </c>
      <c r="M20" s="25">
        <f>SUM(M6:M19)</f>
      </c>
      <c r="N20" s="24">
        <f>SUM(N6:N19)</f>
      </c>
      <c r="O20" s="25">
        <f>SUM(O6:O19)</f>
      </c>
      <c r="P20" s="24">
        <f>SUM(P6:P19)</f>
      </c>
      <c r="Q20" s="25">
        <f>SUM(Q6:Q19)</f>
      </c>
      <c r="R20" s="24">
        <f>SUM(R6:R19)</f>
      </c>
      <c r="S20" s="25">
        <f>SUM(S6:S19)</f>
      </c>
      <c r="T20" s="24">
        <f>SUM(T6:T19)</f>
      </c>
      <c r="U20" s="25">
        <f>SUM(U6:U19)</f>
      </c>
      <c r="V20" s="24">
        <f>SUM(V6:V19)</f>
      </c>
      <c r="W20" s="25">
        <f>SUM(W6:W19)</f>
      </c>
      <c r="X20" s="24">
        <f>SUM(X6:X19)</f>
      </c>
      <c r="Y20" s="26">
        <f>IFERROR($L20/$H20,"")</f>
      </c>
      <c r="Z20" s="26">
        <f>IFERROR($N20/$L20,"")</f>
      </c>
      <c r="AA20" s="27" t="str">
        <f>IFERROR($H20/$D20,"")</f>
      </c>
      <c r="AB20" s="28" t="str">
        <f>IFERROR($L20/$D20,"")</f>
      </c>
    </row>
    <row r="21" ht="22.5" customHeight="1" x14ac:dyDescent="0.25">
      <c r="G21" s="95" t="inlineStr">
        <is>
          <t xml:space="preserve">= все кредиты в просрочке</t>
        </is>
      </c>
      <c r="I21" s="95" t="inlineStr">
        <is>
          <t xml:space="preserve">= Gaplashgan + Ko'tarmadi + Объезд (вся работа за день)</t>
        </is>
      </c>
      <c r="K21" s="95" t="inlineStr">
        <is>
          <t xml:space="preserve">= все, кто взял трубку: Va'da berdi + To'ladi</t>
        </is>
      </c>
      <c r="W21" s="95" t="inlineStr">
        <is>
          <t xml:space="preserve">= Оплатил дозвон + Объезд оплатил</t>
        </is>
      </c>
    </row>
    <row r="23">
      <c r="B23" s="96" t="inlineStr">
        <is>
          <t xml:space="preserve">ОТКРЫТЬ СПИСОК КЛИЕНТОВ</t>
        </is>
      </c>
    </row>
    <row r="24">
      <c r="B24" s="96" t="inlineStr">
        <is>
          <t xml:space="preserve">Область</t>
        </is>
      </c>
      <c r="C24" s="96" t="inlineStr">
        <is>
          <t xml:space="preserve">Gaplashgan</t>
        </is>
      </c>
      <c r="D24" s="96" t="inlineStr">
        <is>
          <t xml:space="preserve">Обещали</t>
        </is>
      </c>
      <c r="E24" s="96" t="inlineStr">
        <is>
          <t xml:space="preserve">Ko'tarmadi</t>
        </is>
      </c>
      <c r="F24" s="96" t="inlineStr">
        <is>
          <t xml:space="preserve">Объезд</t>
        </is>
      </c>
      <c r="G24" s="96" t="inlineStr">
        <is>
          <t xml:space="preserve">Оплатили</t>
        </is>
      </c>
      <c r="H24" s="96" t="inlineStr">
        <is>
          <t xml:space="preserve">Опл. без разг.</t>
        </is>
      </c>
    </row>
    <row r="25">
      <c r="B25" s="99" t="inlineStr">
        <is>
          <t xml:space="preserve">АНДИЖОН ВИЛОЯТИ</t>
        </is>
      </c>
      <c r="C25" s="97" t="inlineStr">
        <is>
          <t xml:space="preserve">▸</t>
        </is>
      </c>
      <c r="D25" s="97" t="inlineStr">
        <is>
          <t xml:space="preserve">▸</t>
        </is>
      </c>
      <c r="E25" s="97" t="inlineStr">
        <is>
          <t xml:space="preserve">▸</t>
        </is>
      </c>
      <c r="F25" s="97" t="inlineStr">
        <is>
          <t xml:space="preserve">▸</t>
        </is>
      </c>
      <c r="G25" s="97" t="inlineStr">
        <is>
          <t xml:space="preserve">▸</t>
        </is>
      </c>
    </row>
    <row r="26" ht="15" customHeight="1" x14ac:dyDescent="0.25">
      <c r="A26" s="29"/>
      <c r="B26" s="99" t="inlineStr">
        <is>
          <t xml:space="preserve">БУХОРО ВИЛОЯТИ</t>
        </is>
      </c>
      <c r="C26" s="97" t="inlineStr">
        <is>
          <t xml:space="preserve">▸</t>
        </is>
      </c>
      <c r="D26" s="97" t="inlineStr">
        <is>
          <t xml:space="preserve">▸</t>
        </is>
      </c>
      <c r="E26" s="97" t="inlineStr">
        <is>
          <t xml:space="preserve">▸</t>
        </is>
      </c>
      <c r="F26" s="97" t="inlineStr">
        <is>
          <t xml:space="preserve">▸</t>
        </is>
      </c>
      <c r="G26" s="97" t="inlineStr">
        <is>
          <t xml:space="preserve">▸</t>
        </is>
      </c>
    </row>
    <row r="27">
      <c r="B27" s="99" t="inlineStr">
        <is>
          <t xml:space="preserve">ЖИЗЗАХ ВИЛОЯТИ</t>
        </is>
      </c>
      <c r="C27" s="97" t="inlineStr">
        <is>
          <t xml:space="preserve">▸</t>
        </is>
      </c>
      <c r="D27" s="97" t="inlineStr">
        <is>
          <t xml:space="preserve">▸</t>
        </is>
      </c>
      <c r="E27" s="97" t="inlineStr">
        <is>
          <t xml:space="preserve">▸</t>
        </is>
      </c>
      <c r="G27" s="97" t="inlineStr">
        <is>
          <t xml:space="preserve">▸</t>
        </is>
      </c>
    </row>
    <row r="28">
      <c r="B28" s="99" t="inlineStr">
        <is>
          <t xml:space="preserve">КАШКАДАРЁ ВИЛОЯТИ</t>
        </is>
      </c>
      <c r="C28" s="97" t="inlineStr">
        <is>
          <t xml:space="preserve">▸</t>
        </is>
      </c>
      <c r="D28" s="97" t="inlineStr">
        <is>
          <t xml:space="preserve">▸</t>
        </is>
      </c>
      <c r="E28" s="97" t="inlineStr">
        <is>
          <t xml:space="preserve">▸</t>
        </is>
      </c>
      <c r="F28" s="97" t="inlineStr">
        <is>
          <t xml:space="preserve">▸</t>
        </is>
      </c>
      <c r="G28" s="97" t="inlineStr">
        <is>
          <t xml:space="preserve">▸</t>
        </is>
      </c>
    </row>
    <row r="29">
      <c r="B29" s="99" t="inlineStr">
        <is>
          <t xml:space="preserve">КОРАКАЛПОГИСТОН РЕСПУБЛИКАСИ</t>
        </is>
      </c>
      <c r="C29" s="97" t="inlineStr">
        <is>
          <t xml:space="preserve">▸</t>
        </is>
      </c>
      <c r="D29" s="97" t="inlineStr">
        <is>
          <t xml:space="preserve">▸</t>
        </is>
      </c>
      <c r="E29" s="97" t="inlineStr">
        <is>
          <t xml:space="preserve">▸</t>
        </is>
      </c>
      <c r="G29" s="97" t="inlineStr">
        <is>
          <t xml:space="preserve">▸</t>
        </is>
      </c>
    </row>
    <row r="30">
      <c r="B30" s="99" t="inlineStr">
        <is>
          <t xml:space="preserve">НАВОИЙ ВИЛОЯТИ</t>
        </is>
      </c>
      <c r="E30" s="97" t="inlineStr">
        <is>
          <t xml:space="preserve">▸</t>
        </is>
      </c>
    </row>
    <row r="31">
      <c r="B31" s="99" t="inlineStr">
        <is>
          <t xml:space="preserve">НАМАНГАН ВИЛОЯТИ</t>
        </is>
      </c>
      <c r="C31" s="97" t="inlineStr">
        <is>
          <t xml:space="preserve">▸</t>
        </is>
      </c>
      <c r="D31" s="97" t="inlineStr">
        <is>
          <t xml:space="preserve">▸</t>
        </is>
      </c>
      <c r="E31" s="97" t="inlineStr">
        <is>
          <t xml:space="preserve">▸</t>
        </is>
      </c>
      <c r="F31" s="97" t="inlineStr">
        <is>
          <t xml:space="preserve">▸</t>
        </is>
      </c>
      <c r="G31" s="97" t="inlineStr">
        <is>
          <t xml:space="preserve">▸</t>
        </is>
      </c>
    </row>
    <row r="32">
      <c r="B32" s="99" t="inlineStr">
        <is>
          <t xml:space="preserve">САМАРКАНД ВИЛОЯТИ</t>
        </is>
      </c>
      <c r="C32" s="97" t="inlineStr">
        <is>
          <t xml:space="preserve">▸</t>
        </is>
      </c>
      <c r="D32" s="97" t="inlineStr">
        <is>
          <t xml:space="preserve">▸</t>
        </is>
      </c>
      <c r="E32" s="97" t="inlineStr">
        <is>
          <t xml:space="preserve">▸</t>
        </is>
      </c>
      <c r="G32" s="97" t="inlineStr">
        <is>
          <t xml:space="preserve">▸</t>
        </is>
      </c>
    </row>
    <row r="33">
      <c r="B33" s="99" t="inlineStr">
        <is>
          <t xml:space="preserve">СИРДАРЁ ВИЛОЯТИ</t>
        </is>
      </c>
    </row>
    <row r="34">
      <c r="B34" s="99" t="inlineStr">
        <is>
          <t xml:space="preserve">СУРХОНДАРЁ ВИЛОЯТИ</t>
        </is>
      </c>
      <c r="C34" s="97" t="inlineStr">
        <is>
          <t xml:space="preserve">▸</t>
        </is>
      </c>
      <c r="D34" s="97" t="inlineStr">
        <is>
          <t xml:space="preserve">▸</t>
        </is>
      </c>
      <c r="E34" s="97" t="inlineStr">
        <is>
          <t xml:space="preserve">▸</t>
        </is>
      </c>
      <c r="F34" s="97" t="inlineStr">
        <is>
          <t xml:space="preserve">▸</t>
        </is>
      </c>
      <c r="G34" s="97" t="inlineStr">
        <is>
          <t xml:space="preserve">▸</t>
        </is>
      </c>
    </row>
    <row r="35">
      <c r="B35" s="99" t="inlineStr">
        <is>
          <t xml:space="preserve">ТОШКЕНТ ВИЛОЯТИ</t>
        </is>
      </c>
    </row>
    <row r="36">
      <c r="B36" s="99" t="inlineStr">
        <is>
          <t xml:space="preserve">ТОШКЕНТ ШАХРИ</t>
        </is>
      </c>
      <c r="C36" s="97" t="inlineStr">
        <is>
          <t xml:space="preserve">▸</t>
        </is>
      </c>
      <c r="D36" s="97" t="inlineStr">
        <is>
          <t xml:space="preserve">▸</t>
        </is>
      </c>
      <c r="E36" s="97" t="inlineStr">
        <is>
          <t xml:space="preserve">▸</t>
        </is>
      </c>
      <c r="F36" s="97" t="inlineStr">
        <is>
          <t xml:space="preserve">▸</t>
        </is>
      </c>
      <c r="G36" s="97" t="inlineStr">
        <is>
          <t xml:space="preserve">▸</t>
        </is>
      </c>
      <c r="H36" s="97" t="inlineStr">
        <is>
          <t xml:space="preserve">▸</t>
        </is>
      </c>
    </row>
    <row r="37">
      <c r="B37" s="99" t="inlineStr">
        <is>
          <t xml:space="preserve">ФАРГОНА ВИЛОЯТИ</t>
        </is>
      </c>
      <c r="C37" s="97" t="inlineStr">
        <is>
          <t xml:space="preserve">▸</t>
        </is>
      </c>
      <c r="D37" s="97" t="inlineStr">
        <is>
          <t xml:space="preserve">▸</t>
        </is>
      </c>
      <c r="E37" s="97" t="inlineStr">
        <is>
          <t xml:space="preserve">▸</t>
        </is>
      </c>
      <c r="F37" s="97" t="inlineStr">
        <is>
          <t xml:space="preserve">▸</t>
        </is>
      </c>
      <c r="G37" s="97" t="inlineStr">
        <is>
          <t xml:space="preserve">▸</t>
        </is>
      </c>
    </row>
    <row r="38">
      <c r="B38" s="99" t="inlineStr">
        <is>
          <t xml:space="preserve">ХОРАЗМ ВИЛОЯТИ</t>
        </is>
      </c>
      <c r="C38" s="97" t="inlineStr">
        <is>
          <t xml:space="preserve">▸</t>
        </is>
      </c>
      <c r="D38" s="97" t="inlineStr">
        <is>
          <t xml:space="preserve">▸</t>
        </is>
      </c>
      <c r="E38" s="97" t="inlineStr">
        <is>
          <t xml:space="preserve">▸</t>
        </is>
      </c>
      <c r="F38" s="97" t="inlineStr">
        <is>
          <t xml:space="preserve">▸</t>
        </is>
      </c>
      <c r="G38" s="97" t="inlineStr">
        <is>
          <t xml:space="preserve">▸</t>
        </is>
      </c>
    </row>
  </sheetData>
  <autoFilter ref="A5:AE19" xr:uid="{00000000-0001-0000-0000-000000000000}"/>
  <mergeCells count="13">
    <mergeCell ref="I4:J4"/>
    <mergeCell ref="A1:H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H4"/>
    <mergeCell ref="S4:X4"/>
  </mergeCells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hyperlinks>
    <hyperlink ref="C25" location="'Gaplashgan'!A3" tooltip="Список: Gaplashgan"/>
    <hyperlink ref="D25" location="'Обещали'!A3" tooltip="Список: Обещали"/>
    <hyperlink ref="E25" location="'Ko''tarmadi'!A3" tooltip="Список: Ko'tarmadi"/>
    <hyperlink ref="F25" location="'Объезд'!A3" tooltip="Список: Объезд"/>
    <hyperlink ref="G25" location="'Оплатили'!A3" tooltip="Список: Оплатили"/>
    <hyperlink ref="C26" location="'Gaplashgan'!A113" tooltip="Список: Gaplashgan"/>
    <hyperlink ref="D26" location="'Обещали'!A6" tooltip="Список: Обещали"/>
    <hyperlink ref="E26" location="'Ko''tarmadi'!A8" tooltip="Список: Ko'tarmadi"/>
    <hyperlink ref="F26" location="'Объезд'!A20" tooltip="Список: Объезд"/>
    <hyperlink ref="G26" location="'Оплатили'!A13" tooltip="Список: Оплатили"/>
    <hyperlink ref="C27" location="'Gaplashgan'!A160" tooltip="Список: Gaplashgan"/>
    <hyperlink ref="D27" location="'Обещали'!A47" tooltip="Список: Обещали"/>
    <hyperlink ref="E27" location="'Ko''tarmadi'!A15" tooltip="Список: Ko'tarmadi"/>
    <hyperlink ref="G27" location="'Оплатили'!A19" tooltip="Список: Оплатили"/>
    <hyperlink ref="C28" location="'Gaplashgan'!A247" tooltip="Список: Gaplashgan"/>
    <hyperlink ref="D28" location="'Обещали'!A111" tooltip="Список: Обещали"/>
    <hyperlink ref="E28" location="'Ko''tarmadi'!A53" tooltip="Список: Ko'tarmadi"/>
    <hyperlink ref="F28" location="'Объезд'!A21" tooltip="Список: Объезд"/>
    <hyperlink ref="G28" location="'Оплатили'!A35" tooltip="Список: Оплатили"/>
    <hyperlink ref="C29" location="'Gaplashgan'!A296" tooltip="Список: Gaplashgan"/>
    <hyperlink ref="D29" location="'Обещали'!A132" tooltip="Список: Обещали"/>
    <hyperlink ref="E29" location="'Ko''tarmadi'!A70" tooltip="Список: Ko'tarmadi"/>
    <hyperlink ref="G29" location="'Оплатили'!A42" tooltip="Список: Оплатили"/>
    <hyperlink ref="E30" location="'Ko''tarmadi'!A74" tooltip="Список: Ko'tarmadi"/>
    <hyperlink ref="C31" location="'Gaplashgan'!A329" tooltip="Список: Gaplashgan"/>
    <hyperlink ref="D31" location="'Обещали'!A141" tooltip="Список: Обещали"/>
    <hyperlink ref="E31" location="'Ko''tarmadi'!A75" tooltip="Список: Ko'tarmadi"/>
    <hyperlink ref="F31" location="'Объезд'!A24" tooltip="Список: Объезд"/>
    <hyperlink ref="G31" location="'Оплатили'!A58" tooltip="Список: Оплатили"/>
    <hyperlink ref="C32" location="'Gaplashgan'!A386" tooltip="Список: Gaplashgan"/>
    <hyperlink ref="D32" location="'Обещали'!A155" tooltip="Список: Обещали"/>
    <hyperlink ref="E32" location="'Ko''tarmadi'!A122" tooltip="Список: Ko'tarmadi"/>
    <hyperlink ref="G32" location="'Оплатили'!A65" tooltip="Список: Оплатили"/>
    <hyperlink ref="C34" location="'Gaplashgan'!A416" tooltip="Список: Gaplashgan"/>
    <hyperlink ref="D34" location="'Обещали'!A179" tooltip="Список: Обещали"/>
    <hyperlink ref="E34" location="'Ko''tarmadi'!A134" tooltip="Список: Ko'tarmadi"/>
    <hyperlink ref="F34" location="'Объезд'!A27" tooltip="Список: Объезд"/>
    <hyperlink ref="G34" location="'Оплатили'!A68" tooltip="Список: Оплатили"/>
    <hyperlink ref="C36" location="'Gaplashgan'!A555" tooltip="Список: Gaplashgan"/>
    <hyperlink ref="D36" location="'Обещали'!A203" tooltip="Список: Обещали"/>
    <hyperlink ref="E36" location="'Ko''tarmadi'!A197" tooltip="Список: Ko'tarmadi"/>
    <hyperlink ref="F36" location="'Объезд'!A43" tooltip="Список: Объезд"/>
    <hyperlink ref="G36" location="'Оплатили'!A75" tooltip="Список: Оплатили"/>
    <hyperlink ref="H36" location="'Оплатили без разговора'!A3" tooltip="Список: Оплатили без разговора"/>
    <hyperlink ref="C37" location="'Gaplashgan'!A651" tooltip="Список: Gaplashgan"/>
    <hyperlink ref="D37" location="'Обещали'!A277" tooltip="Список: Обещали"/>
    <hyperlink ref="E37" location="'Ko''tarmadi'!A246" tooltip="Список: Ko'tarmadi"/>
    <hyperlink ref="F37" location="'Объезд'!A59" tooltip="Список: Объезд"/>
    <hyperlink ref="G37" location="'Оплатили'!A91" tooltip="Список: Оплатили"/>
    <hyperlink ref="C38" location="'Gaplashgan'!A717" tooltip="Список: Gaplashgan"/>
    <hyperlink ref="D38" location="'Обещали'!A319" tooltip="Список: Обещали"/>
    <hyperlink ref="E38" location="'Ko''tarmadi'!A276" tooltip="Список: Ko'tarmadi"/>
    <hyperlink ref="F38" location="'Объезд'!A80" tooltip="Список: Объезд"/>
    <hyperlink ref="G38" location="'Оплатили'!A102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IFERROR(Ввод!$G$20/Ввод!$E$20,"")</f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inlineStr">
        <is>
          <t xml:space="preserve">Звонков всего, шт</t>
        </is>
      </c>
      <c r="B11" s="83"/>
      <c r="C11" s="83"/>
      <c r="D11" s="31">
        <f>Ввод!$J$20</f>
      </c>
    </row>
    <row r="12" spans="1:9" ht="15" customHeight="1" x14ac:dyDescent="0.25">
      <c r="A12" s="83" t="inlineStr">
        <is>
          <t xml:space="preserve">Gaplashgan, шт</t>
        </is>
      </c>
      <c r="B12" s="83"/>
      <c r="C12" s="83"/>
      <c r="D12" s="31">
        <f>Ввод!$L$20</f>
      </c>
    </row>
    <row r="13" spans="1:9" ht="15" customHeight="1" x14ac:dyDescent="0.25">
      <c r="A13" s="84" t="inlineStr">
        <is>
          <t xml:space="preserve">% дозвона</t>
        </is>
      </c>
      <c r="B13" s="84"/>
      <c r="C13" s="84"/>
      <c r="D13" s="32">
        <f>Ввод!$Y$20</f>
      </c>
    </row>
    <row r="14" spans="1:9" ht="15" customHeight="1" x14ac:dyDescent="0.25">
      <c r="A14" s="83" t="inlineStr">
        <is>
          <t xml:space="preserve">Обещали оплату, шт</t>
        </is>
      </c>
      <c r="B14" s="83"/>
      <c r="C14" s="83"/>
      <c r="D14" s="31">
        <f>Ввод!$N$20</f>
      </c>
    </row>
    <row r="15" spans="1:9" ht="15" customHeight="1" x14ac:dyDescent="0.25">
      <c r="A15" s="83" t="inlineStr">
        <is>
          <t xml:space="preserve">Не взяли трубку (Ko'tarmadi), шт</t>
        </is>
      </c>
      <c r="B15" s="83"/>
      <c r="C15" s="83"/>
      <c r="D15" s="31">
        <f>Ввод!$P$20</f>
      </c>
    </row>
    <row r="16" spans="1:9" ht="15" customHeight="1" x14ac:dyDescent="0.25">
      <c r="A16" s="83" t="inlineStr">
        <is>
          <t xml:space="preserve">Объезд, шт</t>
        </is>
      </c>
      <c r="B16" s="83"/>
      <c r="C16" s="83"/>
      <c r="D16" s="31">
        <f>Ввод!$R$20</f>
      </c>
    </row>
    <row r="17" spans="1:9" ht="15" customHeight="1" x14ac:dyDescent="0.25">
      <c r="A17" s="83" t="inlineStr">
        <is>
          <t xml:space="preserve">Не тронуты (Ishlanmagan), шт</t>
        </is>
      </c>
      <c r="B17" s="83"/>
      <c r="C17" s="83"/>
      <c r="D17" s="31">
        <f>Ввод!$H$20-Ввод!$L$20-Ввод!$P$20-Ввод!$R$20</f>
      </c>
    </row>
    <row r="18" spans="1:9" ht="15" customHeight="1" x14ac:dyDescent="0.25">
      <c r="A18" s="84" t="inlineStr">
        <is>
          <t xml:space="preserve">Оплачено общее (дозвон + объезд), сум</t>
        </is>
      </c>
      <c r="B18" s="84"/>
      <c r="C18" s="84"/>
      <c r="D18" s="31">
        <f>Ввод!$W$20</f>
      </c>
    </row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4">
    <mergeCell ref="A18:C18"/>
    <mergeCell ref="A17:C17"/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 t="inlineStr">
        <is>
          <t xml:space="preserve">СТРУКТУРА РАБОТЫ С ПРОСРОЧКОЙ</t>
        </is>
      </c>
      <c r="B30" s="89"/>
      <c r="C30" s="89"/>
    </row>
    <row r="31" spans="1:14" ht="15" customHeight="1" x14ac:dyDescent="0.25">
      <c r="A31" s="41" t="inlineStr">
        <is>
          <t xml:space="preserve">Группа</t>
        </is>
      </c>
      <c r="B31" s="41" t="inlineStr">
        <is>
          <t xml:space="preserve">Кредитов, шт</t>
        </is>
      </c>
      <c r="C31" s="41" t="inlineStr">
        <is>
          <t xml:space="preserve">Доля</t>
        </is>
      </c>
    </row>
    <row r="32" spans="1:14" ht="15" customHeight="1" x14ac:dyDescent="0.25">
      <c r="A32" s="42" t="inlineStr">
        <is>
          <t xml:space="preserve">Gaplashgan</t>
        </is>
      </c>
      <c r="B32" s="43">
        <f>Ввод!$L$20</f>
      </c>
      <c r="C32" s="44">
        <f>IFERROR(B32/SUM($B$32:$B$35),0)</f>
      </c>
    </row>
    <row r="33" spans="1:7" ht="15" customHeight="1" x14ac:dyDescent="0.25">
      <c r="A33" s="42" t="inlineStr">
        <is>
          <t xml:space="preserve">Ko'tarmadi</t>
        </is>
      </c>
      <c r="B33" s="43">
        <f>Ввод!$P$20</f>
      </c>
      <c r="C33" s="44">
        <f>IFERROR(B33/SUM($B$32:$B$35),0)</f>
      </c>
    </row>
    <row r="34" spans="1:7" ht="15" customHeight="1" x14ac:dyDescent="0.25">
      <c r="A34" s="42" t="inlineStr">
        <is>
          <t xml:space="preserve">Объезд</t>
        </is>
      </c>
      <c r="B34" s="43">
        <f>Ввод!$R$20</f>
      </c>
      <c r="C34" s="44">
        <f>IFERROR(B34/SUM($B$32:$B$35),0)</f>
      </c>
    </row>
    <row r="35" spans="1:7" ht="15" customHeight="1" x14ac:dyDescent="0.25">
      <c r="A35" s="42" t="inlineStr">
        <is>
          <t xml:space="preserve">Ishlanmagan</t>
        </is>
      </c>
      <c r="B35" s="43">
        <f>Ввод!$H$20-Ввод!$L$20-Ввод!$P$20-Ввод!$R$20</f>
      </c>
      <c r="C35" s="44">
        <f>IFERROR(B35/SUM($B$32:$B$35),0)</f>
      </c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78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Ko'tardi</t>
        </is>
      </c>
      <c r="D3" s="99" t="inlineStr">
        <is>
          <t xml:space="preserve">Кр-99041217-1</t>
        </is>
      </c>
      <c r="E3" s="99" t="inlineStr">
        <is>
          <t xml:space="preserve">MAMATQULOVA ARAPAT ABDIRASHIDOVNA</t>
        </is>
      </c>
      <c r="F3" s="99" t="inlineStr">
        <is>
          <t xml:space="preserve">998951010159 SMS O’ZI, 998940898185 SMS O’G’LI, 998959020123 SMS KELINI, 998998018591 SMS UYI,</t>
        </is>
      </c>
      <c r="G3" s="99" t="inlineStr">
        <is>
          <t xml:space="preserve">ANDIJON VILOYATI IZBOSKAN TUMANI BOTIROBOD MFY, SAXOVAT  KO’CHASI 62-UY</t>
        </is>
      </c>
      <c r="H3" s="100">
        <v>3.0</v>
      </c>
      <c r="I3" s="100">
        <v>5486553.71</v>
      </c>
      <c r="K3" s="99" t="inlineStr">
        <is>
          <t xml:space="preserve">15 kunga tolaydi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BOSH OFIS</t>
        </is>
      </c>
      <c r="C4" s="99" t="inlineStr">
        <is>
          <t xml:space="preserve">Оплатил дозвон</t>
        </is>
      </c>
      <c r="D4" s="99" t="inlineStr">
        <is>
          <t xml:space="preserve">Кр-99027266-4</t>
        </is>
      </c>
      <c r="E4" s="99" t="inlineStr">
        <is>
          <t xml:space="preserve">RAXMONOV ISROILJON XXX</t>
        </is>
      </c>
      <c r="F4" s="99" t="inlineStr">
        <is>
          <t xml:space="preserve">998971516979 SMS O'ZI, 998331516979 SMS AYOLI, 998951086979 SMS O’G’LI, 998950902334 SMS QIZI, +998971516979 SMS O’ZI, 998889956979 SMS AYOLI,</t>
        </is>
      </c>
      <c r="G4" s="99" t="inlineStr">
        <is>
          <t xml:space="preserve">ANDIJON VILOYATI ANDIJON TUMANI ZAVROQ MFY SHOXI-ZINDA KO’CHASI 4-UY</t>
        </is>
      </c>
      <c r="H4" s="100">
        <v>3.0</v>
      </c>
      <c r="I4" s="100">
        <v>3717877.96</v>
      </c>
      <c r="J4" s="100">
        <v>3717877.96</v>
      </c>
    </row>
    <row r="5">
      <c r="A5" s="99" t="inlineStr">
        <is>
          <t xml:space="preserve">АНДИЖОН ВИЛОЯТИ</t>
        </is>
      </c>
      <c r="B5" s="99" t="inlineStr">
        <is>
          <t xml:space="preserve">BOSH OFIS</t>
        </is>
      </c>
      <c r="C5" s="99" t="inlineStr">
        <is>
          <t xml:space="preserve">Ko'tardi</t>
        </is>
      </c>
      <c r="D5" s="99" t="inlineStr">
        <is>
          <t xml:space="preserve">Кр-99041718-1</t>
        </is>
      </c>
      <c r="E5" s="99" t="inlineStr">
        <is>
          <t xml:space="preserve">UMIRZAKOV ULUGBEK ABDUKOXXOROVICH</t>
        </is>
      </c>
      <c r="F5" s="99" t="inlineStr">
        <is>
          <t xml:space="preserve">+998944030317 SMS O’ZI, 998930373963 SMS AYOLI, 998934181414 SMS O’G’LI, 998992522252 SMS O’G’LI,</t>
        </is>
      </c>
      <c r="G5" s="99" t="inlineStr">
        <is>
          <t xml:space="preserve">Markaz MFY, Navro’z ko’chasi, 25-uy</t>
        </is>
      </c>
      <c r="H5" s="100">
        <v>3.0</v>
      </c>
      <c r="I5" s="100">
        <v>3427129.73</v>
      </c>
      <c r="K5" s="99" t="inlineStr">
        <is>
          <t xml:space="preserve">15 gacha tolaydi</t>
        </is>
      </c>
    </row>
    <row r="6">
      <c r="A6" s="99" t="inlineStr">
        <is>
          <t xml:space="preserve">АНДИЖОН ВИЛОЯТИ</t>
        </is>
      </c>
      <c r="B6" s="99" t="inlineStr">
        <is>
          <t xml:space="preserve">BOSH OFIS</t>
        </is>
      </c>
      <c r="C6" s="99" t="inlineStr">
        <is>
          <t xml:space="preserve">Обещали</t>
        </is>
      </c>
      <c r="D6" s="99" t="inlineStr">
        <is>
          <t xml:space="preserve">Кр-99041164-1</t>
        </is>
      </c>
      <c r="E6" s="99" t="inlineStr">
        <is>
          <t xml:space="preserve">MAXKAMBOYEV SALIMJON JUMABOYEVICH</t>
        </is>
      </c>
      <c r="F6" s="99" t="inlineStr">
        <is>
          <t xml:space="preserve">998937768805 SMS OZI, 998979768805 SMS AYOLI, 998940738805 SMS ONASI, 998944428589 SMS UAKSI,</t>
        </is>
      </c>
      <c r="G6" s="99" t="inlineStr">
        <is>
          <t xml:space="preserve">ANDIJON VILOYATI XO’JAOBOD TUMANI XIDRSHA MFY, BOG’BONLAR  KO’CHASI 64-UY</t>
        </is>
      </c>
      <c r="H6" s="100">
        <v>3.0</v>
      </c>
      <c r="I6" s="100">
        <v>3102788.15</v>
      </c>
      <c r="K6" s="99" t="inlineStr">
        <is>
          <t xml:space="preserve">bugun hal qiladi</t>
        </is>
      </c>
    </row>
    <row r="7">
      <c r="A7" s="99" t="inlineStr">
        <is>
          <t xml:space="preserve">АНДИЖОН ВИЛОЯТИ</t>
        </is>
      </c>
      <c r="B7" s="99" t="inlineStr">
        <is>
          <t xml:space="preserve">BOSH OFIS</t>
        </is>
      </c>
      <c r="C7" s="99" t="inlineStr">
        <is>
          <t xml:space="preserve">Ko'tardi</t>
        </is>
      </c>
      <c r="D7" s="99" t="inlineStr">
        <is>
          <t xml:space="preserve">Кр-99041539-1</t>
        </is>
      </c>
      <c r="E7" s="99" t="inlineStr">
        <is>
          <t xml:space="preserve">SHERALIYEV SARDORBEK SODIQJON O’G’LI</t>
        </is>
      </c>
      <c r="F7" s="99" t="inlineStr">
        <is>
          <t xml:space="preserve">998914845776 SMS OZI, 998996325251 SMS AYOLI, 998992425251 SMS ONASI Begona, +998914845776 Primary phone from road24, 998948642717 SMS O’ZI2,</t>
        </is>
      </c>
      <c r="G7" s="99" t="inlineStr">
        <is>
          <t xml:space="preserve">Андижон вилояти  Андижон шахар   Бунёдкор (9-сон) МФЙ, Қўш ариқ дахаси, 46-уй, 15-хонадон</t>
        </is>
      </c>
      <c r="H7" s="100">
        <v>3.0</v>
      </c>
      <c r="I7" s="100">
        <v>2330035.91</v>
      </c>
      <c r="K7" s="99" t="inlineStr">
        <is>
          <t xml:space="preserve">15 gacha tolaydi</t>
        </is>
      </c>
    </row>
    <row r="8">
      <c r="A8" s="99" t="inlineStr">
        <is>
          <t xml:space="preserve">АНДИЖОН ВИЛОЯТИ</t>
        </is>
      </c>
      <c r="B8" s="99" t="inlineStr">
        <is>
          <t xml:space="preserve">BOSH OFIS</t>
        </is>
      </c>
      <c r="C8" s="99" t="inlineStr">
        <is>
          <t xml:space="preserve">Ko'tardi</t>
        </is>
      </c>
      <c r="D8" s="99" t="inlineStr">
        <is>
          <t xml:space="preserve">Кр-99040988-1</t>
        </is>
      </c>
      <c r="E8" s="99" t="inlineStr">
        <is>
          <t xml:space="preserve">ISAQJONOV PAXLAVONJON XUSNIDDIN O’G’LI</t>
        </is>
      </c>
      <c r="F8" s="99" t="inlineStr">
        <is>
          <t xml:space="preserve">+998888008486 SMS O’ZI, 998770009233 SMS UKASI, 998991498699 SMS AYOLI,</t>
        </is>
      </c>
      <c r="G8" s="99" t="inlineStr">
        <is>
          <t xml:space="preserve">ТОПТИҚ МФЙ, ТОПТИҚ КЎЧАСИ,  uy:Р/С</t>
        </is>
      </c>
      <c r="H8" s="100">
        <v>6.0</v>
      </c>
      <c r="I8" s="100">
        <v>2153478.41</v>
      </c>
      <c r="K8" s="99" t="inlineStr">
        <is>
          <t xml:space="preserve">dokonda ishlaydi shu hafta hal qiladi</t>
        </is>
      </c>
    </row>
    <row r="9">
      <c r="A9" s="99" t="inlineStr">
        <is>
          <t xml:space="preserve">АНДИЖОН ВИЛОЯТИ</t>
        </is>
      </c>
      <c r="B9" s="99" t="inlineStr">
        <is>
          <t xml:space="preserve">BOSH OFIS</t>
        </is>
      </c>
      <c r="C9" s="99" t="inlineStr">
        <is>
          <t xml:space="preserve">Ko'tardi</t>
        </is>
      </c>
      <c r="D9" s="99" t="inlineStr">
        <is>
          <t xml:space="preserve">Кр-99041352-1</t>
        </is>
      </c>
      <c r="E9" s="99" t="inlineStr">
        <is>
          <t xml:space="preserve">AXMEDOVA UMIDA XOSHIMOVNA</t>
        </is>
      </c>
      <c r="F9" s="99" t="inlineStr">
        <is>
          <t xml:space="preserve">998950163403 SMS OZI, 998200102787 SMS QIZI, 998907602802 SMS OGLI, 998905287820 SMS KELINI,</t>
        </is>
      </c>
      <c r="G9" s="99" t="inlineStr">
        <is>
          <t xml:space="preserve">ANDIJON VILOYATI BALOQCHI TUMANI BOTIR MFY, D. TOJIBOYEV KO’CHASI 15-UY</t>
        </is>
      </c>
      <c r="H9" s="100">
        <v>3.0</v>
      </c>
      <c r="I9" s="100">
        <v>1893713.66</v>
      </c>
      <c r="K9" s="99" t="inlineStr">
        <is>
          <t xml:space="preserve">qisman toladi</t>
        </is>
      </c>
    </row>
    <row r="10">
      <c r="A10" s="101" t="inlineStr">
        <is>
          <t xml:space="preserve">АНДИЖОН ВИЛОЯТИ</t>
        </is>
      </c>
      <c r="B10" s="101" t="inlineStr">
        <is>
          <t xml:space="preserve">SUPER BRANCH</t>
        </is>
      </c>
      <c r="C10" s="101" t="inlineStr">
        <is>
          <t xml:space="preserve">Ko'tardi</t>
        </is>
      </c>
      <c r="D10" s="101" t="inlineStr">
        <is>
          <t xml:space="preserve">Кр-99059626-1</t>
        </is>
      </c>
      <c r="E10" s="101" t="inlineStr">
        <is>
          <t xml:space="preserve">ABDURAXMONOVA MANZURAXON IBRAGIMDJONOVNA</t>
        </is>
      </c>
      <c r="F10" s="101" t="inlineStr">
        <is>
          <t xml:space="preserve">998972041812 SMS OZI, 998910530105 SMS OGLI, 998502108587 SMS QIZI, 998883838387 SMS KELINI,</t>
        </is>
      </c>
      <c r="G10" s="101" t="inlineStr">
        <is>
          <t xml:space="preserve">ANDIJON VILOYATI ASAKA TUMANI CHEK MFY XAMDO’STLIK KO’CHASI 157-UY</t>
        </is>
      </c>
      <c r="H10" s="102">
        <v>64.0</v>
      </c>
      <c r="I10" s="102">
        <v>27395326.27</v>
      </c>
      <c r="K10" s="101" t="inlineStr">
        <is>
          <t xml:space="preserve">boshqa bankdan kredit chiqaryapti</t>
        </is>
      </c>
    </row>
    <row r="11">
      <c r="A11" s="101" t="inlineStr">
        <is>
          <t xml:space="preserve">АНДИЖОН ВИЛОЯТИ</t>
        </is>
      </c>
      <c r="B11" s="101" t="inlineStr">
        <is>
          <t xml:space="preserve">SUPER BRANCH</t>
        </is>
      </c>
      <c r="C11" s="101" t="inlineStr">
        <is>
          <t xml:space="preserve">Ko'tardi</t>
        </is>
      </c>
      <c r="D11" s="101" t="inlineStr">
        <is>
          <t xml:space="preserve">Кр-99057085-1</t>
        </is>
      </c>
      <c r="E11" s="101" t="inlineStr">
        <is>
          <t xml:space="preserve">YULDASHEVA NILUFAR KAMILOVNA</t>
        </is>
      </c>
      <c r="F11" s="101" t="inlineStr">
        <is>
          <t xml:space="preserve">998872557757 SMS OZI, 998982700122 SMS OGLI, 998772581112 SMS QIZI, 998882331807 SMS JIYANI,</t>
        </is>
      </c>
      <c r="G11" s="101" t="inlineStr">
        <is>
          <t xml:space="preserve">ANDIJON VILOYATI ANDIJON TUMANI ZANGIBOBO MFY PORLOQ KO’CHASI 306-UY</t>
        </is>
      </c>
      <c r="H11" s="102">
        <v>3.0</v>
      </c>
      <c r="I11" s="102">
        <v>9518833.27</v>
      </c>
      <c r="K11" s="101" t="inlineStr">
        <is>
          <t xml:space="preserve">3-4 kunda yopiladi</t>
        </is>
      </c>
    </row>
    <row r="12">
      <c r="A12" s="101" t="inlineStr">
        <is>
          <t xml:space="preserve">АНДИЖОН ВИЛОЯТИ</t>
        </is>
      </c>
      <c r="B12" s="101" t="inlineStr">
        <is>
          <t xml:space="preserve">SUPER BRANCH</t>
        </is>
      </c>
      <c r="C12" s="101" t="inlineStr">
        <is>
          <t xml:space="preserve">Ko'tardi</t>
        </is>
      </c>
      <c r="D12" s="101" t="inlineStr">
        <is>
          <t xml:space="preserve">Кр-99047889-1</t>
        </is>
      </c>
      <c r="E12" s="101" t="inlineStr">
        <is>
          <t xml:space="preserve">SHIRMATOV MUXAMMADOZOD QODIRALI O’G’LI</t>
        </is>
      </c>
      <c r="F12" s="101" t="inlineStr">
        <is>
          <t xml:space="preserve">+998911715500 SMS O’ZI, 998772495500 SMS OG’LI, 998972225500 SMS UY, 998998173300 SMS NEVARASI,</t>
        </is>
      </c>
      <c r="G12" s="101" t="inlineStr">
        <is>
          <t xml:space="preserve">ANDIJON VILOYATI ANDIJON SHAHAR ISTIQLOL MFY OBOD 1-TOR KO’CHASI 5-UY</t>
        </is>
      </c>
      <c r="H12" s="102">
        <v>3.0</v>
      </c>
      <c r="I12" s="102">
        <v>7843014.49</v>
      </c>
      <c r="K12" s="101" t="inlineStr">
        <is>
          <t xml:space="preserve">kelasi hafta hal qiladi</t>
        </is>
      </c>
    </row>
    <row r="13">
      <c r="A13" s="101" t="inlineStr">
        <is>
          <t xml:space="preserve">АНДИЖОН ВИЛОЯТИ</t>
        </is>
      </c>
      <c r="B13" s="101" t="inlineStr">
        <is>
          <t xml:space="preserve">SUPER BRANCH</t>
        </is>
      </c>
      <c r="C13" s="101" t="inlineStr">
        <is>
          <t xml:space="preserve">Ko'tardi</t>
        </is>
      </c>
      <c r="D13" s="101" t="inlineStr">
        <is>
          <t xml:space="preserve">Кр-99058489-1</t>
        </is>
      </c>
      <c r="E13" s="101" t="inlineStr">
        <is>
          <t xml:space="preserve">UZOQOVA IRODA IBROYIMJONOVNA</t>
        </is>
      </c>
      <c r="F13" s="101" t="inlineStr">
        <is>
          <t xml:space="preserve">998976388885 SMS OZI, 998882215555 SMS XOJAYINI, 998366944492 SMS OZI 2,</t>
        </is>
      </c>
      <c r="G13" s="101" t="inlineStr">
        <is>
          <t xml:space="preserve">ANDIJON VILOYATI ANDIJON TUMANI CHEM MFY ZARQAYNAR KO’CHASI 18-UY</t>
        </is>
      </c>
      <c r="H13" s="102">
        <v>3.0</v>
      </c>
      <c r="I13" s="102">
        <v>7546182.83</v>
      </c>
      <c r="K13" s="101" t="inlineStr">
        <is>
          <t xml:space="preserve">oyni oxirida tolaydi</t>
        </is>
      </c>
    </row>
    <row r="14">
      <c r="A14" s="101" t="inlineStr">
        <is>
          <t xml:space="preserve">АНДИЖОН ВИЛОЯТИ</t>
        </is>
      </c>
      <c r="B14" s="101" t="inlineStr">
        <is>
          <t xml:space="preserve">SUPER BRANCH</t>
        </is>
      </c>
      <c r="C14" s="101" t="inlineStr">
        <is>
          <t xml:space="preserve">Ko'tardi</t>
        </is>
      </c>
      <c r="D14" s="101" t="inlineStr">
        <is>
          <t xml:space="preserve">Кр-99057627-1</t>
        </is>
      </c>
      <c r="E14" s="101" t="inlineStr">
        <is>
          <t xml:space="preserve">ABDUGANIYEVA MATLUBAXON XXX</t>
        </is>
      </c>
      <c r="F14" s="101" t="inlineStr">
        <is>
          <t xml:space="preserve">998911757604 SMS OZI, 998902011084 SMS OGLI, 998910611084 SMS KELIMI, 998907620065 SMS QUDASI,</t>
        </is>
      </c>
      <c r="G14" s="101" t="inlineStr">
        <is>
          <t xml:space="preserve">ANDIJON VILOYATI ANDIJON SHAHAR QORATUT MFY 5-KICHIK NOXIYA KO’CHASI 17-UY, 78-XONADON</t>
        </is>
      </c>
      <c r="H14" s="102">
        <v>3.0</v>
      </c>
      <c r="I14" s="102">
        <v>7373853.14</v>
      </c>
      <c r="K14" s="101" t="inlineStr">
        <is>
          <t xml:space="preserve">20 gacha hal qiladi</t>
        </is>
      </c>
    </row>
    <row r="15">
      <c r="A15" s="101" t="inlineStr">
        <is>
          <t xml:space="preserve">АНДИЖОН ВИЛОЯТИ</t>
        </is>
      </c>
      <c r="B15" s="101" t="inlineStr">
        <is>
          <t xml:space="preserve">SUPER BRANCH</t>
        </is>
      </c>
      <c r="C15" s="101" t="inlineStr">
        <is>
          <t xml:space="preserve">Ko'tardi</t>
        </is>
      </c>
      <c r="D15" s="101" t="inlineStr">
        <is>
          <t xml:space="preserve">Кр-99049616-1</t>
        </is>
      </c>
      <c r="E15" s="101" t="inlineStr">
        <is>
          <t xml:space="preserve">DAVIDOV MAMIRJON NEMATJONOVICH</t>
        </is>
      </c>
      <c r="F15" s="101" t="inlineStr">
        <is>
          <t xml:space="preserve">998883672747 OZI,</t>
        </is>
      </c>
      <c r="G15" s="101" t="inlineStr">
        <is>
          <t xml:space="preserve">IIV3411</t>
        </is>
      </c>
      <c r="H15" s="102">
        <v>3.0</v>
      </c>
      <c r="I15" s="102">
        <v>6651854.24</v>
      </c>
      <c r="K15" s="101" t="inlineStr">
        <is>
          <t xml:space="preserve">oyni oxirida tolaydi</t>
        </is>
      </c>
    </row>
    <row r="16">
      <c r="A16" s="101" t="inlineStr">
        <is>
          <t xml:space="preserve">АНДИЖОН ВИЛОЯТИ</t>
        </is>
      </c>
      <c r="B16" s="101" t="inlineStr">
        <is>
          <t xml:space="preserve">SUPER BRANCH</t>
        </is>
      </c>
      <c r="C16" s="101" t="inlineStr">
        <is>
          <t xml:space="preserve">Ko'tardi</t>
        </is>
      </c>
      <c r="D16" s="101" t="inlineStr">
        <is>
          <t xml:space="preserve">Кр-99050885-1</t>
        </is>
      </c>
      <c r="E16" s="101" t="inlineStr">
        <is>
          <t xml:space="preserve">TAYLAKOVA MA’MURAXON NEMATJANOVNA</t>
        </is>
      </c>
      <c r="F16" s="101" t="inlineStr">
        <is>
          <t xml:space="preserve">998501951880 SMS OZI, 998941173187 SMS UAKSI, 998936318477 SMS SINGLISI, 998970174417 SMS KELINI,</t>
        </is>
      </c>
      <c r="G16" s="101" t="inlineStr">
        <is>
          <t xml:space="preserve">ANDIJON VILOYATI ANDIJON SHAHAR BUNYODKOR MFY QO’SH ARIQ DAXASI 46-UY  31-XONADON</t>
        </is>
      </c>
      <c r="H16" s="102">
        <v>3.0</v>
      </c>
      <c r="I16" s="102">
        <v>6311346.88</v>
      </c>
      <c r="K16" s="101" t="inlineStr">
        <is>
          <t xml:space="preserve">ertaga hal qiladi</t>
        </is>
      </c>
    </row>
    <row r="17">
      <c r="A17" s="101" t="inlineStr">
        <is>
          <t xml:space="preserve">АНДИЖОН ВИЛОЯТИ</t>
        </is>
      </c>
      <c r="B17" s="101" t="inlineStr">
        <is>
          <t xml:space="preserve">SUPER BRANCH</t>
        </is>
      </c>
      <c r="C17" s="101" t="inlineStr">
        <is>
          <t xml:space="preserve">Ko'tardi</t>
        </is>
      </c>
      <c r="D17" s="101" t="inlineStr">
        <is>
          <t xml:space="preserve">Кр-99057337-1</t>
        </is>
      </c>
      <c r="E17" s="101" t="inlineStr">
        <is>
          <t xml:space="preserve">YULDASHEV MUXAMMADZOKIR ASRONBEK O’G’LI</t>
        </is>
      </c>
      <c r="F17" s="101" t="inlineStr">
        <is>
          <t xml:space="preserve">998947539195 uzi, 998932527939 ayoli, 998772334491 ayoli,</t>
        </is>
      </c>
      <c r="G17" s="101" t="inlineStr">
        <is>
          <t xml:space="preserve">Манзил: ANDIJON VILOYATI XO’JAOBOD TUMANI SOIPI MFY MAORIFCHILAR KO’CHASI 142-UY</t>
        </is>
      </c>
      <c r="H17" s="102">
        <v>3.0</v>
      </c>
      <c r="I17" s="102">
        <v>6213778.52</v>
      </c>
      <c r="K17" s="101" t="inlineStr">
        <is>
          <t xml:space="preserve">25 gacha hal qiladi</t>
        </is>
      </c>
    </row>
    <row r="18">
      <c r="A18" s="101" t="inlineStr">
        <is>
          <t xml:space="preserve">АНДИЖОН ВИЛОЯТИ</t>
        </is>
      </c>
      <c r="B18" s="101" t="inlineStr">
        <is>
          <t xml:space="preserve">SUPER BRANCH</t>
        </is>
      </c>
      <c r="C18" s="101" t="inlineStr">
        <is>
          <t xml:space="preserve">Обещали</t>
        </is>
      </c>
      <c r="D18" s="101" t="inlineStr">
        <is>
          <t xml:space="preserve">Кр-99033504-1</t>
        </is>
      </c>
      <c r="E18" s="101" t="inlineStr">
        <is>
          <t xml:space="preserve">NIYAZOV XAYBATULLA BURXANOVICH</t>
        </is>
      </c>
      <c r="F18" s="101" t="inlineStr">
        <is>
          <t xml:space="preserve">998979926505 SMS OZI, 998501881794 SMS O'G'LI, 998951679511 SMS KELINI, 998507199794 SMS QIZI,</t>
        </is>
      </c>
      <c r="G18" s="101" t="inlineStr">
        <is>
          <t xml:space="preserve">ANDIJON VILOYATI ASAKA TUMANI QADRIYAT MFY HUMO KO’CHASI 39-UY 28- XONADON</t>
        </is>
      </c>
      <c r="H18" s="102">
        <v>3.0</v>
      </c>
      <c r="I18" s="102">
        <v>5646163.66</v>
      </c>
      <c r="K18" s="101" t="inlineStr">
        <is>
          <t xml:space="preserve">bugun qisman tolaydi qolganini ertaga tolaydi</t>
        </is>
      </c>
    </row>
    <row r="19">
      <c r="A19" s="101" t="inlineStr">
        <is>
          <t xml:space="preserve">АНДИЖОН ВИЛОЯТИ</t>
        </is>
      </c>
      <c r="B19" s="101" t="inlineStr">
        <is>
          <t xml:space="preserve">SUPER BRANCH</t>
        </is>
      </c>
      <c r="C19" s="101" t="inlineStr">
        <is>
          <t xml:space="preserve">Ko'tardi</t>
        </is>
      </c>
      <c r="D19" s="101" t="inlineStr">
        <is>
          <t xml:space="preserve">Кр-99057367-1</t>
        </is>
      </c>
      <c r="E19" s="101" t="inlineStr">
        <is>
          <t xml:space="preserve">ERGASHEVA DILBARXON XXX</t>
        </is>
      </c>
      <c r="F19" s="101" t="inlineStr">
        <is>
          <t xml:space="preserve">998955529082 SMS O’ZI TO’LOVCHI, 998935483685 SMS AYOLI, 998950107819 SMS OGLI, 998914993298 SMS QIZI,</t>
        </is>
      </c>
      <c r="G19" s="101" t="inlineStr">
        <is>
          <t xml:space="preserve">ANDIJON VILOYATI BULOQBOSHI TUMANI UCHKO’CHA  MFY PESHQADAM KO’CHASI 6-UY</t>
        </is>
      </c>
      <c r="H19" s="102">
        <v>3.0</v>
      </c>
      <c r="I19" s="102">
        <v>5062126.37</v>
      </c>
      <c r="K19" s="101" t="inlineStr">
        <is>
          <t xml:space="preserve">17 kuni yopadi</t>
        </is>
      </c>
    </row>
    <row r="20">
      <c r="A20" s="101" t="inlineStr">
        <is>
          <t xml:space="preserve">АНДИЖОН ВИЛОЯТИ</t>
        </is>
      </c>
      <c r="B20" s="101" t="inlineStr">
        <is>
          <t xml:space="preserve">SUPER BRANCH</t>
        </is>
      </c>
      <c r="C20" s="101" t="inlineStr">
        <is>
          <t xml:space="preserve">Ko'tardi</t>
        </is>
      </c>
      <c r="D20" s="101" t="inlineStr">
        <is>
          <t xml:space="preserve">Кр-99039938-1</t>
        </is>
      </c>
      <c r="E20" s="101" t="inlineStr">
        <is>
          <t xml:space="preserve">YULDASHEV RAFIK PAZILOVICH</t>
        </is>
      </c>
      <c r="F20" s="101" t="inlineStr">
        <is>
          <t xml:space="preserve">998777547848 SMS OZI  zargarlik agentligida yurist bolib iwlid , 998888380020 SMS QIZI, 998905459367 SMS ONASI, 998903808282 SMS AKASI,</t>
        </is>
      </c>
      <c r="G20" s="101" t="inlineStr">
        <is>
          <t xml:space="preserve">ANDIJON VILOYATI ANDIJON SHAXAR YAXSHI MFY, KOLXOZCHI  KO’CHASI 38-UY</t>
        </is>
      </c>
      <c r="H20" s="102">
        <v>3.0</v>
      </c>
      <c r="I20" s="102">
        <v>4677022.15</v>
      </c>
      <c r="K20" s="101" t="inlineStr">
        <is>
          <t xml:space="preserve">20 ga tolaydi</t>
        </is>
      </c>
    </row>
    <row r="21">
      <c r="A21" s="101" t="inlineStr">
        <is>
          <t xml:space="preserve">АНДИЖОН ВИЛОЯТИ</t>
        </is>
      </c>
      <c r="B21" s="101" t="inlineStr">
        <is>
          <t xml:space="preserve">SUPER BRANCH</t>
        </is>
      </c>
      <c r="C21" s="101" t="inlineStr">
        <is>
          <t xml:space="preserve">Ko'tardi</t>
        </is>
      </c>
      <c r="D21" s="101" t="inlineStr">
        <is>
          <t xml:space="preserve">Кр-99062620-1</t>
        </is>
      </c>
      <c r="E21" s="101" t="inlineStr">
        <is>
          <t xml:space="preserve">TURSUNOVA YORQINOY TOYIRJONOVNA</t>
        </is>
      </c>
      <c r="F21" s="101" t="inlineStr">
        <is>
          <t xml:space="preserve">998936072012 SMS OZI, 998936031220 SMS OGLI, 998889639939 SMS OGLI, 998500725253 SMS SINGLISI,</t>
        </is>
      </c>
      <c r="G21" s="101" t="inlineStr">
        <is>
          <t xml:space="preserve">ANDIJON VILOYATI XO’JAOBOD TUMANI MUSTAQILLIKNING 27 YILLIGI MFY BOBUR  KO’CHASI 116-UY</t>
        </is>
      </c>
      <c r="H21" s="102">
        <v>6.0</v>
      </c>
      <c r="I21" s="102">
        <v>4570277.02</v>
      </c>
      <c r="K21" s="101" t="inlineStr">
        <is>
          <t xml:space="preserve">shu hafta hal qiladi</t>
        </is>
      </c>
    </row>
    <row r="22">
      <c r="A22" s="101" t="inlineStr">
        <is>
          <t xml:space="preserve">АНДИЖОН ВИЛОЯТИ</t>
        </is>
      </c>
      <c r="B22" s="101" t="inlineStr">
        <is>
          <t xml:space="preserve">SUPER BRANCH</t>
        </is>
      </c>
      <c r="C22" s="101" t="inlineStr">
        <is>
          <t xml:space="preserve">Ko'tardi</t>
        </is>
      </c>
      <c r="D22" s="101" t="inlineStr">
        <is>
          <t xml:space="preserve">Кр-99040327-1</t>
        </is>
      </c>
      <c r="E22" s="101" t="inlineStr">
        <is>
          <t xml:space="preserve">KADIROVA MALIKAXAN XXX</t>
        </is>
      </c>
      <c r="F22" s="101" t="inlineStr">
        <is>
          <t xml:space="preserve">998914926951 SMS OZI, 998905428587 SMS OGLI, 998905738535 SMS KELINI, 998914840656 SMS OGLI,</t>
        </is>
      </c>
      <c r="G22" s="101" t="inlineStr">
        <is>
          <t xml:space="preserve">ANDIJON VILOYATI ANDIJON SHAXAR UYG’UROBOD MFY, UYG’UROBOD  KO’CHASI 69A-UY</t>
        </is>
      </c>
      <c r="H22" s="102">
        <v>3.0</v>
      </c>
      <c r="I22" s="102">
        <v>4382197.21</v>
      </c>
      <c r="K22" s="101" t="inlineStr">
        <is>
          <t xml:space="preserve">kelasi hafta hal qiladi</t>
        </is>
      </c>
    </row>
    <row r="23">
      <c r="A23" s="101" t="inlineStr">
        <is>
          <t xml:space="preserve">АНДИЖОН ВИЛОЯТИ</t>
        </is>
      </c>
      <c r="B23" s="101" t="inlineStr">
        <is>
          <t xml:space="preserve">SUPER BRANCH</t>
        </is>
      </c>
      <c r="C23" s="101" t="inlineStr">
        <is>
          <t xml:space="preserve">Ko'tardi</t>
        </is>
      </c>
      <c r="D23" s="101" t="inlineStr">
        <is>
          <t xml:space="preserve">Кр-99040884-2</t>
        </is>
      </c>
      <c r="E23" s="101" t="inlineStr">
        <is>
          <t xml:space="preserve">ABDILAJONOV LATIPJON XXX</t>
        </is>
      </c>
      <c r="F23" s="101" t="inlineStr">
        <is>
          <t xml:space="preserve">+998950121049 SMS O’ZI, 998871087272 SMS O’G’LI, 998936770060 SMS NABIRASI, 998955801953 SMS AYOLI,</t>
        </is>
      </c>
      <c r="G23" s="101" t="inlineStr">
        <is>
          <t xml:space="preserve">ХЎЖАТЕПА МФЙ, МАШИНАСОЗЛАР КЎЧАСИ,  uy:Р/С</t>
        </is>
      </c>
      <c r="H23" s="102">
        <v>3.0</v>
      </c>
      <c r="I23" s="102">
        <v>4379407.03</v>
      </c>
      <c r="K23" s="101" t="inlineStr">
        <is>
          <t xml:space="preserve">oyni oxirida tolaydi</t>
        </is>
      </c>
    </row>
    <row r="24">
      <c r="A24" s="101" t="inlineStr">
        <is>
          <t xml:space="preserve">АНДИЖОН ВИЛОЯТИ</t>
        </is>
      </c>
      <c r="B24" s="101" t="inlineStr">
        <is>
          <t xml:space="preserve">SUPER BRANCH</t>
        </is>
      </c>
      <c r="C24" s="101" t="inlineStr">
        <is>
          <t xml:space="preserve">Ko'tardi</t>
        </is>
      </c>
      <c r="D24" s="101" t="inlineStr">
        <is>
          <t xml:space="preserve">Кр-99056240-1</t>
        </is>
      </c>
      <c r="E24" s="101" t="inlineStr">
        <is>
          <t xml:space="preserve">XOSHIMOVA XATICHA ABDULLAYEVNA</t>
        </is>
      </c>
      <c r="F24" s="101" t="inlineStr">
        <is>
          <t xml:space="preserve">998700390627 SMS O’ZI TO’LOVCHI, 998885031805 SMS ONASI, 998880321216 SMS QIZI, 998889898963 SMS QIZI,</t>
        </is>
      </c>
      <c r="G24" s="101" t="inlineStr">
        <is>
          <t xml:space="preserve">ANDIJON VILOYATI BULOQBOSHI TUMANI YUKSALISH MFY KO’HINUR KO’CHASI 229-UY</t>
        </is>
      </c>
      <c r="H24" s="102">
        <v>3.0</v>
      </c>
      <c r="I24" s="102">
        <v>4347627.71</v>
      </c>
      <c r="K24" s="101" t="inlineStr">
        <is>
          <t xml:space="preserve">dushanba kuni tolaydi</t>
        </is>
      </c>
    </row>
    <row r="25">
      <c r="A25" s="101" t="inlineStr">
        <is>
          <t xml:space="preserve">АНДИЖОН ВИЛОЯТИ</t>
        </is>
      </c>
      <c r="B25" s="101" t="inlineStr">
        <is>
          <t xml:space="preserve">SUPER BRANCH</t>
        </is>
      </c>
      <c r="C25" s="101" t="inlineStr">
        <is>
          <t xml:space="preserve">Ko'tardi</t>
        </is>
      </c>
      <c r="D25" s="101" t="inlineStr">
        <is>
          <t xml:space="preserve">Кр-99060938-1</t>
        </is>
      </c>
      <c r="E25" s="101" t="inlineStr">
        <is>
          <t xml:space="preserve">JOBBOROV KODIR ABDURASHITOVICH</t>
        </is>
      </c>
      <c r="F25" s="101" t="inlineStr">
        <is>
          <t xml:space="preserve">998700411965 узи, 998954619024 аели, 998954607196 угли, 998951010159 опаси,</t>
        </is>
      </c>
      <c r="G25" s="101" t="inlineStr">
        <is>
          <t xml:space="preserve">ANDIJON VILOYATI IZBOSKAN  TUMANI QO’SHKO’PRIK MFY DAVR KO’CHASI   22 мактаб</t>
        </is>
      </c>
      <c r="H25" s="102">
        <v>1.0</v>
      </c>
      <c r="I25" s="102">
        <v>4339950.36</v>
      </c>
      <c r="K25" s="101" t="inlineStr">
        <is>
          <t xml:space="preserve">bugun hal qiladi</t>
        </is>
      </c>
    </row>
    <row r="26">
      <c r="A26" s="101" t="inlineStr">
        <is>
          <t xml:space="preserve">АНДИЖОН ВИЛОЯТИ</t>
        </is>
      </c>
      <c r="B26" s="101" t="inlineStr">
        <is>
          <t xml:space="preserve">SUPER BRANCH</t>
        </is>
      </c>
      <c r="C26" s="101" t="inlineStr">
        <is>
          <t xml:space="preserve">Ko'tardi</t>
        </is>
      </c>
      <c r="D26" s="101" t="inlineStr">
        <is>
          <t xml:space="preserve">Кр-99032784-3</t>
        </is>
      </c>
      <c r="E26" s="101" t="inlineStr">
        <is>
          <t xml:space="preserve">USMONOV JASURBEK MUXAMMADJON O’G’LI</t>
        </is>
      </c>
      <c r="F26" s="101" t="inlineStr">
        <is>
          <t xml:space="preserve">998950287809 SMS O’ZI, 998938168611 SMS AYOLI, 998933481728 SMS O’G’LI, 998334640014 SMS JIYANI,</t>
        </is>
      </c>
      <c r="G26" s="101" t="inlineStr">
        <is>
          <t xml:space="preserve">ANDIJON VILOYATI MARXAMAT TUMANI QOVUNCHI MFY CHORBOG’ KO’CHASI 25-UY</t>
        </is>
      </c>
      <c r="H26" s="102">
        <v>3.0</v>
      </c>
      <c r="I26" s="102">
        <v>3907829.32</v>
      </c>
      <c r="K26" s="101" t="inlineStr">
        <is>
          <t xml:space="preserve">bugun erta hal qiladi</t>
        </is>
      </c>
    </row>
    <row r="27">
      <c r="A27" s="101" t="inlineStr">
        <is>
          <t xml:space="preserve">АНДИЖОН ВИЛОЯТИ</t>
        </is>
      </c>
      <c r="B27" s="101" t="inlineStr">
        <is>
          <t xml:space="preserve">SUPER BRANCH</t>
        </is>
      </c>
      <c r="C27" s="101" t="inlineStr">
        <is>
          <t xml:space="preserve">Ko'tardi</t>
        </is>
      </c>
      <c r="D27" s="101" t="inlineStr">
        <is>
          <t xml:space="preserve">Кр-99039783-1</t>
        </is>
      </c>
      <c r="E27" s="101" t="inlineStr">
        <is>
          <t xml:space="preserve">NORKULOV ALISHER BAXTIYOROVICH</t>
        </is>
      </c>
      <c r="F27" s="101" t="inlineStr">
        <is>
          <t xml:space="preserve">998914754708 SMS OZI, 998937823777 SMS DOSTI, 998906110086 SMS TANISHI, 998902050050 SMS TOLOVCHI,</t>
        </is>
      </c>
      <c r="G27" s="101" t="inlineStr">
        <is>
          <t xml:space="preserve">ANDIJON VILOYATI ANDIJON TUMANI TERAKTAGI MFY OTALIQBOY KO’CHASI 15</t>
        </is>
      </c>
      <c r="H27" s="102">
        <v>3.0</v>
      </c>
      <c r="I27" s="102">
        <v>3821127.27</v>
      </c>
      <c r="K27" s="101" t="inlineStr">
        <is>
          <t xml:space="preserve">kelasi hafta tolaydi</t>
        </is>
      </c>
    </row>
    <row r="28">
      <c r="A28" s="101" t="inlineStr">
        <is>
          <t xml:space="preserve">АНДИЖОН ВИЛОЯТИ</t>
        </is>
      </c>
      <c r="B28" s="101" t="inlineStr">
        <is>
          <t xml:space="preserve">SUPER BRANCH</t>
        </is>
      </c>
      <c r="C28" s="101" t="inlineStr">
        <is>
          <t xml:space="preserve">Ko'tardi</t>
        </is>
      </c>
      <c r="D28" s="101" t="inlineStr">
        <is>
          <t xml:space="preserve">Кр-99039371-3</t>
        </is>
      </c>
      <c r="E28" s="101" t="inlineStr">
        <is>
          <t xml:space="preserve">ABDUPATTAYEV OMADJON AZIZBEK O’G’LI</t>
        </is>
      </c>
      <c r="F28" s="101" t="inlineStr">
        <is>
          <t xml:space="preserve">998932541941 sms ozi , 998917739907 sms akasi , 998770707025 sms qoshni, 998900299859 sms uy ,</t>
        </is>
      </c>
      <c r="G28" s="101" t="inlineStr">
        <is>
          <t xml:space="preserve">Андижанская область, Пахтаабадский район, Бобурмирзо МСГ, ул.  Бобурмирзо, дом 16</t>
        </is>
      </c>
      <c r="H28" s="102">
        <v>3.0</v>
      </c>
      <c r="I28" s="102">
        <v>3759692.48</v>
      </c>
      <c r="K28" s="101" t="inlineStr">
        <is>
          <t xml:space="preserve">15 ga tolaydi</t>
        </is>
      </c>
    </row>
    <row r="29">
      <c r="A29" s="101" t="inlineStr">
        <is>
          <t xml:space="preserve">АНДИЖОН ВИЛОЯТИ</t>
        </is>
      </c>
      <c r="B29" s="101" t="inlineStr">
        <is>
          <t xml:space="preserve">SUPER BRANCH</t>
        </is>
      </c>
      <c r="C29" s="101" t="inlineStr">
        <is>
          <t xml:space="preserve">Ko'tardi</t>
        </is>
      </c>
      <c r="D29" s="101" t="inlineStr">
        <is>
          <t xml:space="preserve">Кр-99040518-1</t>
        </is>
      </c>
      <c r="E29" s="101" t="inlineStr">
        <is>
          <t xml:space="preserve">ERMATOV RAFUK SADIKOVICH</t>
        </is>
      </c>
      <c r="F29" s="101" t="inlineStr">
        <is>
          <t xml:space="preserve">998958722721 SMS OZI, 998950441777 SMS AYOLI, 998950361777 SMS QIZI, +998958722721 SMS O’ZI,</t>
        </is>
      </c>
      <c r="G29" s="101" t="inlineStr">
        <is>
          <t xml:space="preserve">ANDIJON VILOYATI  ANDIJON SHAHAR   O’ZBEKISTON MFY, TUKAYEVA KO’CHASI, 51-UY</t>
        </is>
      </c>
      <c r="H29" s="102">
        <v>3.0</v>
      </c>
      <c r="I29" s="102">
        <v>3755711.92</v>
      </c>
      <c r="K29" s="101" t="inlineStr">
        <is>
          <t xml:space="preserve">15 gacha tolaydi</t>
        </is>
      </c>
    </row>
    <row r="30">
      <c r="A30" s="101" t="inlineStr">
        <is>
          <t xml:space="preserve">АНДИЖОН ВИЛОЯТИ</t>
        </is>
      </c>
      <c r="B30" s="101" t="inlineStr">
        <is>
          <t xml:space="preserve">SUPER BRANCH</t>
        </is>
      </c>
      <c r="C30" s="101" t="inlineStr">
        <is>
          <t xml:space="preserve">Ko'tardi</t>
        </is>
      </c>
      <c r="D30" s="101" t="inlineStr">
        <is>
          <t xml:space="preserve">Кр-99032784-2</t>
        </is>
      </c>
      <c r="E30" s="101" t="inlineStr">
        <is>
          <t xml:space="preserve">USMONOV JASURBEK MUXAMMADJON O’G’LI</t>
        </is>
      </c>
      <c r="F30" s="101" t="inlineStr">
        <is>
          <t xml:space="preserve">998950287809 SMS O’ZI, 998938168611 SMS AYOLI, 998933481728 SMS O’G’LI, 998334640014 SMS JIYANI,</t>
        </is>
      </c>
      <c r="G30" s="101" t="inlineStr">
        <is>
          <t xml:space="preserve">ANDIJON VILOYATI MARXAMAT TUMANI QOVUNCHI MFY CHORBOG’ KO’CHASI 25-UY</t>
        </is>
      </c>
      <c r="H30" s="102">
        <v>3.0</v>
      </c>
      <c r="I30" s="102">
        <v>3736450.4</v>
      </c>
      <c r="K30" s="101" t="inlineStr">
        <is>
          <t xml:space="preserve">ozi yevropada ekan onasi bn gaplashdim shu hafta hal qiladi ekan</t>
        </is>
      </c>
    </row>
    <row r="31">
      <c r="A31" s="101" t="inlineStr">
        <is>
          <t xml:space="preserve">АНДИЖОН ВИЛОЯТИ</t>
        </is>
      </c>
      <c r="B31" s="101" t="inlineStr">
        <is>
          <t xml:space="preserve">SUPER BRANCH</t>
        </is>
      </c>
      <c r="C31" s="101" t="inlineStr">
        <is>
          <t xml:space="preserve">Ko'tardi</t>
        </is>
      </c>
      <c r="D31" s="101" t="inlineStr">
        <is>
          <t xml:space="preserve">Кр-99058509-1</t>
        </is>
      </c>
      <c r="E31" s="101" t="inlineStr">
        <is>
          <t xml:space="preserve">URMONOV OBIDJON ABDUSHUKUROVICH</t>
        </is>
      </c>
      <c r="F31" s="101" t="inlineStr">
        <is>
          <t xml:space="preserve">998943818975 SMS OZI, 998943506535 SMS AYOLI, 998503035600 SMS QIZI,</t>
        </is>
      </c>
      <c r="G31" s="101" t="inlineStr">
        <is>
          <t xml:space="preserve">ANDIJON VILOYATI IZBOSKAN TUMANI QO’SHKO’PRIK MFY OLTIN DEVOR KO’CHASI 365-UY</t>
        </is>
      </c>
      <c r="H31" s="102">
        <v>3.0</v>
      </c>
      <c r="I31" s="102">
        <v>3726221.74</v>
      </c>
      <c r="K31" s="101" t="inlineStr">
        <is>
          <t xml:space="preserve">kelasi seshanba kuni hal  qiladi</t>
        </is>
      </c>
    </row>
    <row r="32">
      <c r="A32" s="101" t="inlineStr">
        <is>
          <t xml:space="preserve">АНДИЖОН ВИЛОЯТИ</t>
        </is>
      </c>
      <c r="B32" s="101" t="inlineStr">
        <is>
          <t xml:space="preserve">SUPER BRANCH</t>
        </is>
      </c>
      <c r="C32" s="101" t="inlineStr">
        <is>
          <t xml:space="preserve">Ko'tardi</t>
        </is>
      </c>
      <c r="D32" s="101" t="inlineStr">
        <is>
          <t xml:space="preserve">Кр-99039745-4</t>
        </is>
      </c>
      <c r="E32" s="101" t="inlineStr">
        <is>
          <t xml:space="preserve">XALILOV AXRORBEK KARIMJON O’G’LI</t>
        </is>
      </c>
      <c r="F32" s="101" t="inlineStr">
        <is>
          <t xml:space="preserve">+998916089005 SMS O’ZI, 998916024344 SMS AKASI, 998940801700 SMS DO’STI,</t>
        </is>
      </c>
      <c r="G32" s="101" t="inlineStr">
        <is>
          <t xml:space="preserve">ОРС МФЙ, ОРС КЎЧАСИ,  uy:Р/С</t>
        </is>
      </c>
      <c r="H32" s="102">
        <v>3.0</v>
      </c>
      <c r="I32" s="102">
        <v>3481498.82</v>
      </c>
      <c r="K32" s="101" t="inlineStr">
        <is>
          <t xml:space="preserve">10-15 kuni tolaydi</t>
        </is>
      </c>
    </row>
    <row r="33">
      <c r="A33" s="101" t="inlineStr">
        <is>
          <t xml:space="preserve">АНДИЖОН ВИЛОЯТИ</t>
        </is>
      </c>
      <c r="B33" s="101" t="inlineStr">
        <is>
          <t xml:space="preserve">SUPER BRANCH</t>
        </is>
      </c>
      <c r="C33" s="101" t="inlineStr">
        <is>
          <t xml:space="preserve">Ko'tardi</t>
        </is>
      </c>
      <c r="D33" s="101" t="inlineStr">
        <is>
          <t xml:space="preserve">Кр-99054551-1</t>
        </is>
      </c>
      <c r="E33" s="101" t="inlineStr">
        <is>
          <t xml:space="preserve">BADALOV ANVAR QAMALOVICH</t>
        </is>
      </c>
      <c r="F33" s="101" t="inlineStr">
        <is>
          <t xml:space="preserve">998959116333 SMS OZI, 998996446624 SMS UKASI, 998958384047 SMS AYOLI, 998507262580 SMS OGLI,</t>
        </is>
      </c>
      <c r="G33" s="101" t="inlineStr">
        <is>
          <t xml:space="preserve">ANDIJON VILOYATI XO’JAOBOD TUMANI YUKSALISH MFY YANGI CHEK KO’CHASI 85-UY</t>
        </is>
      </c>
      <c r="H33" s="102">
        <v>3.0</v>
      </c>
      <c r="I33" s="102">
        <v>3405966.26</v>
      </c>
      <c r="K33" s="101" t="inlineStr">
        <is>
          <t xml:space="preserve">1-2 kunda hal qiladi</t>
        </is>
      </c>
    </row>
    <row r="34">
      <c r="A34" s="101" t="inlineStr">
        <is>
          <t xml:space="preserve">АНДИЖОН ВИЛОЯТИ</t>
        </is>
      </c>
      <c r="B34" s="101" t="inlineStr">
        <is>
          <t xml:space="preserve">SUPER BRANCH</t>
        </is>
      </c>
      <c r="C34" s="101" t="inlineStr">
        <is>
          <t xml:space="preserve">Ko'tardi</t>
        </is>
      </c>
      <c r="D34" s="101" t="inlineStr">
        <is>
          <t xml:space="preserve">Кр-99053363-1</t>
        </is>
      </c>
      <c r="E34" s="101" t="inlineStr">
        <is>
          <t xml:space="preserve">XAMRAQULOV FAYZULLO SARDORBEK O’G’LI</t>
        </is>
      </c>
      <c r="F34" s="101" t="inlineStr">
        <is>
          <t xml:space="preserve">998995135848 SMS OZI, 998916126009  SMS ZALOGATEL, 998914944999 SMS DADASI, 998889988055 SMS OSHNASI,</t>
        </is>
      </c>
      <c r="G34" s="101" t="inlineStr">
        <is>
          <t xml:space="preserve">ANDIJON VILOYATI ANDIJON SHAHAR DALVARZIN MFY, S. ZUNUNOVA  KO’CHASI 24 A-UY</t>
        </is>
      </c>
      <c r="H34" s="102">
        <v>3.0</v>
      </c>
      <c r="I34" s="102">
        <v>3150240.04</v>
      </c>
      <c r="K34" s="101" t="inlineStr">
        <is>
          <t xml:space="preserve">3-4 kunda yopiladi</t>
        </is>
      </c>
    </row>
    <row r="35">
      <c r="A35" s="101" t="inlineStr">
        <is>
          <t xml:space="preserve">АНДИЖОН ВИЛОЯТИ</t>
        </is>
      </c>
      <c r="B35" s="101" t="inlineStr">
        <is>
          <t xml:space="preserve">SUPER BRANCH</t>
        </is>
      </c>
      <c r="C35" s="101" t="inlineStr">
        <is>
          <t xml:space="preserve">Ko'tardi</t>
        </is>
      </c>
      <c r="D35" s="101" t="inlineStr">
        <is>
          <t xml:space="preserve">Кр-99057410-1</t>
        </is>
      </c>
      <c r="E35" s="101" t="inlineStr">
        <is>
          <t xml:space="preserve">AXUNOV ZIYOYIDIN TURDIBAYEVICH</t>
        </is>
      </c>
      <c r="F35" s="101" t="inlineStr">
        <is>
          <t xml:space="preserve">998914969606 SMS  O’ZI TO’LOVCHI, 998921506804 SMS ONASI, 998932408189 SMS OPASI, 998912880295 SMS KELNOYISI,</t>
        </is>
      </c>
      <c r="G35" s="101" t="inlineStr">
        <is>
          <t xml:space="preserve">ANDIJON VILOYATI ASAKA TUMANI YUQORI BO’Z MFY YUQORI BO’Z  KO’CHASI 89-UY</t>
        </is>
      </c>
      <c r="H35" s="102">
        <v>3.0</v>
      </c>
      <c r="I35" s="102">
        <v>3147967.68</v>
      </c>
      <c r="K35" s="101" t="inlineStr">
        <is>
          <t xml:space="preserve">25 gacha hal qiladi</t>
        </is>
      </c>
    </row>
    <row r="36">
      <c r="A36" s="101" t="inlineStr">
        <is>
          <t xml:space="preserve">АНДИЖОН ВИЛОЯТИ</t>
        </is>
      </c>
      <c r="B36" s="101" t="inlineStr">
        <is>
          <t xml:space="preserve">SUPER BRANCH</t>
        </is>
      </c>
      <c r="C36" s="101" t="inlineStr">
        <is>
          <t xml:space="preserve">Ko'tardi</t>
        </is>
      </c>
      <c r="D36" s="101" t="inlineStr">
        <is>
          <t xml:space="preserve">Кр-99040384-2</t>
        </is>
      </c>
      <c r="E36" s="101" t="inlineStr">
        <is>
          <t xml:space="preserve">MUXAMMADJONOV XEKMATULLO AVAZBEK O’G’LI</t>
        </is>
      </c>
      <c r="F36" s="101" t="inlineStr">
        <is>
          <t xml:space="preserve">998902575202 sms ozi, 998934475357 SMS AYOLI, 998916047434 SMS UKASI, 998912111710 SMS AMAKISI,</t>
        </is>
      </c>
      <c r="G36" s="101" t="inlineStr">
        <is>
          <t xml:space="preserve">ҚЎШТЕПА МФЙ, ЧАМАНЗОР КЎЧАСИ,  uy:Р/С</t>
        </is>
      </c>
      <c r="H36" s="102">
        <v>3.0</v>
      </c>
      <c r="I36" s="102">
        <v>3032329.0</v>
      </c>
      <c r="K36" s="101" t="inlineStr">
        <is>
          <t xml:space="preserve">kelasi hafta hal qiladi</t>
        </is>
      </c>
    </row>
    <row r="37">
      <c r="A37" s="101" t="inlineStr">
        <is>
          <t xml:space="preserve">АНДИЖОН ВИЛОЯТИ</t>
        </is>
      </c>
      <c r="B37" s="101" t="inlineStr">
        <is>
          <t xml:space="preserve">SUPER BRANCH</t>
        </is>
      </c>
      <c r="C37" s="101" t="inlineStr">
        <is>
          <t xml:space="preserve">Ko'tardi</t>
        </is>
      </c>
      <c r="D37" s="101" t="inlineStr">
        <is>
          <t xml:space="preserve">Кр-99037193-1</t>
        </is>
      </c>
      <c r="E37" s="101" t="inlineStr">
        <is>
          <t xml:space="preserve">HAMDAMOV DAVRONBEK BAHODIR O‘G‘LI</t>
        </is>
      </c>
      <c r="F37" s="101" t="inlineStr">
        <is>
          <t xml:space="preserve">998944376161 SMS OZI  MCHS da ishliydi, 998993261045 SMS ONASI, 998999959801 SMS AYOLI, 998991389309 SMS OPASI, +998993261045 Primary phone from road24,</t>
        </is>
      </c>
      <c r="G37" s="101" t="inlineStr">
        <is>
          <t xml:space="preserve">Қуруқсой МФЙ, Хидиршо кучаси, 574-уй</t>
        </is>
      </c>
      <c r="H37" s="102">
        <v>1.0</v>
      </c>
      <c r="I37" s="102">
        <v>2815584.16</v>
      </c>
      <c r="K37" s="101" t="inlineStr">
        <is>
          <t xml:space="preserve">15 ga tolaydi</t>
        </is>
      </c>
    </row>
    <row r="38">
      <c r="A38" s="101" t="inlineStr">
        <is>
          <t xml:space="preserve">АНДИЖОН ВИЛОЯТИ</t>
        </is>
      </c>
      <c r="B38" s="101" t="inlineStr">
        <is>
          <t xml:space="preserve">SUPER BRANCH</t>
        </is>
      </c>
      <c r="C38" s="101" t="inlineStr">
        <is>
          <t xml:space="preserve">Ko'tardi</t>
        </is>
      </c>
      <c r="D38" s="101" t="inlineStr">
        <is>
          <t xml:space="preserve">Кр-99040053-1</t>
        </is>
      </c>
      <c r="E38" s="101" t="inlineStr">
        <is>
          <t xml:space="preserve">RUZIYEVA JAMILAXON XXX</t>
        </is>
      </c>
      <c r="F38" s="101" t="inlineStr">
        <is>
          <t xml:space="preserve">998932443262 SMS OZI, 998947856262 SMS QIZI, 998999037159 SMS QIZI2, 998948551992 SMS QOSHNISI,</t>
        </is>
      </c>
      <c r="G38" s="101" t="inlineStr">
        <is>
          <t xml:space="preserve">ANDIJON VILOYATI ASAKA TUMANI NAVOIY MFY, ISTIQLOL KO’CHASI 95-UY</t>
        </is>
      </c>
      <c r="H38" s="102">
        <v>3.0</v>
      </c>
      <c r="I38" s="102">
        <v>2809521.15</v>
      </c>
      <c r="K38" s="101" t="inlineStr">
        <is>
          <t xml:space="preserve">kelasi hafta hal qiladi</t>
        </is>
      </c>
    </row>
    <row r="39">
      <c r="A39" s="101" t="inlineStr">
        <is>
          <t xml:space="preserve">АНДИЖОН ВИЛОЯТИ</t>
        </is>
      </c>
      <c r="B39" s="101" t="inlineStr">
        <is>
          <t xml:space="preserve">SUPER BRANCH</t>
        </is>
      </c>
      <c r="C39" s="101" t="inlineStr">
        <is>
          <t xml:space="preserve">Ko'tardi</t>
        </is>
      </c>
      <c r="D39" s="101" t="inlineStr">
        <is>
          <t xml:space="preserve">Кр-99004638-1</t>
        </is>
      </c>
      <c r="E39" s="101" t="inlineStr">
        <is>
          <t xml:space="preserve">KIMSANOV ALIMARDON DILSHOD O’G’LI</t>
        </is>
      </c>
      <c r="F39" s="101" t="inlineStr">
        <is>
          <t xml:space="preserve">998943870087 SMS OZI, 998992729515 SMS AYOLI Begona, 998947830087 SMS UY, 998772874929 SMS ONASI,</t>
        </is>
      </c>
      <c r="G39" s="101" t="inlineStr">
        <is>
          <t xml:space="preserve">ANDIJON VILOYATI PAXTAOBOD TUMANI UYG’UR QFY ZIYOLI MFY BOXOR KO’CHASI 53-UY </t>
        </is>
      </c>
      <c r="H39" s="102">
        <v>3.0</v>
      </c>
      <c r="I39" s="102">
        <v>2736982.28</v>
      </c>
      <c r="K39" s="101" t="inlineStr">
        <is>
          <t xml:space="preserve">15 kuni tolaydi</t>
        </is>
      </c>
    </row>
    <row r="40">
      <c r="A40" s="101" t="inlineStr">
        <is>
          <t xml:space="preserve">АНДИЖОН ВИЛОЯТИ</t>
        </is>
      </c>
      <c r="B40" s="101" t="inlineStr">
        <is>
          <t xml:space="preserve">SUPER BRANCH</t>
        </is>
      </c>
      <c r="C40" s="101" t="inlineStr">
        <is>
          <t xml:space="preserve">Ko'tardi</t>
        </is>
      </c>
      <c r="D40" s="101" t="inlineStr">
        <is>
          <t xml:space="preserve">Кр-99040747-1</t>
        </is>
      </c>
      <c r="E40" s="101" t="inlineStr">
        <is>
          <t xml:space="preserve">TEMIROV VOXIDJON XASANBOYEVICH</t>
        </is>
      </c>
      <c r="F40" s="101" t="inlineStr">
        <is>
          <t xml:space="preserve">998334941581 SMS OZI, 998958254383 SMS AYOLI, 998772592200 SMS OGLI, 998774292810 SMS QIZI,</t>
        </is>
      </c>
      <c r="G40" s="101" t="inlineStr">
        <is>
          <t xml:space="preserve">ANDIJON VILOYATI SHAXRIXON TUMANI QO’RG’ONCHA MFY,  QO’RG’ONCHA  KO’CHASI 43-UY</t>
        </is>
      </c>
      <c r="H40" s="102">
        <v>3.0</v>
      </c>
      <c r="I40" s="102">
        <v>2478462.91</v>
      </c>
      <c r="K40" s="101" t="inlineStr">
        <is>
          <t xml:space="preserve">dushanba kuni tolaydi</t>
        </is>
      </c>
    </row>
    <row r="41">
      <c r="A41" s="101" t="inlineStr">
        <is>
          <t xml:space="preserve">АНДИЖОН ВИЛОЯТИ</t>
        </is>
      </c>
      <c r="B41" s="101" t="inlineStr">
        <is>
          <t xml:space="preserve">SUPER BRANCH</t>
        </is>
      </c>
      <c r="C41" s="101" t="inlineStr">
        <is>
          <t xml:space="preserve">Ko'tardi</t>
        </is>
      </c>
      <c r="D41" s="101" t="inlineStr">
        <is>
          <t xml:space="preserve">Кр-99043394-2</t>
        </is>
      </c>
      <c r="E41" s="101" t="inlineStr">
        <is>
          <t xml:space="preserve">SULEYMANOV AVAZBEK ALIMJANOVICH</t>
        </is>
      </c>
      <c r="F41" s="101" t="inlineStr">
        <is>
          <t xml:space="preserve">+998334923332 SMS O’ZI, 998914923332 SMS AYOLI, 998916192585 SMS QIZI, 998999772585 SMS QIZI,</t>
        </is>
      </c>
      <c r="G41" s="101" t="inlineStr">
        <is>
          <t xml:space="preserve">Навруз МФЙ, Узумбог,2 тор кўчаси, 170-уй, 1-хонадон</t>
        </is>
      </c>
      <c r="H41" s="102">
        <v>3.0</v>
      </c>
      <c r="I41" s="102">
        <v>2474315.21</v>
      </c>
      <c r="K41" s="101" t="inlineStr">
        <is>
          <t xml:space="preserve">dushanba kuni tolaydi</t>
        </is>
      </c>
    </row>
    <row r="42">
      <c r="A42" s="101" t="inlineStr">
        <is>
          <t xml:space="preserve">АНДИЖОН ВИЛОЯТИ</t>
        </is>
      </c>
      <c r="B42" s="101" t="inlineStr">
        <is>
          <t xml:space="preserve">SUPER BRANCH</t>
        </is>
      </c>
      <c r="C42" s="101" t="inlineStr">
        <is>
          <t xml:space="preserve">Ko'tardi</t>
        </is>
      </c>
      <c r="D42" s="101" t="inlineStr">
        <is>
          <t xml:space="preserve">Кр-99033617-3</t>
        </is>
      </c>
      <c r="E42" s="101" t="inlineStr">
        <is>
          <t xml:space="preserve">XOLIQOVA ZIYODAXON OLIMJONOVNA</t>
        </is>
      </c>
      <c r="F42" s="101" t="inlineStr">
        <is>
          <t xml:space="preserve">998932557243 SMS O’ZI, 998888381818 SMS O’G’LI, 998901718300 SMS UKASI, 998934403320 SMS ERI ustaclik qiladi , 998875431818 SMS O’G’LI,</t>
        </is>
      </c>
      <c r="G42" s="101" t="inlineStr">
        <is>
          <t xml:space="preserve">ANDIJON VILOYATI ANDIJON TUMANI CHEM MFY, ASAKA YO’LO KO’CHASI 349-UY</t>
        </is>
      </c>
      <c r="H42" s="102">
        <v>3.0</v>
      </c>
      <c r="I42" s="102">
        <v>2303868.23</v>
      </c>
      <c r="K42" s="101" t="inlineStr">
        <is>
          <t xml:space="preserve">eri usta ekan obyektini tugatib beradi tolovni</t>
        </is>
      </c>
    </row>
    <row r="43">
      <c r="A43" s="101" t="inlineStr">
        <is>
          <t xml:space="preserve">АНДИЖОН ВИЛОЯТИ</t>
        </is>
      </c>
      <c r="B43" s="101" t="inlineStr">
        <is>
          <t xml:space="preserve">SUPER BRANCH</t>
        </is>
      </c>
      <c r="C43" s="101" t="inlineStr">
        <is>
          <t xml:space="preserve">Ko'tardi</t>
        </is>
      </c>
      <c r="D43" s="101" t="inlineStr">
        <is>
          <t xml:space="preserve">Кр-99039429-1</t>
        </is>
      </c>
      <c r="E43" s="101" t="inlineStr">
        <is>
          <t xml:space="preserve">ABDULLAYEVA NASIBA YULDASHALIYEVNA</t>
        </is>
      </c>
      <c r="F43" s="101" t="inlineStr">
        <is>
          <t xml:space="preserve">998947038588 SMS OZI, 998952128588 SMS XOJAYINI, 998979928006 SMS AKASI, 998770039598 SMS JIYANI,</t>
        </is>
      </c>
      <c r="G43" s="101" t="inlineStr">
        <is>
          <t xml:space="preserve">ANDIJON VILOYATI ANDIJON SHAHAR QORATUT MFY 5-KICHIK DAXA 24-UY 6-XONADON</t>
        </is>
      </c>
      <c r="H43" s="102">
        <v>1.0</v>
      </c>
      <c r="I43" s="102">
        <v>2100414.45</v>
      </c>
      <c r="K43" s="101" t="inlineStr">
        <is>
          <t xml:space="preserve">bugun hal qiladi</t>
        </is>
      </c>
    </row>
    <row r="44">
      <c r="A44" s="101" t="inlineStr">
        <is>
          <t xml:space="preserve">АНДИЖОН ВИЛОЯТИ</t>
        </is>
      </c>
      <c r="B44" s="101" t="inlineStr">
        <is>
          <t xml:space="preserve">SUPER BRANCH</t>
        </is>
      </c>
      <c r="C44" s="101" t="inlineStr">
        <is>
          <t xml:space="preserve">Ko'tardi</t>
        </is>
      </c>
      <c r="D44" s="101" t="inlineStr">
        <is>
          <t xml:space="preserve">Кр-99054820-1</t>
        </is>
      </c>
      <c r="E44" s="101" t="inlineStr">
        <is>
          <t xml:space="preserve">GAFFOROVA GULLOLA MAMATISAKOVNA</t>
        </is>
      </c>
      <c r="F44" s="101" t="inlineStr">
        <is>
          <t xml:space="preserve">998947030472 uzi, 998944328381 og'li, 998941020900 og'li1,</t>
        </is>
      </c>
      <c r="G44" s="101" t="inlineStr">
        <is>
          <t xml:space="preserve">TOSHKENT VILOYATI ZANGIOTA TUMANI ESHONGUZAR OYBEK MAHALLA 2/1-UY</t>
        </is>
      </c>
      <c r="H44" s="102">
        <v>3.0</v>
      </c>
      <c r="I44" s="102">
        <v>1989820.98</v>
      </c>
      <c r="K44" s="101" t="inlineStr">
        <is>
          <t xml:space="preserve">keyingi hafta seshanba kuni</t>
        </is>
      </c>
    </row>
    <row r="45">
      <c r="A45" s="101" t="inlineStr">
        <is>
          <t xml:space="preserve">АНДИЖОН ВИЛОЯТИ</t>
        </is>
      </c>
      <c r="B45" s="101" t="inlineStr">
        <is>
          <t xml:space="preserve">SUPER BRANCH</t>
        </is>
      </c>
      <c r="C45" s="101" t="inlineStr">
        <is>
          <t xml:space="preserve">Ko'tardi</t>
        </is>
      </c>
      <c r="D45" s="101" t="inlineStr">
        <is>
          <t xml:space="preserve">Кр-99039966-1</t>
        </is>
      </c>
      <c r="E45" s="101" t="inlineStr">
        <is>
          <t xml:space="preserve">BEKMIRZAYEV MUXAMMMADILLO ALIJON O’G’LI</t>
        </is>
      </c>
      <c r="F45" s="101" t="inlineStr">
        <is>
          <t xml:space="preserve">998958738338 SMS OZI, 998944353537 SMS akasi , 998914967230 SMS onasi , 998947654322 SMS oshnasi , 998870200017 SMS new ozi ,</t>
        </is>
      </c>
      <c r="G45" s="101" t="inlineStr">
        <is>
          <t xml:space="preserve">ANDIJON VILOYATI QURG'ONTEPA TUMANI A.JOMIY MFY GULZOR KOCHASI 2-UY / TOSHKENT SHAHRI YUNUSOBOD TUMANI QADRDON MFY  17 MAVZE 1-UY 48-XONADON</t>
        </is>
      </c>
      <c r="H45" s="102">
        <v>3.0</v>
      </c>
      <c r="I45" s="102">
        <v>1866397.25</v>
      </c>
      <c r="K45" s="101" t="inlineStr">
        <is>
          <t xml:space="preserve">shu hafta hal qiladi</t>
        </is>
      </c>
    </row>
    <row r="46">
      <c r="A46" s="101" t="inlineStr">
        <is>
          <t xml:space="preserve">АНДИЖОН ВИЛОЯТИ</t>
        </is>
      </c>
      <c r="B46" s="101" t="inlineStr">
        <is>
          <t xml:space="preserve">SUPER BRANCH</t>
        </is>
      </c>
      <c r="C46" s="101" t="inlineStr">
        <is>
          <t xml:space="preserve">Ko'tardi</t>
        </is>
      </c>
      <c r="D46" s="101" t="inlineStr">
        <is>
          <t xml:space="preserve">Кр-99013006-2</t>
        </is>
      </c>
      <c r="E46" s="101" t="inlineStr">
        <is>
          <t xml:space="preserve">SATTAROV MUXAMMADUMAR ODILBEK O’G’LI</t>
        </is>
      </c>
      <c r="F46" s="101" t="inlineStr">
        <is>
          <t xml:space="preserve">91-611-23-04 SMS OZI, 97-780-46-44 SMS TOLOVCHI, 99-305-23-04 SMS OZI, 91-492-22-67 SMS UY, 90-144-45-40 SMS OZIIII, 91-611-23-04 sms ozi,</t>
        </is>
      </c>
      <c r="G46" s="101" t="inlineStr">
        <is>
          <t xml:space="preserve">ANDIJON VILOYATI ANDIJON SHAHAR QIZIL SHARQ KO’CHASI 51-UY</t>
        </is>
      </c>
      <c r="H46" s="102">
        <v>3.0</v>
      </c>
      <c r="I46" s="102">
        <v>1746537.01</v>
      </c>
      <c r="K46" s="101" t="inlineStr">
        <is>
          <t xml:space="preserve">shu hafta hal qiladi</t>
        </is>
      </c>
    </row>
    <row r="47">
      <c r="A47" s="101" t="inlineStr">
        <is>
          <t xml:space="preserve">АНДИЖОН ВИЛОЯТИ</t>
        </is>
      </c>
      <c r="B47" s="101" t="inlineStr">
        <is>
          <t xml:space="preserve">SUPER BRANCH</t>
        </is>
      </c>
      <c r="C47" s="101" t="inlineStr">
        <is>
          <t xml:space="preserve">Ko'tardi</t>
        </is>
      </c>
      <c r="D47" s="101" t="inlineStr">
        <is>
          <t xml:space="preserve">Кр-99038983-2</t>
        </is>
      </c>
      <c r="E47" s="101" t="inlineStr">
        <is>
          <t xml:space="preserve">REJABOVA GULNOZA MAXAMMADJON QIZI</t>
        </is>
      </c>
      <c r="F47" s="101" t="inlineStr">
        <is>
          <t xml:space="preserve">998331132300 SMS OZI olmaliqda kambinatda ishlid , 998931632300 SMS AKASI, 998987882323 SMS UKASI, 998944009532 SMS ONASI,</t>
        </is>
      </c>
      <c r="G47" s="101" t="inlineStr">
        <is>
          <t xml:space="preserve">ANDIJON VILOYATI  QO’RG’ONTEPA TUMANI DEXQONCHEK  MFY SAJDAGOX KO’CHASI 30-UY</t>
        </is>
      </c>
      <c r="H47" s="102">
        <v>3.0</v>
      </c>
      <c r="I47" s="102">
        <v>1701631.72</v>
      </c>
      <c r="K47" s="101" t="inlineStr">
        <is>
          <t xml:space="preserve">dushanba kuni tolaydi</t>
        </is>
      </c>
    </row>
    <row r="48">
      <c r="A48" s="101" t="inlineStr">
        <is>
          <t xml:space="preserve">АНДИЖОН ВИЛОЯТИ</t>
        </is>
      </c>
      <c r="B48" s="101" t="inlineStr">
        <is>
          <t xml:space="preserve">SUPER BRANCH</t>
        </is>
      </c>
      <c r="C48" s="101" t="inlineStr">
        <is>
          <t xml:space="preserve">Ko'tardi</t>
        </is>
      </c>
      <c r="D48" s="101" t="inlineStr">
        <is>
          <t xml:space="preserve">Кр-99040467-2</t>
        </is>
      </c>
      <c r="E48" s="101" t="inlineStr">
        <is>
          <t xml:space="preserve">YAQUBJONOV ABDURAXMON ABDUXALIL O’G’LI</t>
        </is>
      </c>
      <c r="F48" s="101" t="inlineStr">
        <is>
          <t xml:space="preserve">998872201823 SMS OZI, 998889345757 SMS ONASI, 998888667040 SMS OPASI, 998975807040 SMS AKASI,</t>
        </is>
      </c>
      <c r="G48" s="101" t="inlineStr">
        <is>
          <t xml:space="preserve">ANDIJON VILOYATI OLTINKO’L TUMANI XO’JA MFY, SOYBO’YI  KO’CHASI 112-UY</t>
        </is>
      </c>
      <c r="H48" s="102">
        <v>3.0</v>
      </c>
      <c r="I48" s="102">
        <v>1551248.41</v>
      </c>
      <c r="K48" s="101" t="inlineStr">
        <is>
          <t xml:space="preserve">kelasi hafta hal qiladi</t>
        </is>
      </c>
    </row>
    <row r="49">
      <c r="A49" s="101" t="inlineStr">
        <is>
          <t xml:space="preserve">АНДИЖОН ВИЛОЯТИ</t>
        </is>
      </c>
      <c r="B49" s="101" t="inlineStr">
        <is>
          <t xml:space="preserve">SUPER BRANCH</t>
        </is>
      </c>
      <c r="C49" s="101" t="inlineStr">
        <is>
          <t xml:space="preserve">Ko'tardi</t>
        </is>
      </c>
      <c r="D49" s="101" t="inlineStr">
        <is>
          <t xml:space="preserve">Кр-99039141-1</t>
        </is>
      </c>
      <c r="E49" s="101" t="inlineStr">
        <is>
          <t xml:space="preserve">SAIDBEKOVA MOXINUR MUXAMMADJON QIZI</t>
        </is>
      </c>
      <c r="F49" s="101" t="inlineStr">
        <is>
          <t xml:space="preserve">998970957667 SMS OZI, 998974114774 SMS AKASI begona,</t>
        </is>
      </c>
      <c r="G49" s="101" t="inlineStr">
        <is>
          <t xml:space="preserve">ANDIJON VILOYATI ANDIJON  SHAHAR MASH’AL MFY T.REJAPOV 1-UY 53-XONADON</t>
        </is>
      </c>
      <c r="H49" s="102">
        <v>3.0</v>
      </c>
      <c r="I49" s="102">
        <v>1417207.34</v>
      </c>
      <c r="K49" s="101" t="inlineStr">
        <is>
          <t xml:space="preserve">25 ga tolaydi</t>
        </is>
      </c>
    </row>
    <row r="50">
      <c r="A50" s="101" t="inlineStr">
        <is>
          <t xml:space="preserve">АНДИЖОН ВИЛОЯТИ</t>
        </is>
      </c>
      <c r="B50" s="101" t="inlineStr">
        <is>
          <t xml:space="preserve">SUPER BRANCH</t>
        </is>
      </c>
      <c r="C50" s="101" t="inlineStr">
        <is>
          <t xml:space="preserve">Ko'tardi</t>
        </is>
      </c>
      <c r="D50" s="101" t="inlineStr">
        <is>
          <t xml:space="preserve">Кр-99030503-2</t>
        </is>
      </c>
      <c r="E50" s="101" t="inlineStr">
        <is>
          <t xml:space="preserve">ERGASHEV ZIYOIDDIN GULAMOVICH</t>
        </is>
      </c>
      <c r="F50" s="101" t="inlineStr">
        <is>
          <t xml:space="preserve">74-226-03-32 SMS  UY, 88-964-63-03 SMS  JIYANI, 998937807979 SMS new ozi ,</t>
        </is>
      </c>
      <c r="G50" s="101" t="inlineStr">
        <is>
          <t xml:space="preserve">ANDIJON VILOYATI ANDIJON SHAHARANDIJON MFY KZU 13 KO’CHASI 1-UY 54-XONADON</t>
        </is>
      </c>
      <c r="H50" s="102">
        <v>3.0</v>
      </c>
      <c r="I50" s="102">
        <v>1286829.27</v>
      </c>
      <c r="K50" s="101" t="inlineStr">
        <is>
          <t xml:space="preserve">juma kuni tolaydi</t>
        </is>
      </c>
    </row>
    <row r="51">
      <c r="A51" s="101" t="inlineStr">
        <is>
          <t xml:space="preserve">АНДИЖОН ВИЛОЯТИ</t>
        </is>
      </c>
      <c r="B51" s="101" t="inlineStr">
        <is>
          <t xml:space="preserve">SUPER BRANCH</t>
        </is>
      </c>
      <c r="C51" s="101" t="inlineStr">
        <is>
          <t xml:space="preserve">Оплатил дозвон</t>
        </is>
      </c>
      <c r="D51" s="101" t="inlineStr">
        <is>
          <t xml:space="preserve">Кр-99031618-3</t>
        </is>
      </c>
      <c r="E51" s="101" t="inlineStr">
        <is>
          <t xml:space="preserve">DJUMAYEV OZODBEK XOSHIMJON O’G’LI</t>
        </is>
      </c>
      <c r="F51" s="101" t="inlineStr">
        <is>
          <t xml:space="preserve">88-046-01-09  SMS O’ZI , 94-536-25-36  SMS AYOLI, 99-849-09-58  SMS UKASI, 77-072-11-63  SMS DADASI,</t>
        </is>
      </c>
      <c r="G51" s="101" t="inlineStr">
        <is>
          <t xml:space="preserve">ANDIJON VILOYATI ASAKA TUMANI TURON MFY XOJI KO’CHASI 67-UY</t>
        </is>
      </c>
      <c r="H51" s="102">
        <v>3.0</v>
      </c>
      <c r="I51" s="102">
        <v>1246693.62</v>
      </c>
      <c r="J51" s="102">
        <v>1246693.62</v>
      </c>
    </row>
    <row r="52">
      <c r="A52" s="101" t="inlineStr">
        <is>
          <t xml:space="preserve">АНДИЖОН ВИЛОЯТИ</t>
        </is>
      </c>
      <c r="B52" s="101" t="inlineStr">
        <is>
          <t xml:space="preserve">SUPER BRANCH</t>
        </is>
      </c>
      <c r="C52" s="101" t="inlineStr">
        <is>
          <t xml:space="preserve">Ko'tardi</t>
        </is>
      </c>
      <c r="D52" s="101" t="inlineStr">
        <is>
          <t xml:space="preserve">Кр-99031828-2</t>
        </is>
      </c>
      <c r="E52" s="101" t="inlineStr">
        <is>
          <t xml:space="preserve">SOXIBOV SHOXJAXON DIYORBEK O‘G‘LI</t>
        </is>
      </c>
      <c r="F52" s="101" t="inlineStr">
        <is>
          <t xml:space="preserve">998931042419 SMS O'ZI, 998900174454 SMS O’RTOG’I Begona, 998941087800 SMS AKASI, 998914797800 SMS ONASI, +998943230050 Primary phone from road24 Begona, 998943230050 Primary phone from road24 Begona ,</t>
        </is>
      </c>
      <c r="G52" s="101" t="inlineStr">
        <is>
          <t xml:space="preserve">Андижанская область, Пахтаобод тумани, Обод МСГ, ул. Обод, дом 8</t>
        </is>
      </c>
      <c r="H52" s="102">
        <v>3.0</v>
      </c>
      <c r="I52" s="102">
        <v>1168754.21</v>
      </c>
      <c r="K52" s="101" t="inlineStr">
        <is>
          <t xml:space="preserve">951188410 ozi yangi nomeri ekan  qayta aloqaga chiqadi ekan</t>
        </is>
      </c>
    </row>
    <row r="53">
      <c r="A53" s="101" t="inlineStr">
        <is>
          <t xml:space="preserve">АНДИЖОН ВИЛОЯТИ</t>
        </is>
      </c>
      <c r="B53" s="101" t="inlineStr">
        <is>
          <t xml:space="preserve">SUPER BRANCH</t>
        </is>
      </c>
      <c r="C53" s="101" t="inlineStr">
        <is>
          <t xml:space="preserve">Оплатил дозвон</t>
        </is>
      </c>
      <c r="D53" s="101" t="inlineStr">
        <is>
          <t xml:space="preserve">Кр-99056916-1</t>
        </is>
      </c>
      <c r="E53" s="101" t="inlineStr">
        <is>
          <t xml:space="preserve">BO’RANOVA MARG’UBA TOXIROVNA</t>
        </is>
      </c>
      <c r="F53" s="101" t="inlineStr">
        <is>
          <t xml:space="preserve">998881102465 SMS OZI, 998939940815 SMS OGLI, 998880052564 SMS XOJAYINI, 998905422591 SMS QZI,</t>
        </is>
      </c>
      <c r="G53" s="101" t="inlineStr">
        <is>
          <t xml:space="preserve">ANDIJON VILOYATI QO’RG’ONTEPA TUMANI UCHQUN MFY OGOXLIK KO’CHASI 1-UY</t>
        </is>
      </c>
      <c r="H53" s="102">
        <v>3.0</v>
      </c>
      <c r="I53" s="102">
        <v>1090321.66</v>
      </c>
      <c r="J53" s="102">
        <v>1090321.66</v>
      </c>
    </row>
    <row r="54">
      <c r="A54" s="101" t="inlineStr">
        <is>
          <t xml:space="preserve">АНДИЖОН ВИЛОЯТИ</t>
        </is>
      </c>
      <c r="B54" s="101" t="inlineStr">
        <is>
          <t xml:space="preserve">SUPER BRANCH</t>
        </is>
      </c>
      <c r="C54" s="101" t="inlineStr">
        <is>
          <t xml:space="preserve">Ko'tardi</t>
        </is>
      </c>
      <c r="D54" s="101" t="inlineStr">
        <is>
          <t xml:space="preserve">Кр-99039487-2</t>
        </is>
      </c>
      <c r="E54" s="101" t="inlineStr">
        <is>
          <t xml:space="preserve">USMANOV RAXMANALI XXX</t>
        </is>
      </c>
      <c r="F54" s="101" t="inlineStr">
        <is>
          <t xml:space="preserve">998507778257 SMS OZI, 998949595701 SMS AYOLI, 998330880202 SMS OGLI, 998505081800 SMS KELINI,</t>
        </is>
      </c>
      <c r="G54" s="101" t="inlineStr">
        <is>
          <t xml:space="preserve">ANDIJON VILOYATI JALOLQUDUQ TUMANI OLMAZOR MFY OTASHKALB KO’CHASI 26-UY </t>
        </is>
      </c>
      <c r="H54" s="102">
        <v>3.0</v>
      </c>
      <c r="I54" s="102">
        <v>995921.78</v>
      </c>
      <c r="K54" s="101" t="inlineStr">
        <is>
          <t xml:space="preserve">kechga ozi aloqaga chiqadi</t>
        </is>
      </c>
    </row>
    <row r="55">
      <c r="A55" s="101" t="inlineStr">
        <is>
          <t xml:space="preserve">АНДИЖОН ВИЛОЯТИ</t>
        </is>
      </c>
      <c r="B55" s="101" t="inlineStr">
        <is>
          <t xml:space="preserve">SUPER BRANCH</t>
        </is>
      </c>
      <c r="C55" s="101" t="inlineStr">
        <is>
          <t xml:space="preserve">Ko'tardi</t>
        </is>
      </c>
      <c r="D55" s="101" t="inlineStr">
        <is>
          <t xml:space="preserve">Кр-99035336-2</t>
        </is>
      </c>
      <c r="E55" s="101" t="inlineStr">
        <is>
          <t xml:space="preserve">RO’ZIYEVA MUNIRAXON SULTONOVNA</t>
        </is>
      </c>
      <c r="F55" s="101" t="inlineStr">
        <is>
          <t xml:space="preserve">998936907720 SMS OZI, 998949796867 SMS QIZI, 998504044603 SMS OGLI, 998934446258 SMS ONASI,</t>
        </is>
      </c>
      <c r="G55" s="101" t="inlineStr">
        <is>
          <t xml:space="preserve">ANDIJON VILOYATI BO’Z TUMANI MUSTAQILLIK KO’CHASI  70-UY,11-XONADON</t>
        </is>
      </c>
      <c r="H55" s="102">
        <v>3.0</v>
      </c>
      <c r="I55" s="102">
        <v>884145.4</v>
      </c>
      <c r="K55" s="101" t="inlineStr">
        <is>
          <t xml:space="preserve">xaromi klent oyni oxirida tolaydi</t>
        </is>
      </c>
    </row>
    <row r="56">
      <c r="A56" s="101" t="inlineStr">
        <is>
          <t xml:space="preserve">АНДИЖОН ВИЛОЯТИ</t>
        </is>
      </c>
      <c r="B56" s="101" t="inlineStr">
        <is>
          <t xml:space="preserve">SUPER BRANCH</t>
        </is>
      </c>
      <c r="C56" s="101" t="inlineStr">
        <is>
          <t xml:space="preserve">Ko'tardi</t>
        </is>
      </c>
      <c r="D56" s="101" t="inlineStr">
        <is>
          <t xml:space="preserve">Кр-99053610-1</t>
        </is>
      </c>
      <c r="E56" s="101" t="inlineStr">
        <is>
          <t xml:space="preserve">XUJAMKULOVA AROFAT ALABAROVNA</t>
        </is>
      </c>
      <c r="F56" s="101" t="inlineStr">
        <is>
          <t xml:space="preserve">998999038464 SMS OZI, 998930767380 SMS XOJAYIN, 998972123141 SMS OGLI, 998503005551 SMS OGLI 2,</t>
        </is>
      </c>
      <c r="G56" s="101" t="inlineStr">
        <is>
          <t xml:space="preserve">ANDIJON VILOYATI BULOQBOSHI TUMANI BARLOS MFY BOZORXIDRSHA KO’CHASI 47-UY</t>
        </is>
      </c>
      <c r="H56" s="102">
        <v>3.0</v>
      </c>
      <c r="I56" s="102">
        <v>706796.66</v>
      </c>
      <c r="K56" s="101" t="inlineStr">
        <is>
          <t xml:space="preserve">20 chiga tolaydi</t>
        </is>
      </c>
    </row>
    <row r="57">
      <c r="A57" s="101" t="inlineStr">
        <is>
          <t xml:space="preserve">АНДИЖОН ВИЛОЯТИ</t>
        </is>
      </c>
      <c r="B57" s="101" t="inlineStr">
        <is>
          <t xml:space="preserve">SUPER BRANCH</t>
        </is>
      </c>
      <c r="C57" s="101" t="inlineStr">
        <is>
          <t xml:space="preserve">Ko'tardi</t>
        </is>
      </c>
      <c r="D57" s="101" t="inlineStr">
        <is>
          <t xml:space="preserve">Кр-99049616-2</t>
        </is>
      </c>
      <c r="E57" s="101" t="inlineStr">
        <is>
          <t xml:space="preserve">DAVIDOV MAMIRJON NEMATJONOVICH</t>
        </is>
      </c>
      <c r="F57" s="101" t="inlineStr">
        <is>
          <t xml:space="preserve">998883672747 OZI,</t>
        </is>
      </c>
      <c r="G57" s="101" t="inlineStr">
        <is>
          <t xml:space="preserve">IIV3411</t>
        </is>
      </c>
      <c r="H57" s="102">
        <v>3.0</v>
      </c>
      <c r="I57" s="102">
        <v>685271.05</v>
      </c>
      <c r="K57" s="101" t="inlineStr">
        <is>
          <t xml:space="preserve">oyni oxirida tolaydi</t>
        </is>
      </c>
    </row>
    <row r="58">
      <c r="A58" s="101" t="inlineStr">
        <is>
          <t xml:space="preserve">АНДИЖОН ВИЛОЯТИ</t>
        </is>
      </c>
      <c r="B58" s="101" t="inlineStr">
        <is>
          <t xml:space="preserve">SUPER BRANCH</t>
        </is>
      </c>
      <c r="C58" s="101" t="inlineStr">
        <is>
          <t xml:space="preserve">Ko'tardi</t>
        </is>
      </c>
      <c r="D58" s="101" t="inlineStr">
        <is>
          <t xml:space="preserve">Кр-99037428-2</t>
        </is>
      </c>
      <c r="E58" s="101" t="inlineStr">
        <is>
          <t xml:space="preserve">TOLIPOV MUHIDDIN AVAZJON O’G’LI</t>
        </is>
      </c>
      <c r="F58" s="101" t="inlineStr">
        <is>
          <t xml:space="preserve">998505111153 SMS UZI , 998995001004 SMS OZI 2, 998911717258 SMS ISHXONASI, 998998677258 SMS AYOLI,</t>
        </is>
      </c>
      <c r="G58" s="101" t="inlineStr">
        <is>
          <t xml:space="preserve">ANDIJON VILOYATI BULOQBOSHI TUMANI FAROVON MFY OXANGARON KO’CHASI 46-UY</t>
        </is>
      </c>
      <c r="H58" s="102">
        <v>3.0</v>
      </c>
      <c r="I58" s="102">
        <v>497786.7</v>
      </c>
      <c r="K58" s="101" t="inlineStr">
        <is>
          <t xml:space="preserve">15 kuni oylik oladi yopib beradi osha kuni</t>
        </is>
      </c>
    </row>
    <row r="59">
      <c r="A59" s="101" t="inlineStr">
        <is>
          <t xml:space="preserve">АНДИЖОН ВИЛОЯТИ</t>
        </is>
      </c>
      <c r="B59" s="101" t="inlineStr">
        <is>
          <t xml:space="preserve">SUPER BRANCH</t>
        </is>
      </c>
      <c r="C59" s="101" t="inlineStr">
        <is>
          <t xml:space="preserve">Ko'tardi</t>
        </is>
      </c>
      <c r="D59" s="101" t="inlineStr">
        <is>
          <t xml:space="preserve">Кр-99040076-1</t>
        </is>
      </c>
      <c r="E59" s="101" t="inlineStr">
        <is>
          <t xml:space="preserve">JAMALOV DILSHODBEK KAMALDINOVICH</t>
        </is>
      </c>
      <c r="F59" s="101" t="inlineStr">
        <is>
          <t xml:space="preserve">998906248003 SMS OZI, 998902540820 SMS AYOLI, 998882511003 SMS OGLI, 998916003767 SMS OGLI 2,</t>
        </is>
      </c>
      <c r="G59" s="101" t="inlineStr">
        <is>
          <t xml:space="preserve">ANDIJON VILOYATI ANDIJON SHAXAR ISLOMOBOD MFY, D.BOLTABOEV  KO’CHASI 4-UY</t>
        </is>
      </c>
      <c r="H59" s="102">
        <v>3.0</v>
      </c>
      <c r="I59" s="102">
        <v>492326.99</v>
      </c>
      <c r="K59" s="101" t="inlineStr">
        <is>
          <t xml:space="preserve">kelasi hafta hal qiladi</t>
        </is>
      </c>
    </row>
    <row r="60">
      <c r="A60" s="101" t="inlineStr">
        <is>
          <t xml:space="preserve">АНДИЖОН ВИЛОЯТИ</t>
        </is>
      </c>
      <c r="B60" s="101" t="inlineStr">
        <is>
          <t xml:space="preserve">SUPER BRANCH</t>
        </is>
      </c>
      <c r="C60" s="101" t="inlineStr">
        <is>
          <t xml:space="preserve">Ko'tardi</t>
        </is>
      </c>
      <c r="D60" s="101" t="inlineStr">
        <is>
          <t xml:space="preserve">Кр-99027968-2</t>
        </is>
      </c>
      <c r="E60" s="101" t="inlineStr">
        <is>
          <t xml:space="preserve">MAMADJANOV NOZIMJON ODILJANOVICH</t>
        </is>
      </c>
      <c r="F60" s="101" t="inlineStr">
        <is>
          <t xml:space="preserve">99 308-73-75 OZI, 88-991-73-75  SMS O'ZI2, 88-324-10-33  SMS AYOLI, 91-290-02-72  SMS AKASI, +998993087375 SMS O’ZI, 998883241033 SMS O’ZI2, 998912900272 SMS AKASI,</t>
        </is>
      </c>
      <c r="G60" s="101" t="inlineStr">
        <is>
          <t xml:space="preserve">ANDIJON VILOYATI OLTINKO’L TUMANI DALVARZIN MFY DALVARZIN KO’CHASI 295-UY</t>
        </is>
      </c>
      <c r="H60" s="102">
        <v>3.0</v>
      </c>
      <c r="I60" s="102">
        <v>343483.81</v>
      </c>
      <c r="K60" s="101" t="inlineStr">
        <is>
          <t xml:space="preserve">kecha bittasini toladi shu hafta hammasini hal qiladi</t>
        </is>
      </c>
    </row>
    <row r="61">
      <c r="A61" s="101" t="inlineStr">
        <is>
          <t xml:space="preserve">АНДИЖОН ВИЛОЯТИ</t>
        </is>
      </c>
      <c r="B61" s="101" t="inlineStr">
        <is>
          <t xml:space="preserve">SUPER BRANCH</t>
        </is>
      </c>
      <c r="C61" s="101" t="inlineStr">
        <is>
          <t xml:space="preserve">Ko'tardi</t>
        </is>
      </c>
      <c r="D61" s="101" t="inlineStr">
        <is>
          <t xml:space="preserve">Кр-99037428-3</t>
        </is>
      </c>
      <c r="E61" s="101" t="inlineStr">
        <is>
          <t xml:space="preserve">TOLIPOV MUHIDDIN AVAZJON O’G’LI</t>
        </is>
      </c>
      <c r="F61" s="101" t="inlineStr">
        <is>
          <t xml:space="preserve">998505111153 SMS UZI , 998995001004 SMS OZI 2, 998911717258 SMS ISHXONASI, 998998677258 SMS AYOLI,</t>
        </is>
      </c>
      <c r="G61" s="101" t="inlineStr">
        <is>
          <t xml:space="preserve">ANDIJON VILOYATI BULOQBOSHI TUMANI FAROVON MFY OXANGARON KO’CHASI 46-UY</t>
        </is>
      </c>
      <c r="H61" s="102">
        <v>3.0</v>
      </c>
      <c r="I61" s="102">
        <v>274519.0</v>
      </c>
      <c r="K61" s="101" t="inlineStr">
        <is>
          <t xml:space="preserve">15 kuni oylik oladi yopib beradi osha kuni</t>
        </is>
      </c>
    </row>
    <row r="62">
      <c r="A62" s="101" t="inlineStr">
        <is>
          <t xml:space="preserve">АНДИЖОН ВИЛОЯТИ</t>
        </is>
      </c>
      <c r="B62" s="101" t="inlineStr">
        <is>
          <t xml:space="preserve">SUPER BRANCH</t>
        </is>
      </c>
      <c r="C62" s="101" t="inlineStr">
        <is>
          <t xml:space="preserve">Оплатил дозвон</t>
        </is>
      </c>
      <c r="D62" s="101" t="inlineStr">
        <is>
          <t xml:space="preserve">Кр-99057626-1</t>
        </is>
      </c>
      <c r="E62" s="101" t="inlineStr">
        <is>
          <t xml:space="preserve">DAVRONOV AXMADBEK ODILOVICH</t>
        </is>
      </c>
      <c r="F62" s="101" t="inlineStr">
        <is>
          <t xml:space="preserve">998995170264 SMS UZI, 998996940764 SMS AYOLI, 998945170264 SMS UZI 2, 998902174389 SMS JIYAN,</t>
        </is>
      </c>
      <c r="G62" s="101" t="inlineStr">
        <is>
          <t xml:space="preserve">ANDIJON VILOYATI PAXTAOBOD TUMANI ANDIJON MFY, O’RIKZOR  KO’CHASI 134-UY</t>
        </is>
      </c>
      <c r="H62" s="102">
        <v>3.0</v>
      </c>
      <c r="I62" s="102">
        <v>44890.31</v>
      </c>
      <c r="J62" s="102">
        <v>44890.31</v>
      </c>
    </row>
    <row r="63">
      <c r="A63" s="103" t="inlineStr">
        <is>
          <t xml:space="preserve">АНДИЖОН ВИЛОЯТИ</t>
        </is>
      </c>
      <c r="B63" s="103" t="inlineStr">
        <is>
          <t xml:space="preserve">Андижон филиали</t>
        </is>
      </c>
      <c r="C63" s="103" t="inlineStr">
        <is>
          <t xml:space="preserve">Ko'tardi</t>
        </is>
      </c>
      <c r="D63" s="103" t="inlineStr">
        <is>
          <t xml:space="preserve">Кр-99038343-2</t>
        </is>
      </c>
      <c r="E63" s="103" t="inlineStr">
        <is>
          <t xml:space="preserve">ABDURAXMANOV XUSNIDDIN IBRAGIMDJANOVICH</t>
        </is>
      </c>
      <c r="F63" s="103" t="inlineStr">
        <is>
          <t xml:space="preserve">998334020011 SMS OZI, 998994791984 SMS AYOLI, 998500378007 SMS O’G’LI, 998991730207 SMS O’G’LI,</t>
        </is>
      </c>
      <c r="G63" s="103" t="inlineStr">
        <is>
          <t xml:space="preserve">ANDIJON  VILOYATI ANDIJON   TUMANI, YUKSALISH MFY,YUKSALISH KO’CHASI 1-UY</t>
        </is>
      </c>
      <c r="H63" s="104">
        <v>3.0</v>
      </c>
      <c r="I63" s="104">
        <v>12991799.03</v>
      </c>
      <c r="K63" s="103" t="inlineStr">
        <is>
          <t xml:space="preserve">ogli bn gaplashdim kelasi hafta tolab beradi</t>
        </is>
      </c>
    </row>
    <row r="64">
      <c r="A64" s="103" t="inlineStr">
        <is>
          <t xml:space="preserve">АНДИЖОН ВИЛОЯТИ</t>
        </is>
      </c>
      <c r="B64" s="103" t="inlineStr">
        <is>
          <t xml:space="preserve">Андижон филиали</t>
        </is>
      </c>
      <c r="C64" s="103" t="inlineStr">
        <is>
          <t xml:space="preserve">Ko'tardi</t>
        </is>
      </c>
      <c r="D64" s="103" t="inlineStr">
        <is>
          <t xml:space="preserve">Кр-99049159-1</t>
        </is>
      </c>
      <c r="E64" s="103" t="inlineStr">
        <is>
          <t xml:space="preserve">RIZAYEV AZIZBEK ABDURAXIMOVICH</t>
        </is>
      </c>
      <c r="F64" s="103" t="inlineStr">
        <is>
          <t xml:space="preserve">+998931283333 SMS O’ZI, 998907657555 SMS AYOLI, 998951107515 SMS O’G’LI, 998977088111 SMS OPASI,</t>
        </is>
      </c>
      <c r="G64" s="103" t="inlineStr">
        <is>
          <t xml:space="preserve">Andijon viloyati Andijon shahar Ishchilar MFY Ishchilar ko’chasi 9-uy</t>
        </is>
      </c>
      <c r="H64" s="104">
        <v>3.0</v>
      </c>
      <c r="I64" s="104">
        <v>12072210.22</v>
      </c>
      <c r="K64" s="103" t="inlineStr">
        <is>
          <t xml:space="preserve">15 kuni tolaydi</t>
        </is>
      </c>
    </row>
    <row r="65">
      <c r="A65" s="103" t="inlineStr">
        <is>
          <t xml:space="preserve">АНДИЖОН ВИЛОЯТИ</t>
        </is>
      </c>
      <c r="B65" s="103" t="inlineStr">
        <is>
          <t xml:space="preserve">Андижон филиали</t>
        </is>
      </c>
      <c r="C65" s="103" t="inlineStr">
        <is>
          <t xml:space="preserve">Ko'tardi</t>
        </is>
      </c>
      <c r="D65" s="103" t="inlineStr">
        <is>
          <t xml:space="preserve">Кр-99050886-1</t>
        </is>
      </c>
      <c r="E65" s="103" t="inlineStr">
        <is>
          <t xml:space="preserve">SULAYMANOV DILMUROD ABDUMALIKOVICH</t>
        </is>
      </c>
      <c r="F65" s="103" t="inlineStr">
        <is>
          <t xml:space="preserve">+998940074404 SMS O’ZI, 998773277467 SMS QIZI, 998934143383 SMS AYOLI,</t>
        </is>
      </c>
      <c r="G65" s="103" t="inlineStr">
        <is>
          <t xml:space="preserve">ANDIJON VILOYATI   IZBOSKAN TUMANI OBOD MFY UZUN KO’CHA 275-UY</t>
        </is>
      </c>
      <c r="H65" s="104">
        <v>3.0</v>
      </c>
      <c r="I65" s="104">
        <v>8738729.04</v>
      </c>
      <c r="K65" s="103" t="inlineStr">
        <is>
          <t xml:space="preserve">1-2 kunda hal qiladi</t>
        </is>
      </c>
    </row>
    <row r="66">
      <c r="A66" s="103" t="inlineStr">
        <is>
          <t xml:space="preserve">АНДИЖОН ВИЛОЯТИ</t>
        </is>
      </c>
      <c r="B66" s="103" t="inlineStr">
        <is>
          <t xml:space="preserve">Андижон филиали</t>
        </is>
      </c>
      <c r="C66" s="103" t="inlineStr">
        <is>
          <t xml:space="preserve">Ko'tardi</t>
        </is>
      </c>
      <c r="D66" s="103" t="inlineStr">
        <is>
          <t xml:space="preserve">Кр-99050384-1</t>
        </is>
      </c>
      <c r="E66" s="103" t="inlineStr">
        <is>
          <t xml:space="preserve">YUSUPOV MANSURBEK ODILJONOVICH</t>
        </is>
      </c>
      <c r="F66" s="103" t="inlineStr">
        <is>
          <t xml:space="preserve">+998914979790 SMS O’ZI, 998500407542 SMS UY, 998945631595 SMS AYOLI, 998974488280 SMS ONASI,</t>
        </is>
      </c>
      <c r="G66" s="103" t="inlineStr">
        <is>
          <t xml:space="preserve">ANDIJON VILOYATI  IZBOSKAN TUMANI ROVOT MFY GAVXAR KO’CHASI 45-UY</t>
        </is>
      </c>
      <c r="H66" s="104">
        <v>3.0</v>
      </c>
      <c r="I66" s="104">
        <v>8132397.07</v>
      </c>
      <c r="K66" s="103" t="inlineStr">
        <is>
          <t xml:space="preserve">shu hafta hal qiladi</t>
        </is>
      </c>
    </row>
    <row r="67">
      <c r="A67" s="103" t="inlineStr">
        <is>
          <t xml:space="preserve">АНДИЖОН ВИЛОЯТИ</t>
        </is>
      </c>
      <c r="B67" s="103" t="inlineStr">
        <is>
          <t xml:space="preserve">Андижон филиали</t>
        </is>
      </c>
      <c r="C67" s="103" t="inlineStr">
        <is>
          <t xml:space="preserve">Ko'tardi</t>
        </is>
      </c>
      <c r="D67" s="103" t="inlineStr">
        <is>
          <t xml:space="preserve">Кр-99035857-2</t>
        </is>
      </c>
      <c r="E67" s="103" t="inlineStr">
        <is>
          <t xml:space="preserve">DJIYANOV XURSANBEK TADJIDINOVICH</t>
        </is>
      </c>
      <c r="F67" s="103" t="inlineStr">
        <is>
          <t xml:space="preserve">998945010782 SMS O’ZI, 998914782277 SMS AYOLI, 998910605424 SMS O’G’LI, 998979837222 SMS QIZI , +998508823382 SMS O’ZI, 998889935007 SMS O’ZI 2, 998951312283 SMS QIZI,</t>
        </is>
      </c>
      <c r="G67" s="103" t="inlineStr">
        <is>
          <t xml:space="preserve">ANDIJON VILOYATI BULOQBOSHI TUMANI  ISTIQLOL MFY GULZOR KO’CHASI 133-UY</t>
        </is>
      </c>
      <c r="H67" s="104">
        <v>3.0</v>
      </c>
      <c r="I67" s="104">
        <v>8046768.44</v>
      </c>
      <c r="K67" s="103" t="inlineStr">
        <is>
          <t xml:space="preserve">15 kunga tolaydi</t>
        </is>
      </c>
    </row>
    <row r="68">
      <c r="A68" s="103" t="inlineStr">
        <is>
          <t xml:space="preserve">АНДИЖОН ВИЛОЯТИ</t>
        </is>
      </c>
      <c r="B68" s="103" t="inlineStr">
        <is>
          <t xml:space="preserve">Андижон филиали</t>
        </is>
      </c>
      <c r="C68" s="103" t="inlineStr">
        <is>
          <t xml:space="preserve">Ko'tardi</t>
        </is>
      </c>
      <c r="D68" s="103" t="inlineStr">
        <is>
          <t xml:space="preserve">Кр-99060556-3</t>
        </is>
      </c>
      <c r="E68" s="103" t="inlineStr">
        <is>
          <t xml:space="preserve">FARXODOVA DILRABO BAXADIRJANOVNA</t>
        </is>
      </c>
      <c r="F68" s="103" t="inlineStr">
        <is>
          <t xml:space="preserve">+998916111541 SMS O’ZI, 998901411541 SMS XO’JAYNI, 998905401541 SMS QIZI,</t>
        </is>
      </c>
      <c r="G68" s="103" t="inlineStr">
        <is>
          <t xml:space="preserve">ANDIJON VILOYATI  XOJABOD TUMANI YUKSALISH MFY TADBIRKORLAR KO’CHASI 305-UY</t>
        </is>
      </c>
      <c r="H68" s="104">
        <v>3.0</v>
      </c>
      <c r="I68" s="104">
        <v>7097739.05</v>
      </c>
      <c r="K68" s="103" t="inlineStr">
        <is>
          <t xml:space="preserve">15 kuni tolaydi</t>
        </is>
      </c>
    </row>
    <row r="69">
      <c r="A69" s="103" t="inlineStr">
        <is>
          <t xml:space="preserve">АНДИЖОН ВИЛОЯТИ</t>
        </is>
      </c>
      <c r="B69" s="103" t="inlineStr">
        <is>
          <t xml:space="preserve">Андижон филиали</t>
        </is>
      </c>
      <c r="C69" s="103" t="inlineStr">
        <is>
          <t xml:space="preserve">Ko'tardi</t>
        </is>
      </c>
      <c r="D69" s="103" t="inlineStr">
        <is>
          <t xml:space="preserve">Кр-99033808-2</t>
        </is>
      </c>
      <c r="E69" s="103" t="inlineStr">
        <is>
          <t xml:space="preserve">NASIRDINOV MANOPJON PATTAYEVICH</t>
        </is>
      </c>
      <c r="F69" s="103" t="inlineStr">
        <is>
          <t xml:space="preserve">998931053080 SMS O’ZI meva sotadi , 998900000000 SMS, +998916126328 SMS O’ZI, 998916031864 SMS O’ZI2, 998943877760 SMS O’G’LI,</t>
        </is>
      </c>
      <c r="G69" s="103" t="inlineStr">
        <is>
          <t xml:space="preserve">ANDIJON VILOYATI ANDIJON TUMANI GUMBAZ MFY  SHODIYONA KO’CHASI 65-UY</t>
        </is>
      </c>
      <c r="H69" s="104">
        <v>3.0</v>
      </c>
      <c r="I69" s="104">
        <v>6302586.28</v>
      </c>
      <c r="K69" s="103" t="inlineStr">
        <is>
          <t xml:space="preserve">oyni oxirida tolaydi</t>
        </is>
      </c>
    </row>
    <row r="70">
      <c r="A70" s="103" t="inlineStr">
        <is>
          <t xml:space="preserve">АНДИЖОН ВИЛОЯТИ</t>
        </is>
      </c>
      <c r="B70" s="103" t="inlineStr">
        <is>
          <t xml:space="preserve">Андижон филиали</t>
        </is>
      </c>
      <c r="C70" s="103" t="inlineStr">
        <is>
          <t xml:space="preserve">Ko'tardi</t>
        </is>
      </c>
      <c r="D70" s="103" t="inlineStr">
        <is>
          <t xml:space="preserve">Кр-99041556-1</t>
        </is>
      </c>
      <c r="E70" s="103" t="inlineStr">
        <is>
          <t xml:space="preserve">OTAKO’ZIYEV XAMIDILLO ZOKIROVICH</t>
        </is>
      </c>
      <c r="F70" s="103" t="inlineStr">
        <is>
          <t xml:space="preserve">+998932417333 SMS OZI, 998700138053 QIZI, 998934466605 AYOLI, 998950751927 QIZI 2,</t>
        </is>
      </c>
      <c r="G70" s="103" t="inlineStr">
        <is>
          <t xml:space="preserve">ЁЛГИЗБОГ-2 МФЙ, ЁЛГИЗБОГ-2 КЎЧАСИ,  72 uy:Р/С</t>
        </is>
      </c>
      <c r="H70" s="104">
        <v>3.0</v>
      </c>
      <c r="I70" s="104">
        <v>6242781.88</v>
      </c>
      <c r="K70" s="103" t="inlineStr">
        <is>
          <t xml:space="preserve">dushanba kuni tolaydi</t>
        </is>
      </c>
    </row>
    <row r="71">
      <c r="A71" s="103" t="inlineStr">
        <is>
          <t xml:space="preserve">АНДИЖОН ВИЛОЯТИ</t>
        </is>
      </c>
      <c r="B71" s="103" t="inlineStr">
        <is>
          <t xml:space="preserve">Андижон филиали</t>
        </is>
      </c>
      <c r="C71" s="103" t="inlineStr">
        <is>
          <t xml:space="preserve">Ko'tardi</t>
        </is>
      </c>
      <c r="D71" s="103" t="inlineStr">
        <is>
          <t xml:space="preserve">Кр-99057092-3</t>
        </is>
      </c>
      <c r="E71" s="103" t="inlineStr">
        <is>
          <t xml:space="preserve">RUSTAMOVA MOXIDILXON YULDASHBOYEVNA</t>
        </is>
      </c>
      <c r="F71" s="103" t="inlineStr">
        <is>
          <t xml:space="preserve">998972357072 SMS OZI, 998931021911 SMS OGLI, 998873225757 SMS OGLI 2, 998881771514 SMS OGLI 3,</t>
        </is>
      </c>
      <c r="G71" s="103" t="inlineStr">
        <is>
          <t xml:space="preserve">ANDIJON VILOYATI PAXTAOBOD TUMANI DO’NGQISHLOQ MFY SAMOVIY KO’CHASI 122-UY</t>
        </is>
      </c>
      <c r="H71" s="104">
        <v>3.0</v>
      </c>
      <c r="I71" s="104">
        <v>5900159.15</v>
      </c>
      <c r="K71" s="103" t="inlineStr">
        <is>
          <t xml:space="preserve">dushanba kuni tolaydi</t>
        </is>
      </c>
    </row>
    <row r="72">
      <c r="A72" s="103" t="inlineStr">
        <is>
          <t xml:space="preserve">АНДИЖОН ВИЛОЯТИ</t>
        </is>
      </c>
      <c r="B72" s="103" t="inlineStr">
        <is>
          <t xml:space="preserve">Андижон филиали</t>
        </is>
      </c>
      <c r="C72" s="103" t="inlineStr">
        <is>
          <t xml:space="preserve">Ko'tardi</t>
        </is>
      </c>
      <c r="D72" s="103" t="inlineStr">
        <is>
          <t xml:space="preserve">Кр-99044950-1</t>
        </is>
      </c>
      <c r="E72" s="103" t="inlineStr">
        <is>
          <t xml:space="preserve">MAMAYUNUSOV SOBIRJON YUSUPOVICH</t>
        </is>
      </c>
      <c r="F72" s="103" t="inlineStr">
        <is>
          <t xml:space="preserve">+998903831002 SMS O’ZI, 998500448004 SMS O’ZI2, 998902202308 SMS QIZI, 998910697782 SMS XO’JAYNI,</t>
        </is>
      </c>
      <c r="G72" s="103" t="inlineStr">
        <is>
          <t xml:space="preserve">АНДИЖОН ВИЛОЯТИ МАРХАМАТ ТУМАНИ ГУЛИСТОН МФЙ, ФИДОКОР КЎЧАСИ,  uy:Р/С</t>
        </is>
      </c>
      <c r="H72" s="104">
        <v>3.0</v>
      </c>
      <c r="I72" s="104">
        <v>5706766.21</v>
      </c>
      <c r="K72" s="103" t="inlineStr">
        <is>
          <t xml:space="preserve">dushanba kuni tolaydi</t>
        </is>
      </c>
    </row>
    <row r="73">
      <c r="A73" s="103" t="inlineStr">
        <is>
          <t xml:space="preserve">АНДИЖОН ВИЛОЯТИ</t>
        </is>
      </c>
      <c r="B73" s="103" t="inlineStr">
        <is>
          <t xml:space="preserve">Андижон филиали</t>
        </is>
      </c>
      <c r="C73" s="103" t="inlineStr">
        <is>
          <t xml:space="preserve">Ko'tardi</t>
        </is>
      </c>
      <c r="D73" s="103" t="inlineStr">
        <is>
          <t xml:space="preserve">Кр-99058901-2</t>
        </is>
      </c>
      <c r="E73" s="103" t="inlineStr">
        <is>
          <t xml:space="preserve">ABDURASULOVA ARAPATXON ASHURALIYEVNA</t>
        </is>
      </c>
      <c r="F73" s="103" t="inlineStr">
        <is>
          <t xml:space="preserve">+998975727678 SMS O’ZI, 998885737678 SMS KELINI, 998933527678 SMS O’G’LI, 998975831504 SMS O’ZI2,</t>
        </is>
      </c>
      <c r="G73" s="103" t="inlineStr">
        <is>
          <t xml:space="preserve">ANDIJON VILOYATI QO’RG’ONTEPA TUMANI SAVAY BIRLIK MFY ISLOXAT KO’CHASI 37-YU</t>
        </is>
      </c>
      <c r="H73" s="104">
        <v>3.0</v>
      </c>
      <c r="I73" s="104">
        <v>5151377.53</v>
      </c>
      <c r="K73" s="103" t="inlineStr">
        <is>
          <t xml:space="preserve">dushanba kuni tolaydi</t>
        </is>
      </c>
    </row>
    <row r="74">
      <c r="A74" s="103" t="inlineStr">
        <is>
          <t xml:space="preserve">АНДИЖОН ВИЛОЯТИ</t>
        </is>
      </c>
      <c r="B74" s="103" t="inlineStr">
        <is>
          <t xml:space="preserve">Андижон филиали</t>
        </is>
      </c>
      <c r="C74" s="103" t="inlineStr">
        <is>
          <t xml:space="preserve">Ko'tardi</t>
        </is>
      </c>
      <c r="D74" s="103" t="inlineStr">
        <is>
          <t xml:space="preserve">Кр-99062778-2</t>
        </is>
      </c>
      <c r="E74" s="103" t="inlineStr">
        <is>
          <t xml:space="preserve">SODIQOV KOMOLDIN USMONOVICH</t>
        </is>
      </c>
      <c r="F74" s="103" t="inlineStr">
        <is>
          <t xml:space="preserve">+998979727278 SMS O’G’LI TO’LOVCHI, 998772987278 SMS AYOLI, 998930657161 SMS O’ZI, 998947060694 SMS QIZI,</t>
        </is>
      </c>
      <c r="G74" s="103" t="inlineStr">
        <is>
          <t xml:space="preserve">ANDIJON VILOYATI  OLTINKO’L TUMANI TEMIRXO’JA MFY TEMIRXO’JA KO’CHASI 638-UY</t>
        </is>
      </c>
      <c r="H74" s="104">
        <v>3.0</v>
      </c>
      <c r="I74" s="104">
        <v>5033250.03</v>
      </c>
      <c r="K74" s="103" t="inlineStr">
        <is>
          <t xml:space="preserve">uyini sotuvga qoydi sotib yopadi</t>
        </is>
      </c>
    </row>
    <row r="75">
      <c r="A75" s="103" t="inlineStr">
        <is>
          <t xml:space="preserve">АНДИЖОН ВИЛОЯТИ</t>
        </is>
      </c>
      <c r="B75" s="103" t="inlineStr">
        <is>
          <t xml:space="preserve">Андижон филиали</t>
        </is>
      </c>
      <c r="C75" s="103" t="inlineStr">
        <is>
          <t xml:space="preserve">Ko'tardi</t>
        </is>
      </c>
      <c r="D75" s="103" t="inlineStr">
        <is>
          <t xml:space="preserve">Кр-99063242-1</t>
        </is>
      </c>
      <c r="E75" s="103" t="inlineStr">
        <is>
          <t xml:space="preserve">ZULUNOV ILXOMJON INOMJONOVICH</t>
        </is>
      </c>
      <c r="F75" s="103" t="inlineStr">
        <is>
          <t xml:space="preserve">998938761212 SMS O’G’LI, 998939761212 SMS O’ZI, 998975811212 SMS AYOLI, 998979821212 SMS O’ZI,</t>
        </is>
      </c>
      <c r="G75" s="103" t="inlineStr">
        <is>
          <t xml:space="preserve">ANDIJON VILOYATI  ANDIJON TUMANI QUM KO’CHA MFY, QUM KO’CHA   KO’CHASI 42-UY</t>
        </is>
      </c>
      <c r="H75" s="104">
        <v>6.0</v>
      </c>
      <c r="I75" s="104">
        <v>5030519.9</v>
      </c>
      <c r="K75" s="103" t="inlineStr">
        <is>
          <t xml:space="preserve">ogli oldi ozi adirda ekan antina chiqmas ekan</t>
        </is>
      </c>
    </row>
    <row r="76">
      <c r="A76" s="103" t="inlineStr">
        <is>
          <t xml:space="preserve">АНДИЖОН ВИЛОЯТИ</t>
        </is>
      </c>
      <c r="B76" s="103" t="inlineStr">
        <is>
          <t xml:space="preserve">Андижон филиали</t>
        </is>
      </c>
      <c r="C76" s="103" t="inlineStr">
        <is>
          <t xml:space="preserve">Ko'tardi</t>
        </is>
      </c>
      <c r="D76" s="103" t="inlineStr">
        <is>
          <t xml:space="preserve">Кр-99046070-1</t>
        </is>
      </c>
      <c r="E76" s="103" t="inlineStr">
        <is>
          <t xml:space="preserve">MADAMINOV UMIDILLO MANSURJON O’G’LI</t>
        </is>
      </c>
      <c r="F76" s="103" t="inlineStr">
        <is>
          <t xml:space="preserve">+998993039777 SMS O’ZI, 998950549306 SMS AYOLI begona , 998979959266 SMS UKASI, 998994069576 SMS ONASI,</t>
        </is>
      </c>
      <c r="G76" s="103" t="inlineStr">
        <is>
          <t xml:space="preserve">Andijon viloyati Paxtaobod tumani  Soybo’yi MFY Soybo’yi ko’chasi, 40-yu</t>
        </is>
      </c>
      <c r="H76" s="104">
        <v>3.0</v>
      </c>
      <c r="I76" s="104">
        <v>4997101.11</v>
      </c>
      <c r="K76" s="103" t="inlineStr">
        <is>
          <t xml:space="preserve">shu hafta hal qiladi</t>
        </is>
      </c>
    </row>
    <row r="77">
      <c r="A77" s="103" t="inlineStr">
        <is>
          <t xml:space="preserve">АНДИЖОН ВИЛОЯТИ</t>
        </is>
      </c>
      <c r="B77" s="103" t="inlineStr">
        <is>
          <t xml:space="preserve">Андижон филиали</t>
        </is>
      </c>
      <c r="C77" s="103" t="inlineStr">
        <is>
          <t xml:space="preserve">Ko'tardi</t>
        </is>
      </c>
      <c r="D77" s="103" t="inlineStr">
        <is>
          <t xml:space="preserve">Кр-99034252-1</t>
        </is>
      </c>
      <c r="E77" s="103" t="inlineStr">
        <is>
          <t xml:space="preserve">ESONOV RAVSHAN XOLDAROVICH</t>
        </is>
      </c>
      <c r="F77" s="103" t="inlineStr">
        <is>
          <t xml:space="preserve">998501043170 SMS O’ZI, 998887711099 SMS AYOLI, 998990891219 SMS JIYANI, 998979817500 SMS  I  OZI EKAN ,</t>
        </is>
      </c>
      <c r="G77" s="103" t="inlineStr">
        <is>
          <t xml:space="preserve">ANDIJON VILOYATI SHAXRIXON TUMANI NAYNAVO MFY QORABO’YIN 2 KO’CHASI 39-UY</t>
        </is>
      </c>
      <c r="H77" s="104">
        <v>2.0</v>
      </c>
      <c r="I77" s="104">
        <v>4920102.1</v>
      </c>
      <c r="K77" s="103" t="inlineStr">
        <is>
          <t xml:space="preserve">993019176 ozi</t>
        </is>
      </c>
    </row>
    <row r="78">
      <c r="A78" s="103" t="inlineStr">
        <is>
          <t xml:space="preserve">АНДИЖОН ВИЛОЯТИ</t>
        </is>
      </c>
      <c r="B78" s="103" t="inlineStr">
        <is>
          <t xml:space="preserve">Андижон филиали</t>
        </is>
      </c>
      <c r="C78" s="103" t="inlineStr">
        <is>
          <t xml:space="preserve">Ko'tardi</t>
        </is>
      </c>
      <c r="D78" s="103" t="inlineStr">
        <is>
          <t xml:space="preserve">Кр-99041217-3</t>
        </is>
      </c>
      <c r="E78" s="103" t="inlineStr">
        <is>
          <t xml:space="preserve">MAMATQULOVA ARAPAT ABDIRASHIDOVNA</t>
        </is>
      </c>
      <c r="F78" s="103" t="inlineStr">
        <is>
          <t xml:space="preserve">998951010159 SMS O’ZI, 998940898185 SMS O’G’LI, 998959020123 SMS KELINI, 998998018591 SMS UYI,</t>
        </is>
      </c>
      <c r="G78" s="103" t="inlineStr">
        <is>
          <t xml:space="preserve">ANDIJON VILOYATI IZBOSKAN TUMANI BOTIROBOD MFY, SAXOVAT  KO’CHASI 62-UY</t>
        </is>
      </c>
      <c r="H78" s="104">
        <v>3.0</v>
      </c>
      <c r="I78" s="104">
        <v>4795662.0</v>
      </c>
      <c r="K78" s="103" t="inlineStr">
        <is>
          <t xml:space="preserve">15 kunga tolaydi</t>
        </is>
      </c>
    </row>
    <row r="79">
      <c r="A79" s="103" t="inlineStr">
        <is>
          <t xml:space="preserve">АНДИЖОН ВИЛОЯТИ</t>
        </is>
      </c>
      <c r="B79" s="103" t="inlineStr">
        <is>
          <t xml:space="preserve">Андижон филиали</t>
        </is>
      </c>
      <c r="C79" s="103" t="inlineStr">
        <is>
          <t xml:space="preserve">Оплатил дозвон</t>
        </is>
      </c>
      <c r="D79" s="103" t="inlineStr">
        <is>
          <t xml:space="preserve">Кр-99062635-2</t>
        </is>
      </c>
      <c r="E79" s="103" t="inlineStr">
        <is>
          <t xml:space="preserve">USMANOVA GULNOZA SHAVKATOVNA</t>
        </is>
      </c>
      <c r="F79" s="103" t="inlineStr">
        <is>
          <t xml:space="preserve">+998914907321 SMS O’ZI, 998500551620 SMS SINGLISI, 998889933833 SMS QIZI, 998946978207 SMS ONASI, 998500231621 SMS Tolovchi O'zi,</t>
        </is>
      </c>
      <c r="G79" s="103" t="inlineStr">
        <is>
          <t xml:space="preserve">Andijon viloyati Xo’jaobod tumani  Mustaqillikning 27-yilligi MFY Obod ko’chasi, 67a-yu</t>
        </is>
      </c>
      <c r="H79" s="104">
        <v>6.0</v>
      </c>
      <c r="I79" s="104">
        <v>4359925.6</v>
      </c>
      <c r="J79" s="104">
        <v>4359925.6</v>
      </c>
    </row>
    <row r="80">
      <c r="A80" s="103" t="inlineStr">
        <is>
          <t xml:space="preserve">АНДИЖОН ВИЛОЯТИ</t>
        </is>
      </c>
      <c r="B80" s="103" t="inlineStr">
        <is>
          <t xml:space="preserve">Андижон филиали</t>
        </is>
      </c>
      <c r="C80" s="103" t="inlineStr">
        <is>
          <t xml:space="preserve">Ko'tardi</t>
        </is>
      </c>
      <c r="D80" s="103" t="inlineStr">
        <is>
          <t xml:space="preserve">Кр-99042844-1</t>
        </is>
      </c>
      <c r="E80" s="103" t="inlineStr">
        <is>
          <t xml:space="preserve">NORMATOV OTABEK OLIMJANOVICH</t>
        </is>
      </c>
      <c r="F80" s="103" t="inlineStr">
        <is>
          <t xml:space="preserve">+998975555785 SMS O’ZI, 998930757991 SMS ONASI, 998940767991 SMS UKASI, 998997813005 SMS DADASI,</t>
        </is>
      </c>
      <c r="G80" s="103" t="inlineStr">
        <is>
          <t xml:space="preserve">АНДИЖОН ВИЛОЯТИ АНДИЖОН ШАХРИ А.БАКИРОВ МФЙ, А.БАКИРОВ МФЙ, О.ХУЖАЕВ,  uy:5</t>
        </is>
      </c>
      <c r="H80" s="104">
        <v>3.0</v>
      </c>
      <c r="I80" s="104">
        <v>4343424.2</v>
      </c>
      <c r="K80" s="103" t="inlineStr">
        <is>
          <t xml:space="preserve">shu hafta hal qiladi</t>
        </is>
      </c>
    </row>
    <row r="81">
      <c r="A81" s="103" t="inlineStr">
        <is>
          <t xml:space="preserve">АНДИЖОН ВИЛОЯТИ</t>
        </is>
      </c>
      <c r="B81" s="103" t="inlineStr">
        <is>
          <t xml:space="preserve">Андижон филиали</t>
        </is>
      </c>
      <c r="C81" s="103" t="inlineStr">
        <is>
          <t xml:space="preserve">Оплатил дозвон</t>
        </is>
      </c>
      <c r="D81" s="103" t="inlineStr">
        <is>
          <t xml:space="preserve">Кр-99033630-6</t>
        </is>
      </c>
      <c r="E81" s="103" t="inlineStr">
        <is>
          <t xml:space="preserve">ODAMBOYEVA NAZOKAT QAXRAMON QIZI</t>
        </is>
      </c>
      <c r="F81" s="103" t="inlineStr">
        <is>
          <t xml:space="preserve">998505729393 SMS O’ZI, 998934349373 SMS KELINOYISI, 998994418804 SMS AKASI, 998940615252 SMS QARINDOSHI, +998501956662 SMS O’ZI, 998934258424 SMS POCHCHASI, 998946653675 SMS XOLASI,</t>
        </is>
      </c>
      <c r="G81" s="103" t="inlineStr">
        <is>
          <t xml:space="preserve">ANDIJON VILOYATI XO’JAOBOD TUMANI MUSTAQILLIKNING 27 YILLIGI MFY OBOD 1-TOR KO’CHASI 9-UY</t>
        </is>
      </c>
      <c r="H81" s="104">
        <v>3.0</v>
      </c>
      <c r="I81" s="104">
        <v>3866352.0</v>
      </c>
      <c r="J81" s="104">
        <v>3866352.0</v>
      </c>
    </row>
    <row r="82">
      <c r="A82" s="103" t="inlineStr">
        <is>
          <t xml:space="preserve">АНДИЖОН ВИЛОЯТИ</t>
        </is>
      </c>
      <c r="B82" s="103" t="inlineStr">
        <is>
          <t xml:space="preserve">Андижон филиали</t>
        </is>
      </c>
      <c r="C82" s="103" t="inlineStr">
        <is>
          <t xml:space="preserve">Ko'tardi</t>
        </is>
      </c>
      <c r="D82" s="103" t="inlineStr">
        <is>
          <t xml:space="preserve">Кр-99041828-1</t>
        </is>
      </c>
      <c r="E82" s="103" t="inlineStr">
        <is>
          <t xml:space="preserve">USMANOVA BARCHINOY MARIBDJANOVNA</t>
        </is>
      </c>
      <c r="F82" s="103" t="inlineStr">
        <is>
          <t xml:space="preserve">+998901725077 SMS O’ZI, 998918763778 SMS OPASI, 998932860631 SMS QIZI, 998954801056 SMS QAYNIONASI,</t>
        </is>
      </c>
      <c r="G82" s="103" t="inlineStr">
        <is>
          <t xml:space="preserve">Андижанская область, Ходжаабадский район, Янги фаргона МСГ, ул. Янгифарғона, дом 79</t>
        </is>
      </c>
      <c r="H82" s="104">
        <v>3.0</v>
      </c>
      <c r="I82" s="104">
        <v>3742396.32</v>
      </c>
      <c r="K82" s="103" t="inlineStr">
        <is>
          <t xml:space="preserve">dushanba kuni tolaydi</t>
        </is>
      </c>
    </row>
    <row r="83">
      <c r="A83" s="103" t="inlineStr">
        <is>
          <t xml:space="preserve">АНДИЖОН ВИЛОЯТИ</t>
        </is>
      </c>
      <c r="B83" s="103" t="inlineStr">
        <is>
          <t xml:space="preserve">Андижон филиали</t>
        </is>
      </c>
      <c r="C83" s="103" t="inlineStr">
        <is>
          <t xml:space="preserve">Ko'tardi</t>
        </is>
      </c>
      <c r="D83" s="103" t="inlineStr">
        <is>
          <t xml:space="preserve">Кр-99039414-1</t>
        </is>
      </c>
      <c r="E83" s="103" t="inlineStr">
        <is>
          <t xml:space="preserve">MIRZAJONOV XAYITBOY ANVAROVICH</t>
        </is>
      </c>
      <c r="F83" s="103" t="inlineStr">
        <is>
          <t xml:space="preserve">+998933404344 SMS O’ZI, 998889870570 SMS AKASI, 998947571189 SMS AYOLI, 998973393911 SMS ONASI,</t>
        </is>
      </c>
      <c r="G83" s="103" t="inlineStr">
        <is>
          <t xml:space="preserve">ANDIJON VILOYATI ASAKA TUMANI  BIRLIK MFY SHODLIK KO’CHASI 181-UY</t>
        </is>
      </c>
      <c r="H83" s="104">
        <v>3.0</v>
      </c>
      <c r="I83" s="104">
        <v>3709180.13</v>
      </c>
      <c r="K83" s="103" t="inlineStr">
        <is>
          <t xml:space="preserve">bugun 3 mln toladi qolganini keyingi hafta hal qiladi</t>
        </is>
      </c>
    </row>
    <row r="84">
      <c r="A84" s="103" t="inlineStr">
        <is>
          <t xml:space="preserve">АНДИЖОН ВИЛОЯТИ</t>
        </is>
      </c>
      <c r="B84" s="103" t="inlineStr">
        <is>
          <t xml:space="preserve">Андижон филиали</t>
        </is>
      </c>
      <c r="C84" s="103" t="inlineStr">
        <is>
          <t xml:space="preserve">Ko'tardi</t>
        </is>
      </c>
      <c r="D84" s="103" t="inlineStr">
        <is>
          <t xml:space="preserve">Кр-99029097-1</t>
        </is>
      </c>
      <c r="E84" s="103" t="inlineStr">
        <is>
          <t xml:space="preserve">MAVLANOVA MUXAYYOXON KAXARDJANOVNA</t>
        </is>
      </c>
      <c r="F84" s="103" t="inlineStr">
        <is>
          <t xml:space="preserve">95-988-30-07  SMS TO’LOVCHI, 90-766-61-62  SMS AYOLI, 99-340-57-54  SMS O’G’LI, 90-763-53-23-  SMS O’G’LI, 998772484980 SMS opasi  tolovchi new,</t>
        </is>
      </c>
      <c r="G84" s="103" t="inlineStr">
        <is>
          <t xml:space="preserve">ANDIJON VILOYATI ANDIJON SHAHAR OBOD MFY LOYIXAVIY KO’CHASI 3B-UY</t>
        </is>
      </c>
      <c r="H84" s="104">
        <v>3.0</v>
      </c>
      <c r="I84" s="104">
        <v>3629264.03</v>
      </c>
      <c r="K84" s="103" t="inlineStr">
        <is>
          <t xml:space="preserve">xar doim oyni oxirida tolaydi</t>
        </is>
      </c>
    </row>
    <row r="85">
      <c r="A85" s="103" t="inlineStr">
        <is>
          <t xml:space="preserve">АНДИЖОН ВИЛОЯТИ</t>
        </is>
      </c>
      <c r="B85" s="103" t="inlineStr">
        <is>
          <t xml:space="preserve">Андижон филиали</t>
        </is>
      </c>
      <c r="C85" s="103" t="inlineStr">
        <is>
          <t xml:space="preserve">Ko'tardi</t>
        </is>
      </c>
      <c r="D85" s="103" t="inlineStr">
        <is>
          <t xml:space="preserve">Кр-99045554-1</t>
        </is>
      </c>
      <c r="E85" s="103" t="inlineStr">
        <is>
          <t xml:space="preserve">G’OFUROV ABDULLAJON OMONOVICH</t>
        </is>
      </c>
      <c r="F85" s="103" t="inlineStr">
        <is>
          <t xml:space="preserve">998934395830 SMS TO’LOVCHI, 998939735040 SMS AYYOLI tel qilinmasin , 998941060696 SMS O’ZI, 998944395830 SMS TO’LOVCHI,</t>
        </is>
      </c>
      <c r="G85" s="103" t="inlineStr">
        <is>
          <t xml:space="preserve">Сегаза МФЙ, Сегаза кучаси, 109-уй</t>
        </is>
      </c>
      <c r="H85" s="104">
        <v>3.0</v>
      </c>
      <c r="I85" s="104">
        <v>3352959.06</v>
      </c>
      <c r="K85" s="103" t="inlineStr">
        <is>
          <t xml:space="preserve">chorshanba kuni oylik oladi</t>
        </is>
      </c>
    </row>
    <row r="86">
      <c r="A86" s="103" t="inlineStr">
        <is>
          <t xml:space="preserve">АНДИЖОН ВИЛОЯТИ</t>
        </is>
      </c>
      <c r="B86" s="103" t="inlineStr">
        <is>
          <t xml:space="preserve">Андижон филиали</t>
        </is>
      </c>
      <c r="C86" s="103" t="inlineStr">
        <is>
          <t xml:space="preserve">Оплатил дозвон</t>
        </is>
      </c>
      <c r="D86" s="103" t="inlineStr">
        <is>
          <t xml:space="preserve">Кр-99033630-5</t>
        </is>
      </c>
      <c r="E86" s="103" t="inlineStr">
        <is>
          <t xml:space="preserve">ODAMBOYEVA NAZOKAT QAXRAMON QIZI</t>
        </is>
      </c>
      <c r="F86" s="103" t="inlineStr">
        <is>
          <t xml:space="preserve">998505729393 SMS O’ZI, 998934349373 SMS KELINOYISI, 998994418804 SMS AKASI, 998940615252 SMS QARINDOSHI, +998501956662 SMS O’ZI, 998934258424 SMS POCHCHASI, 998946653675 SMS XOLASI,</t>
        </is>
      </c>
      <c r="G86" s="103" t="inlineStr">
        <is>
          <t xml:space="preserve">ANDIJON VILOYATI XO’JAOBOD TUMANI MUSTAQILLIKNING 27 YILLIGI MFY OBOD 1-TOR KO’CHASI 9-UY</t>
        </is>
      </c>
      <c r="H86" s="104">
        <v>3.0</v>
      </c>
      <c r="I86" s="104">
        <v>3247845.36</v>
      </c>
      <c r="J86" s="104">
        <v>3247845.36</v>
      </c>
    </row>
    <row r="87">
      <c r="A87" s="103" t="inlineStr">
        <is>
          <t xml:space="preserve">АНДИЖОН ВИЛОЯТИ</t>
        </is>
      </c>
      <c r="B87" s="103" t="inlineStr">
        <is>
          <t xml:space="preserve">Андижон филиали</t>
        </is>
      </c>
      <c r="C87" s="103" t="inlineStr">
        <is>
          <t xml:space="preserve">Ko'tardi</t>
        </is>
      </c>
      <c r="D87" s="103" t="inlineStr">
        <is>
          <t xml:space="preserve">Кр-99029207-1</t>
        </is>
      </c>
      <c r="E87" s="103" t="inlineStr">
        <is>
          <t xml:space="preserve">SOBIROVA SADOQATOY RAXIMJON QIZI</t>
        </is>
      </c>
      <c r="F87" s="103" t="inlineStr">
        <is>
          <t xml:space="preserve">94-542-12-54  SMS TOLOVCHI, 93-849-22-52  SMS TOLOVCHI XOJAYINI tanmiman ddi , 94-282-31-32  TOLOVCHI ukasi , 95-022-11-55 TOLOVCHIS OGLI,</t>
        </is>
      </c>
      <c r="G87" s="103" t="inlineStr">
        <is>
          <t xml:space="preserve">ANDIJON VILOYATI PAXTAOBOD TUMANI AXILLIK MFY AXILLIK KO’CHASI 4-UY</t>
        </is>
      </c>
      <c r="H87" s="104">
        <v>1.0</v>
      </c>
      <c r="I87" s="104">
        <v>3245773.2</v>
      </c>
      <c r="K87" s="103" t="inlineStr">
        <is>
          <t xml:space="preserve">20 gacha hal qiladi</t>
        </is>
      </c>
    </row>
    <row r="88">
      <c r="A88" s="103" t="inlineStr">
        <is>
          <t xml:space="preserve">АНДИЖОН ВИЛОЯТИ</t>
        </is>
      </c>
      <c r="B88" s="103" t="inlineStr">
        <is>
          <t xml:space="preserve">Андижон филиали</t>
        </is>
      </c>
      <c r="C88" s="103" t="inlineStr">
        <is>
          <t xml:space="preserve">Ko'tardi</t>
        </is>
      </c>
      <c r="D88" s="103" t="inlineStr">
        <is>
          <t xml:space="preserve">Кр-99064106-1</t>
        </is>
      </c>
      <c r="E88" s="103" t="inlineStr">
        <is>
          <t xml:space="preserve">NISHANOVA JANONXON XXX</t>
        </is>
      </c>
      <c r="F88" s="103" t="inlineStr">
        <is>
          <t xml:space="preserve">998880595093 SMS KELINI, 998902589657 SMS O’ZI, 998904775682 SMS QIZI, 998930514263 SMS O’G’LI,</t>
        </is>
      </c>
      <c r="G88" s="103" t="inlineStr">
        <is>
          <t xml:space="preserve">ANDIJON VILOYATI  JALAQUDUQ TUMANI NAMUNA MFY MUSTAQILLIK KO’CHASI 16-UY</t>
        </is>
      </c>
      <c r="H88" s="104">
        <v>3.0</v>
      </c>
      <c r="I88" s="104">
        <v>3051857.44</v>
      </c>
      <c r="K88" s="103" t="inlineStr">
        <is>
          <t xml:space="preserve">ertaga ertalab tolaydi</t>
        </is>
      </c>
    </row>
    <row r="89">
      <c r="A89" s="103" t="inlineStr">
        <is>
          <t xml:space="preserve">АНДИЖОН ВИЛОЯТИ</t>
        </is>
      </c>
      <c r="B89" s="103" t="inlineStr">
        <is>
          <t xml:space="preserve">Андижон филиали</t>
        </is>
      </c>
      <c r="C89" s="103" t="inlineStr">
        <is>
          <t xml:space="preserve">Ko'tardi</t>
        </is>
      </c>
      <c r="D89" s="103" t="inlineStr">
        <is>
          <t xml:space="preserve">Кр-99048763-2</t>
        </is>
      </c>
      <c r="E89" s="103" t="inlineStr">
        <is>
          <t xml:space="preserve">ISLOMOV ABRORBEK MAMATAZIZ O’G’LI</t>
        </is>
      </c>
      <c r="F89" s="103" t="inlineStr">
        <is>
          <t xml:space="preserve">+998940981995 SMS O’ZI, 998934103343 SMS DO’STI ISAQJON, 998936130195 SMS AKASI, 998979040713 SMS AYOLI,</t>
        </is>
      </c>
      <c r="G89" s="103" t="inlineStr">
        <is>
          <t xml:space="preserve">ANDIJON VILOYATI BULOQBOSHI TUMANI NEFTCHILAR MFY KONCHILAR KO’CHASI 31-UY</t>
        </is>
      </c>
      <c r="H89" s="104">
        <v>3.0</v>
      </c>
      <c r="I89" s="104">
        <v>2795889.2</v>
      </c>
      <c r="K89" s="103" t="inlineStr">
        <is>
          <t xml:space="preserve">keyingi hafta seshanba kuni</t>
        </is>
      </c>
    </row>
    <row r="90">
      <c r="A90" s="103" t="inlineStr">
        <is>
          <t xml:space="preserve">АНДИЖОН ВИЛОЯТИ</t>
        </is>
      </c>
      <c r="B90" s="103" t="inlineStr">
        <is>
          <t xml:space="preserve">Андижон филиали</t>
        </is>
      </c>
      <c r="C90" s="103" t="inlineStr">
        <is>
          <t xml:space="preserve">Обещали</t>
        </is>
      </c>
      <c r="D90" s="103" t="inlineStr">
        <is>
          <t xml:space="preserve">Кр-99012626-3</t>
        </is>
      </c>
      <c r="E90" s="103" t="inlineStr">
        <is>
          <t xml:space="preserve">ISMOILOVA MUHAYYOXON RUSTAMOVNA</t>
        </is>
      </c>
      <c r="F90" s="103" t="inlineStr">
        <is>
          <t xml:space="preserve">93-394-73-75 SMS OZI, 99-818-79-36 sms, +998938020802 SMS O’GLI, 998933132236 SMS QIZI, 998933947375 SMS ONASI, 998993132236 SMS QIZI,</t>
        </is>
      </c>
      <c r="G90" s="103" t="inlineStr">
        <is>
          <t xml:space="preserve">ANDIJON VILOYATI QO’RG’ONTEPA TUMANI QORASUV SHAHAR M.ULUG’BEK MFY KAMALAK KO’CHASI 7-UY</t>
        </is>
      </c>
      <c r="H90" s="104">
        <v>3.0</v>
      </c>
      <c r="I90" s="104">
        <v>2788273.93</v>
      </c>
      <c r="K90" s="103" t="inlineStr">
        <is>
          <t xml:space="preserve">erta tolaydi</t>
        </is>
      </c>
    </row>
    <row r="91">
      <c r="A91" s="103" t="inlineStr">
        <is>
          <t xml:space="preserve">АНДИЖОН ВИЛОЯТИ</t>
        </is>
      </c>
      <c r="B91" s="103" t="inlineStr">
        <is>
          <t xml:space="preserve">Андижон филиали</t>
        </is>
      </c>
      <c r="C91" s="103" t="inlineStr">
        <is>
          <t xml:space="preserve">Ko'tardi</t>
        </is>
      </c>
      <c r="D91" s="103" t="inlineStr">
        <is>
          <t xml:space="preserve">Кр-99031409-1</t>
        </is>
      </c>
      <c r="E91" s="103" t="inlineStr">
        <is>
          <t xml:space="preserve">DILMURODOV MANSURBEK DILMUROD O’G’LI</t>
        </is>
      </c>
      <c r="F91" s="103" t="inlineStr">
        <is>
          <t xml:space="preserve">91-611-00-86  SMS O’ZI, 91-490-57-74  SMS AYOLI, 93-782-37-77  SMS TO’LOVCHI, 90-205-00-50  SMS UKASI,</t>
        </is>
      </c>
      <c r="G91" s="103" t="inlineStr">
        <is>
          <t xml:space="preserve">ANDIJON VILOYATI XO’JAOBOD  TUMANI CHIM BULOQ MFY YANGI CHEK KO’CHASI 9-UY</t>
        </is>
      </c>
      <c r="H91" s="104">
        <v>6.0</v>
      </c>
      <c r="I91" s="104">
        <v>2753384.05</v>
      </c>
      <c r="K91" s="103" t="inlineStr">
        <is>
          <t xml:space="preserve">oyni oxirida tolaydi</t>
        </is>
      </c>
    </row>
    <row r="92">
      <c r="A92" s="103" t="inlineStr">
        <is>
          <t xml:space="preserve">АНДИЖОН ВИЛОЯТИ</t>
        </is>
      </c>
      <c r="B92" s="103" t="inlineStr">
        <is>
          <t xml:space="preserve">Андижон филиали</t>
        </is>
      </c>
      <c r="C92" s="103" t="inlineStr">
        <is>
          <t xml:space="preserve">Ko'tardi</t>
        </is>
      </c>
      <c r="D92" s="103" t="inlineStr">
        <is>
          <t xml:space="preserve">Кр-99031551-1</t>
        </is>
      </c>
      <c r="E92" s="103" t="inlineStr">
        <is>
          <t xml:space="preserve">XOLMIRZAYEVA ORZIXON JURABOY QIZI</t>
        </is>
      </c>
      <c r="F92" s="103" t="inlineStr">
        <is>
          <t xml:space="preserve">99-794-17-77   SMS O'ZI, 33-253-55-55  SMS XO’JAYNI, 99-431-17-77  SMS ONASI, 90-253-09-99  SMS XO’JAYNI2,</t>
        </is>
      </c>
      <c r="G92" s="103" t="inlineStr">
        <is>
          <t xml:space="preserve">ANDIJON VILOYATI ANDIJON SHAHAR 3-KICHIK DAXA 9-UY 53-XONADON </t>
        </is>
      </c>
      <c r="H92" s="104">
        <v>2.0</v>
      </c>
      <c r="I92" s="104">
        <v>2668953.47</v>
      </c>
      <c r="K92" s="103" t="inlineStr">
        <is>
          <t xml:space="preserve">bugun erta hal qiladi</t>
        </is>
      </c>
    </row>
    <row r="93">
      <c r="A93" s="103" t="inlineStr">
        <is>
          <t xml:space="preserve">АНДИЖОН ВИЛОЯТИ</t>
        </is>
      </c>
      <c r="B93" s="103" t="inlineStr">
        <is>
          <t xml:space="preserve">Андижон филиали</t>
        </is>
      </c>
      <c r="C93" s="103" t="inlineStr">
        <is>
          <t xml:space="preserve">Ko'tardi</t>
        </is>
      </c>
      <c r="D93" s="103" t="inlineStr">
        <is>
          <t xml:space="preserve">Кр-99062720-1</t>
        </is>
      </c>
      <c r="E93" s="103" t="inlineStr">
        <is>
          <t xml:space="preserve">MAMIRJONOV JAXONGIRBEK ULUG’BEK O’G’LI</t>
        </is>
      </c>
      <c r="F93" s="103" t="inlineStr">
        <is>
          <t xml:space="preserve">+998979950099 SMS O’ZI, 998770001047 SMS OPASI, 998881449400 SMS AYOLI, 998934158780 SMS OPASI,</t>
        </is>
      </c>
      <c r="G93" s="103" t="inlineStr">
        <is>
          <t xml:space="preserve">ANDIJON VILOYATI  ANDIJON SHAHAR BUYUK IPAK YO’LI MFY Q. NIYOZIY KO’CHASI 11-UY</t>
        </is>
      </c>
      <c r="H93" s="104">
        <v>6.0</v>
      </c>
      <c r="I93" s="104">
        <v>2460093.96</v>
      </c>
      <c r="K93" s="103" t="inlineStr">
        <is>
          <t xml:space="preserve">shu hafta hal qiladi</t>
        </is>
      </c>
    </row>
    <row r="94">
      <c r="A94" s="103" t="inlineStr">
        <is>
          <t xml:space="preserve">АНДИЖОН ВИЛОЯТИ</t>
        </is>
      </c>
      <c r="B94" s="103" t="inlineStr">
        <is>
          <t xml:space="preserve">Андижон филиали</t>
        </is>
      </c>
      <c r="C94" s="103" t="inlineStr">
        <is>
          <t xml:space="preserve">Оплатил дозвон</t>
        </is>
      </c>
      <c r="D94" s="103" t="inlineStr">
        <is>
          <t xml:space="preserve">Кр-99029219-1</t>
        </is>
      </c>
      <c r="E94" s="103" t="inlineStr">
        <is>
          <t xml:space="preserve">XUSANBOYEVA NARGIZA XOLMUROD QIZI</t>
        </is>
      </c>
      <c r="F94" s="103" t="inlineStr">
        <is>
          <t xml:space="preserve">998507163988 SMS OZI TULOVCHISI, 93-061-98-00  SMS ERI TULOVCHISI, 94-425-98-92  SMS OZI TULOVCHISI, 93-429-12-09 SMS ONASI, 998507163998 SMS ozi new ,</t>
        </is>
      </c>
      <c r="G94" s="103" t="inlineStr">
        <is>
          <t xml:space="preserve">ANDIJON TUMANI MARXAMAT TUMANI DURAFSHON KOCHASI DONISHMAND KOCHASI 8-UY</t>
        </is>
      </c>
      <c r="H94" s="104">
        <v>1.0</v>
      </c>
      <c r="I94" s="104">
        <v>2120319.3</v>
      </c>
      <c r="J94" s="104">
        <v>2120319.3</v>
      </c>
      <c r="K94" s="103" t="inlineStr">
        <is>
          <t xml:space="preserve">bugun yopadi</t>
        </is>
      </c>
    </row>
    <row r="95">
      <c r="A95" s="103" t="inlineStr">
        <is>
          <t xml:space="preserve">АНДИЖОН ВИЛОЯТИ</t>
        </is>
      </c>
      <c r="B95" s="103" t="inlineStr">
        <is>
          <t xml:space="preserve">Андижон филиали</t>
        </is>
      </c>
      <c r="C95" s="103" t="inlineStr">
        <is>
          <t xml:space="preserve">Оплатил дозвон</t>
        </is>
      </c>
      <c r="D95" s="103" t="inlineStr">
        <is>
          <t xml:space="preserve">Кр-99031618-1</t>
        </is>
      </c>
      <c r="E95" s="103" t="inlineStr">
        <is>
          <t xml:space="preserve">DJUMAYEV OZODBEK XOSHIMJON O’G’LI</t>
        </is>
      </c>
      <c r="F95" s="103" t="inlineStr">
        <is>
          <t xml:space="preserve">88-046-01-09  SMS O’ZI , 94-536-25-36  SMS AYOLI, 99-849-09-58  SMS UKASI, 77-072-11-63  SMS DADASI,</t>
        </is>
      </c>
      <c r="G95" s="103" t="inlineStr">
        <is>
          <t xml:space="preserve">ANDIJON VILOYATI ASAKA TUMANI TURON MFY XOJI KO’CHASI 67-UY</t>
        </is>
      </c>
      <c r="H95" s="104">
        <v>2.0</v>
      </c>
      <c r="I95" s="104">
        <v>1933119.93</v>
      </c>
      <c r="J95" s="104">
        <v>1933119.93</v>
      </c>
    </row>
    <row r="96">
      <c r="A96" s="103" t="inlineStr">
        <is>
          <t xml:space="preserve">АНДИЖОН ВИЛОЯТИ</t>
        </is>
      </c>
      <c r="B96" s="103" t="inlineStr">
        <is>
          <t xml:space="preserve">Андижон филиали</t>
        </is>
      </c>
      <c r="C96" s="103" t="inlineStr">
        <is>
          <t xml:space="preserve">Ko'tardi</t>
        </is>
      </c>
      <c r="D96" s="103" t="inlineStr">
        <is>
          <t xml:space="preserve">Кр-99033888-4</t>
        </is>
      </c>
      <c r="E96" s="103" t="inlineStr">
        <is>
          <t xml:space="preserve">SULTONOVA MUXARRAMXON YAKUBJONOVNA</t>
        </is>
      </c>
      <c r="F96" s="103" t="inlineStr">
        <is>
          <t xml:space="preserve">998938172205 SMS O’ZI, 998947761538 SMS O’GLI, 998914889988 SMS JIYANI BOBUR, 988934259689 SMS O’G’LI, +998938172205 SMS O’ZI, 998509706498 SMS O’G’LI, 998934259689 SMS O’G’LI,</t>
        </is>
      </c>
      <c r="G96" s="103" t="inlineStr">
        <is>
          <t xml:space="preserve">ANDIJON VILOYATI ASAKA TUMANI DO’STLIK MFY  ISLOMOBOD KO’CHASI 4- TOR 3-UY</t>
        </is>
      </c>
      <c r="H96" s="104">
        <v>3.0</v>
      </c>
      <c r="I96" s="104">
        <v>1907355.24</v>
      </c>
      <c r="K96" s="103" t="inlineStr">
        <is>
          <t xml:space="preserve">15 ga tolaydi</t>
        </is>
      </c>
    </row>
    <row r="97">
      <c r="A97" s="103" t="inlineStr">
        <is>
          <t xml:space="preserve">АНДИЖОН ВИЛОЯТИ</t>
        </is>
      </c>
      <c r="B97" s="103" t="inlineStr">
        <is>
          <t xml:space="preserve">Андижон филиали</t>
        </is>
      </c>
      <c r="C97" s="103" t="inlineStr">
        <is>
          <t xml:space="preserve">Ko'tardi</t>
        </is>
      </c>
      <c r="D97" s="103" t="inlineStr">
        <is>
          <t xml:space="preserve">Кр-99044378-2</t>
        </is>
      </c>
      <c r="E97" s="103" t="inlineStr">
        <is>
          <t xml:space="preserve">SHOKIROV NURULLO AXMADULLAYEVICH</t>
        </is>
      </c>
      <c r="F97" s="103" t="inlineStr">
        <is>
          <t xml:space="preserve">+998914912216 SMS O’ZI, 998770387887 SMS QIZI tel qilinmasin, 998779630238 SMS AYOLI , 998931144480 SMS O’G’LI,</t>
        </is>
      </c>
      <c r="G97" s="103" t="inlineStr">
        <is>
          <t xml:space="preserve">АНДИЖОН ВИЛОЯТИ АНДИЖОН ШАХРИ МАДАНИЯТ МФЙ, Т.КЕЛДИЕВ,  uy:102</t>
        </is>
      </c>
      <c r="H97" s="104">
        <v>3.0</v>
      </c>
      <c r="I97" s="104">
        <v>1891511.92</v>
      </c>
      <c r="K97" s="103" t="inlineStr">
        <is>
          <t xml:space="preserve">kelasi hafta hal qiladi</t>
        </is>
      </c>
    </row>
    <row r="98">
      <c r="A98" s="103" t="inlineStr">
        <is>
          <t xml:space="preserve">АНДИЖОН ВИЛОЯТИ</t>
        </is>
      </c>
      <c r="B98" s="103" t="inlineStr">
        <is>
          <t xml:space="preserve">Андижон филиали</t>
        </is>
      </c>
      <c r="C98" s="103" t="inlineStr">
        <is>
          <t xml:space="preserve">Ko'tardi</t>
        </is>
      </c>
      <c r="D98" s="103" t="inlineStr">
        <is>
          <t xml:space="preserve">Кр-99028633-2</t>
        </is>
      </c>
      <c r="E98" s="103" t="inlineStr">
        <is>
          <t xml:space="preserve">XOLMATOV DONIYORBEK NABIJONOVICH</t>
        </is>
      </c>
      <c r="F98" s="103" t="inlineStr">
        <is>
          <t xml:space="preserve">99-153-13-75  SMS O'ZI  begona , 93-241-56-41  SMS AYOLI, 95-107-44-45  SMS OGLI, 95-991-96-60  SMS AKASI, +998991717513 SMS O’ZI, 998501703355 SMS O’G’LI, 998932415641 SMS AYOLI, 998959919660 SMS AKASI,</t>
        </is>
      </c>
      <c r="G98" s="103" t="inlineStr">
        <is>
          <t xml:space="preserve">Андижанская область, Алтынкульский район, Шарк юлдузи МСГ, ул.  Улугбек, дом 384</t>
        </is>
      </c>
      <c r="H98" s="104">
        <v>3.0</v>
      </c>
      <c r="I98" s="104">
        <v>1867599.75</v>
      </c>
      <c r="K98" s="103" t="inlineStr">
        <is>
          <t xml:space="preserve">kdushanba kuni yopadi</t>
        </is>
      </c>
    </row>
    <row r="99">
      <c r="A99" s="103" t="inlineStr">
        <is>
          <t xml:space="preserve">АНДИЖОН ВИЛОЯТИ</t>
        </is>
      </c>
      <c r="B99" s="103" t="inlineStr">
        <is>
          <t xml:space="preserve">Андижон филиали</t>
        </is>
      </c>
      <c r="C99" s="103" t="inlineStr">
        <is>
          <t xml:space="preserve">Ko'tardi</t>
        </is>
      </c>
      <c r="D99" s="103" t="inlineStr">
        <is>
          <t xml:space="preserve">Кр-99004621-4</t>
        </is>
      </c>
      <c r="E99" s="103" t="inlineStr">
        <is>
          <t xml:space="preserve">NADIROV MURODJON BAXRAMJON O’G’LI</t>
        </is>
      </c>
      <c r="F99" s="103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99" s="103" t="inlineStr">
        <is>
          <t xml:space="preserve">Саноат МФЙ, А.Йулдошев 1 тор кучаси, 37-уй</t>
        </is>
      </c>
      <c r="H99" s="104">
        <v>3.0</v>
      </c>
      <c r="I99" s="104">
        <v>1691247.04</v>
      </c>
      <c r="K99" s="103" t="inlineStr">
        <is>
          <t xml:space="preserve">17 kuni tolaydi ortogi tolab beryapti ozi kasal avarya bolgan</t>
        </is>
      </c>
    </row>
    <row r="100">
      <c r="A100" s="103" t="inlineStr">
        <is>
          <t xml:space="preserve">АНДИЖОН ВИЛОЯТИ</t>
        </is>
      </c>
      <c r="B100" s="103" t="inlineStr">
        <is>
          <t xml:space="preserve">Андижон филиали</t>
        </is>
      </c>
      <c r="C100" s="103" t="inlineStr">
        <is>
          <t xml:space="preserve">Ko'tardi</t>
        </is>
      </c>
      <c r="D100" s="103" t="inlineStr">
        <is>
          <t xml:space="preserve">Кр-99041191-1</t>
        </is>
      </c>
      <c r="E100" s="103" t="inlineStr">
        <is>
          <t xml:space="preserve">SHOXINAZAROV ABDULLOH AZIZBEK O’G’LI</t>
        </is>
      </c>
      <c r="F100" s="103" t="inlineStr">
        <is>
          <t xml:space="preserve">+998880662277 SMS O’ZI, 998881005751 SMS ONASI, 998931005751 SMS DADASI, 998970272127 SMS DO’STI MUXAMMADSOLIQ,</t>
        </is>
      </c>
      <c r="G100" s="103" t="inlineStr">
        <is>
          <t xml:space="preserve">Экин тикин МФЙ, Шафтолизор кучаси, 252-уй</t>
        </is>
      </c>
      <c r="H100" s="104">
        <v>3.0</v>
      </c>
      <c r="I100" s="104">
        <v>1572715.35</v>
      </c>
      <c r="K100" s="103" t="inlineStr">
        <is>
          <t xml:space="preserve">20 ga tolab beradi</t>
        </is>
      </c>
    </row>
    <row r="101">
      <c r="A101" s="103" t="inlineStr">
        <is>
          <t xml:space="preserve">АНДИЖОН ВИЛОЯТИ</t>
        </is>
      </c>
      <c r="B101" s="103" t="inlineStr">
        <is>
          <t xml:space="preserve">Андижон филиали</t>
        </is>
      </c>
      <c r="C101" s="103" t="inlineStr">
        <is>
          <t xml:space="preserve">Ko'tardi</t>
        </is>
      </c>
      <c r="D101" s="103" t="inlineStr">
        <is>
          <t xml:space="preserve">Кр-99030503-1</t>
        </is>
      </c>
      <c r="E101" s="103" t="inlineStr">
        <is>
          <t xml:space="preserve">ERGASHEV ZIYOIDDIN GULAMOVICH</t>
        </is>
      </c>
      <c r="F101" s="103" t="inlineStr">
        <is>
          <t xml:space="preserve">74-226-03-32 SMS  UY, 88-964-63-03 SMS  JIYANI, 998937807979 SMS new ozi ,</t>
        </is>
      </c>
      <c r="G101" s="103" t="inlineStr">
        <is>
          <t xml:space="preserve">ANDIJON VILOYATI ANDIJON SHAHARANDIJON MFY KZU 13 KO’CHASI 1-UY 54-XONADON</t>
        </is>
      </c>
      <c r="H101" s="104">
        <v>1.0</v>
      </c>
      <c r="I101" s="104">
        <v>1404736.86</v>
      </c>
      <c r="K101" s="103" t="inlineStr">
        <is>
          <t xml:space="preserve">15 gacha tolaydi</t>
        </is>
      </c>
    </row>
    <row r="102">
      <c r="A102" s="103" t="inlineStr">
        <is>
          <t xml:space="preserve">АНДИЖОН ВИЛОЯТИ</t>
        </is>
      </c>
      <c r="B102" s="103" t="inlineStr">
        <is>
          <t xml:space="preserve">Андижон филиали</t>
        </is>
      </c>
      <c r="C102" s="103" t="inlineStr">
        <is>
          <t xml:space="preserve">Ko'tardi</t>
        </is>
      </c>
      <c r="D102" s="103" t="inlineStr">
        <is>
          <t xml:space="preserve">Кр-99040518-3</t>
        </is>
      </c>
      <c r="E102" s="103" t="inlineStr">
        <is>
          <t xml:space="preserve">ERMATOV RAFUK SADIKOVICH</t>
        </is>
      </c>
      <c r="F102" s="103" t="inlineStr">
        <is>
          <t xml:space="preserve">998958722721 SMS OZI, 998950441777 SMS AYOLI, 998950361777 SMS QIZI, +998958722721 SMS O’ZI,</t>
        </is>
      </c>
      <c r="G102" s="103" t="inlineStr">
        <is>
          <t xml:space="preserve">ANDIJON VILOYATI  ANDIJON SHAHAR   O’ZBEKISTON MFY, TUKAYEVA KO’CHASI, 51-UY</t>
        </is>
      </c>
      <c r="H102" s="104">
        <v>3.0</v>
      </c>
      <c r="I102" s="104">
        <v>1394151.64</v>
      </c>
      <c r="K102" s="103" t="inlineStr">
        <is>
          <t xml:space="preserve">kelasi hafta chorshanba kuni</t>
        </is>
      </c>
    </row>
    <row r="103">
      <c r="A103" s="103" t="inlineStr">
        <is>
          <t xml:space="preserve">АНДИЖОН ВИЛОЯТИ</t>
        </is>
      </c>
      <c r="B103" s="103" t="inlineStr">
        <is>
          <t xml:space="preserve">Андижон филиали</t>
        </is>
      </c>
      <c r="C103" s="103" t="inlineStr">
        <is>
          <t xml:space="preserve">Ko'tardi</t>
        </is>
      </c>
      <c r="D103" s="103" t="inlineStr">
        <is>
          <t xml:space="preserve">Кр-99041939-1</t>
        </is>
      </c>
      <c r="E103" s="103" t="inlineStr">
        <is>
          <t xml:space="preserve">TEMIROVA SOXIBAXON OTAQO’ZIYEVNA</t>
        </is>
      </c>
      <c r="F103" s="103" t="inlineStr">
        <is>
          <t xml:space="preserve">+998772332063 SMS O’ZI, 998932440758 SMS XO’JAYNI, 998932691121 SMS NEVARASI, 998937615500 SMS O’G’LI,</t>
        </is>
      </c>
      <c r="G103" s="103" t="inlineStr">
        <is>
          <t xml:space="preserve">АНДИЖОН ВИЛОЯТИ БАЛИКЧИ ТУМАНИ ЧАРОҒОН МФЙ, ХАМСА КЎЧАСИ,  uy:63</t>
        </is>
      </c>
      <c r="H103" s="104">
        <v>3.0</v>
      </c>
      <c r="I103" s="104">
        <v>1388566.76</v>
      </c>
      <c r="K103" s="103" t="inlineStr">
        <is>
          <t xml:space="preserve">shu hafta hal qiladi</t>
        </is>
      </c>
    </row>
    <row r="104">
      <c r="A104" s="103" t="inlineStr">
        <is>
          <t xml:space="preserve">АНДИЖОН ВИЛОЯТИ</t>
        </is>
      </c>
      <c r="B104" s="103" t="inlineStr">
        <is>
          <t xml:space="preserve">Андижон филиали</t>
        </is>
      </c>
      <c r="C104" s="103" t="inlineStr">
        <is>
          <t xml:space="preserve">Ko'tardi</t>
        </is>
      </c>
      <c r="D104" s="103" t="inlineStr">
        <is>
          <t xml:space="preserve">Кр-99044378-1</t>
        </is>
      </c>
      <c r="E104" s="103" t="inlineStr">
        <is>
          <t xml:space="preserve">SHOKIROV NURULLO AXMADULLAYEVICH</t>
        </is>
      </c>
      <c r="F104" s="103" t="inlineStr">
        <is>
          <t xml:space="preserve">+998914912216 SMS O’ZI, 998770387887 SMS QIZI tel qilinmasin, 998779630238 SMS AYOLI , 998931144480 SMS O’G’LI,</t>
        </is>
      </c>
      <c r="G104" s="103" t="inlineStr">
        <is>
          <t xml:space="preserve">АНДИЖОН ВИЛОЯТИ АНДИЖОН ШАХРИ МАДАНИЯТ МФЙ, Т.КЕЛДИЕВ,  uy:102</t>
        </is>
      </c>
      <c r="H104" s="104">
        <v>3.0</v>
      </c>
      <c r="I104" s="104">
        <v>1356087.52</v>
      </c>
      <c r="K104" s="103" t="inlineStr">
        <is>
          <t xml:space="preserve">shanba kuni tolaydi</t>
        </is>
      </c>
    </row>
    <row r="105">
      <c r="A105" s="103" t="inlineStr">
        <is>
          <t xml:space="preserve">АНДИЖОН ВИЛОЯТИ</t>
        </is>
      </c>
      <c r="B105" s="103" t="inlineStr">
        <is>
          <t xml:space="preserve">Андижон филиали</t>
        </is>
      </c>
      <c r="C105" s="103" t="inlineStr">
        <is>
          <t xml:space="preserve">Ko'tardi</t>
        </is>
      </c>
      <c r="D105" s="103" t="inlineStr">
        <is>
          <t xml:space="preserve">Кр-99040442-1</t>
        </is>
      </c>
      <c r="E105" s="103" t="inlineStr">
        <is>
          <t xml:space="preserve">ABDULLAYEV XOJIAKBAR KOZIMJON O’G’LI</t>
        </is>
      </c>
      <c r="F105" s="103" t="inlineStr">
        <is>
          <t xml:space="preserve">+998886861313 SMS O’ZI, 998882252727 SMS AKASI, 998882495588 SMS KELINOYISI, 998889682727 SMS ONASI,</t>
        </is>
      </c>
      <c r="G105" s="103" t="inlineStr">
        <is>
          <t xml:space="preserve">Андижанская область, Андижон тумани, Гузар МСГ, ул. Пиллакаш, дом 34</t>
        </is>
      </c>
      <c r="H105" s="104">
        <v>3.0</v>
      </c>
      <c r="I105" s="104">
        <v>1246306.59</v>
      </c>
      <c r="K105" s="103" t="inlineStr">
        <is>
          <t xml:space="preserve">kelasi hafta hal qiladi</t>
        </is>
      </c>
    </row>
    <row r="106">
      <c r="A106" s="103" t="inlineStr">
        <is>
          <t xml:space="preserve">АНДИЖОН ВИЛОЯТИ</t>
        </is>
      </c>
      <c r="B106" s="103" t="inlineStr">
        <is>
          <t xml:space="preserve">Андижон филиали</t>
        </is>
      </c>
      <c r="C106" s="103" t="inlineStr">
        <is>
          <t xml:space="preserve">Оплатил дозвон</t>
        </is>
      </c>
      <c r="D106" s="103" t="inlineStr">
        <is>
          <t xml:space="preserve">Кр-99057395-3</t>
        </is>
      </c>
      <c r="E106" s="103" t="inlineStr">
        <is>
          <t xml:space="preserve">SOBIROV AXMADULLOX MUXAMMADJON O’G’LI</t>
        </is>
      </c>
      <c r="F106" s="103" t="inlineStr">
        <is>
          <t xml:space="preserve">998979712424 SMS UZI, 998887527779 AKASI, 998884104045 SMS  KELNOYISI, 998972040525 SMS DADASI, +998979712424 SMS O’ZI, 998942493838 SMS AKASI,</t>
        </is>
      </c>
      <c r="G106" s="103" t="inlineStr">
        <is>
          <t xml:space="preserve">ANDIJON VILOYATI OLTINKO’L TUMANI CHO’NTAK MFY, MUSTAQILLIK  KO’CHASI 227-UY</t>
        </is>
      </c>
      <c r="H106" s="104">
        <v>3.0</v>
      </c>
      <c r="I106" s="104">
        <v>1240769.97</v>
      </c>
      <c r="J106" s="104">
        <v>1240769.97</v>
      </c>
    </row>
    <row r="107">
      <c r="A107" s="103" t="inlineStr">
        <is>
          <t xml:space="preserve">АНДИЖОН ВИЛОЯТИ</t>
        </is>
      </c>
      <c r="B107" s="103" t="inlineStr">
        <is>
          <t xml:space="preserve">Андижон филиали</t>
        </is>
      </c>
      <c r="C107" s="103" t="inlineStr">
        <is>
          <t xml:space="preserve">Ko'tardi</t>
        </is>
      </c>
      <c r="D107" s="103" t="inlineStr">
        <is>
          <t xml:space="preserve">Кр-99027653-1</t>
        </is>
      </c>
      <c r="E107" s="103" t="inlineStr">
        <is>
          <t xml:space="preserve">G’ANIYEV MARDONBEK DILMUROD O’G’LI</t>
        </is>
      </c>
      <c r="F107" s="103" t="inlineStr">
        <is>
          <t xml:space="preserve">97-834-27-17 SMS O'ZI, 99-402-73-17 SMS ZALOGADATEL, 99-494-13-38 SMS KELINOYISI, 91-481-17-11  SMS DO’STI Begona ,</t>
        </is>
      </c>
      <c r="G107" s="103" t="inlineStr">
        <is>
          <t xml:space="preserve">ANDIJON VILOYATI MARXAMAT TUMANI NAVRO’Z MFY CHILONZOR KO’CHASI 114-UY</t>
        </is>
      </c>
      <c r="H107" s="104">
        <v>3.0</v>
      </c>
      <c r="I107" s="104">
        <v>784965.29</v>
      </c>
      <c r="K107" s="103" t="inlineStr">
        <is>
          <t xml:space="preserve">zologatel bn gaplashdim ozi rusda ekan 15 kuni yopadi</t>
        </is>
      </c>
    </row>
    <row r="108">
      <c r="A108" s="103" t="inlineStr">
        <is>
          <t xml:space="preserve">АНДИЖОН ВИЛОЯТИ</t>
        </is>
      </c>
      <c r="B108" s="103" t="inlineStr">
        <is>
          <t xml:space="preserve">Андижон филиали</t>
        </is>
      </c>
      <c r="C108" s="103" t="inlineStr">
        <is>
          <t xml:space="preserve">Ko'tardi</t>
        </is>
      </c>
      <c r="D108" s="103" t="inlineStr">
        <is>
          <t xml:space="preserve">Кр-99041539-2</t>
        </is>
      </c>
      <c r="E108" s="103" t="inlineStr">
        <is>
          <t xml:space="preserve">SHERALIYEV SARDORBEK SODIQJON O’G’LI</t>
        </is>
      </c>
      <c r="F108" s="103" t="inlineStr">
        <is>
          <t xml:space="preserve">998914845776 SMS OZI, 998996325251 SMS AYOLI, 998992425251 SMS ONASI Begona, +998914845776 Primary phone from road24, 998948642717 SMS O’ZI2,</t>
        </is>
      </c>
      <c r="G108" s="103" t="inlineStr">
        <is>
          <t xml:space="preserve">Андижон вилояти  Андижон шахар   Бунёдкор (9-сон) МФЙ, Қўш ариқ дахаси, 46-уй, 15-хонадон</t>
        </is>
      </c>
      <c r="H108" s="104">
        <v>3.0</v>
      </c>
      <c r="I108" s="104">
        <v>743423.15</v>
      </c>
      <c r="K108" s="103" t="inlineStr">
        <is>
          <t xml:space="preserve">15 gacha tolaydi</t>
        </is>
      </c>
    </row>
    <row r="109">
      <c r="A109" s="103" t="inlineStr">
        <is>
          <t xml:space="preserve">АНДИЖОН ВИЛОЯТИ</t>
        </is>
      </c>
      <c r="B109" s="103" t="inlineStr">
        <is>
          <t xml:space="preserve">Андижон филиали</t>
        </is>
      </c>
      <c r="C109" s="103" t="inlineStr">
        <is>
          <t xml:space="preserve">Ko'tardi</t>
        </is>
      </c>
      <c r="D109" s="103" t="inlineStr">
        <is>
          <t xml:space="preserve">Кр-99040426-1</t>
        </is>
      </c>
      <c r="E109" s="103" t="inlineStr">
        <is>
          <t xml:space="preserve">ASHUROV XAYDARJON TOXIROVICH</t>
        </is>
      </c>
      <c r="F109" s="103" t="inlineStr">
        <is>
          <t xml:space="preserve">+998943850661 SMS O’ZI, 998332475047 SMS OPASI, 998906212128 SMS JIYANI, 998952470047 SMS JIYANI, 998906212128 tulovchisi, 998952470047 tulovchisi,</t>
        </is>
      </c>
      <c r="G109" s="103" t="inlineStr">
        <is>
          <t xml:space="preserve">ИСЛОМОБОД МФЙ, НУРЛИ ДИЁР КЎЧАСИ,  uy:Р/С</t>
        </is>
      </c>
      <c r="H109" s="104">
        <v>3.0</v>
      </c>
      <c r="I109" s="104">
        <v>441713.97</v>
      </c>
      <c r="K109" s="103" t="inlineStr">
        <is>
          <t xml:space="preserve">1-2 kunda hal qiladi</t>
        </is>
      </c>
    </row>
    <row r="110">
      <c r="A110" s="103" t="inlineStr">
        <is>
          <t xml:space="preserve">АНДИЖОН ВИЛОЯТИ</t>
        </is>
      </c>
      <c r="B110" s="103" t="inlineStr">
        <is>
          <t xml:space="preserve">Андижон филиали</t>
        </is>
      </c>
      <c r="C110" s="103" t="inlineStr">
        <is>
          <t xml:space="preserve">Ko'tardi</t>
        </is>
      </c>
      <c r="D110" s="103" t="inlineStr">
        <is>
          <t xml:space="preserve">Кр-99027968-3</t>
        </is>
      </c>
      <c r="E110" s="103" t="inlineStr">
        <is>
          <t xml:space="preserve">MAMADJANOV NOZIMJON ODILJANOVICH</t>
        </is>
      </c>
      <c r="F110" s="103" t="inlineStr">
        <is>
          <t xml:space="preserve">99 308-73-75 OZI, 88-991-73-75  SMS O'ZI2, 88-324-10-33  SMS AYOLI, 91-290-02-72  SMS AKASI, +998993087375 SMS O’ZI, 998883241033 SMS O’ZI2, 998912900272 SMS AKASI,</t>
        </is>
      </c>
      <c r="G110" s="103" t="inlineStr">
        <is>
          <t xml:space="preserve">ANDIJON VILOYATI OLTINKO’L TUMANI DALVARZIN MFY DALVARZIN KO’CHASI 295-UY</t>
        </is>
      </c>
      <c r="H110" s="104">
        <v>3.0</v>
      </c>
      <c r="I110" s="104">
        <v>428677.9</v>
      </c>
      <c r="K110" s="103" t="inlineStr">
        <is>
          <t xml:space="preserve">kecha bittasini toladi shu hafta hammasini hal qiladi</t>
        </is>
      </c>
    </row>
    <row r="111">
      <c r="A111" s="103" t="inlineStr">
        <is>
          <t xml:space="preserve">АНДИЖОН ВИЛОЯТИ</t>
        </is>
      </c>
      <c r="B111" s="103" t="inlineStr">
        <is>
          <t xml:space="preserve">Андижон филиали</t>
        </is>
      </c>
      <c r="C111" s="103" t="inlineStr">
        <is>
          <t xml:space="preserve">Ko'tardi</t>
        </is>
      </c>
      <c r="D111" s="103" t="inlineStr">
        <is>
          <t xml:space="preserve">Кр-99028354-1</t>
        </is>
      </c>
      <c r="E111" s="103" t="inlineStr">
        <is>
          <t xml:space="preserve">QUVVATOV SARDORBEK RUSTAMBEKOVICH</t>
        </is>
      </c>
      <c r="F111" s="103" t="inlineStr">
        <is>
          <t xml:space="preserve">99-636-90-00 SMS O'ZI, 95-025-72-03 SMS AMAKISI, 99-905-41-51 SMS XOLASI, 94-905-26-50 SMS JIYANI begana , 998993937057 SMS Klenti 2 nomeri,</t>
        </is>
      </c>
      <c r="G111" s="103" t="inlineStr">
        <is>
          <t xml:space="preserve">ANDIJON VILOYATI O’LTINKO’L TUMANI XONDI BOG’I MFY MASH’AL KO’CHASI 44-UY</t>
        </is>
      </c>
      <c r="H111" s="104">
        <v>2.0</v>
      </c>
      <c r="I111" s="104">
        <v>344313.66</v>
      </c>
      <c r="K111" s="103" t="inlineStr">
        <is>
          <t xml:space="preserve">qoshnisi oldi kechga aloqaga chiqib nomerini olib beradi ekan</t>
        </is>
      </c>
    </row>
    <row r="112">
      <c r="A112" s="103" t="inlineStr">
        <is>
          <t xml:space="preserve">АНДИЖОН ВИЛОЯТИ</t>
        </is>
      </c>
      <c r="B112" s="103" t="inlineStr">
        <is>
          <t xml:space="preserve">Андижон филиали</t>
        </is>
      </c>
      <c r="C112" s="103" t="inlineStr">
        <is>
          <t xml:space="preserve">Ko'tardi</t>
        </is>
      </c>
      <c r="D112" s="103" t="inlineStr">
        <is>
          <t xml:space="preserve">Кр-99057367-2</t>
        </is>
      </c>
      <c r="E112" s="103" t="inlineStr">
        <is>
          <t xml:space="preserve">ERGASHEVA DILBARXON XXX</t>
        </is>
      </c>
      <c r="F112" s="103" t="inlineStr">
        <is>
          <t xml:space="preserve">998955529082 SMS O’ZI TO’LOVCHI, 998935483685 SMS AYOLI, 998950107819 SMS OGLI, 998914993298 SMS QIZI,</t>
        </is>
      </c>
      <c r="G112" s="103" t="inlineStr">
        <is>
          <t xml:space="preserve">ANDIJON VILOYATI BULOQBOSHI TUMANI UCHKO’CHA  MFY PESHQADAM KO’CHASI 6-UY</t>
        </is>
      </c>
      <c r="H112" s="104">
        <v>3.0</v>
      </c>
      <c r="I112" s="104">
        <v>248119.0</v>
      </c>
      <c r="K112" s="103" t="inlineStr">
        <is>
          <t xml:space="preserve">20 gacha hal qiladi</t>
        </is>
      </c>
    </row>
    <row r="113">
      <c r="A113" s="105" t="inlineStr">
        <is>
          <t xml:space="preserve">БУХОРО ВИЛОЯТИ</t>
        </is>
      </c>
      <c r="B113" s="105" t="inlineStr">
        <is>
          <t xml:space="preserve">BOSH OFIS</t>
        </is>
      </c>
      <c r="C113" s="105" t="inlineStr">
        <is>
          <t xml:space="preserve">Обещали</t>
        </is>
      </c>
      <c r="D113" s="105" t="inlineStr">
        <is>
          <t xml:space="preserve">Кр-99039770-2</t>
        </is>
      </c>
      <c r="E113" s="105" t="inlineStr">
        <is>
          <t xml:space="preserve">SAFAROV SANJAR ADIZ O’G’LI</t>
        </is>
      </c>
      <c r="F113" s="105" t="inlineStr">
        <is>
          <t xml:space="preserve">998912403939 SMS OZI TO'LOVCHI SHUNGA TEL QILINSIN, 998935133314 SMS AMAKISI, 998918225456 SMS OTASI, 998942432520 SMS ONASI BEGONA , 998500766902 SMS ONASI,</t>
        </is>
      </c>
      <c r="G113" s="105" t="inlineStr">
        <is>
          <t xml:space="preserve">BUXORO VILOYATI BUXORO TUMANI GULSHANOBOD MFY LEYLAK QISHLOG’I  51-UY</t>
        </is>
      </c>
      <c r="H113" s="106">
        <v>3.0</v>
      </c>
      <c r="I113" s="106">
        <v>770472.71</v>
      </c>
      <c r="K113" s="105" t="inlineStr">
        <is>
          <t xml:space="preserve">BUGUNGA | 886</t>
        </is>
      </c>
    </row>
    <row r="114">
      <c r="A114" s="105" t="inlineStr">
        <is>
          <t xml:space="preserve">БУХОРО ВИЛОЯТИ</t>
        </is>
      </c>
      <c r="B114" s="105" t="inlineStr">
        <is>
          <t xml:space="preserve">BOSH OFIS</t>
        </is>
      </c>
      <c r="C114" s="105" t="inlineStr">
        <is>
          <t xml:space="preserve">Обещали</t>
        </is>
      </c>
      <c r="D114" s="105" t="inlineStr">
        <is>
          <t xml:space="preserve">Кр-99035259-2</t>
        </is>
      </c>
      <c r="E114" s="105" t="inlineStr">
        <is>
          <t xml:space="preserve">QODIROVA SHAHINABONU SHAMSIDDIN QIZI</t>
        </is>
      </c>
      <c r="F114" s="105" t="inlineStr">
        <is>
          <t xml:space="preserve">998902274567 SMS ERI, 998934274567 SMS O’ZI, 998992629989 SMS UKASI бегона , 998883099877 SMS DO’STI, 998944274567 NEW ERI,</t>
        </is>
      </c>
      <c r="G114" s="105" t="inlineStr">
        <is>
          <t xml:space="preserve">BUXORO VILOYATI ROMITAN TUMANI BOG'CHA MFY, BOG'CHA q-q, 138-UY </t>
        </is>
      </c>
      <c r="H114" s="106">
        <v>3.0</v>
      </c>
      <c r="I114" s="106">
        <v>533660.83</v>
      </c>
      <c r="K114" s="105" t="inlineStr">
        <is>
          <t xml:space="preserve">BUGUNGA | 575</t>
        </is>
      </c>
    </row>
    <row r="115">
      <c r="A115" s="107" t="inlineStr">
        <is>
          <t xml:space="preserve">БУХОРО ВИЛОЯТИ</t>
        </is>
      </c>
      <c r="B115" s="107" t="inlineStr">
        <is>
          <t xml:space="preserve">SUPER BRANCH</t>
        </is>
      </c>
      <c r="C115" s="107" t="inlineStr">
        <is>
          <t xml:space="preserve">Обещали</t>
        </is>
      </c>
      <c r="D115" s="107" t="inlineStr">
        <is>
          <t xml:space="preserve">Кр-99040567-1</t>
        </is>
      </c>
      <c r="E115" s="107" t="inlineStr">
        <is>
          <t xml:space="preserve">ACHILOV BOBIR BURONOVICH</t>
        </is>
      </c>
      <c r="F115" s="107" t="inlineStr">
        <is>
          <t xml:space="preserve">998505155499 SMS ONASI, 998931385554 SMS OGLI, 998936205499 SMS OZI,</t>
        </is>
      </c>
      <c r="G115" s="107" t="inlineStr">
        <is>
          <t xml:space="preserve">BUXORO VILOYATI, BUXORO SHAHAR,  MUHAMMAD NARSHAXIY MFY, TOJI KARAYEV KO'CHASI, 86-UY</t>
        </is>
      </c>
      <c r="H115" s="108">
        <v>185.0</v>
      </c>
      <c r="I115" s="108">
        <v>28878874.55</v>
      </c>
      <c r="K115" s="107" t="inlineStr">
        <is>
          <t xml:space="preserve">9CHIDA TO'LEMAN DEDILA | 1048</t>
        </is>
      </c>
    </row>
    <row r="116">
      <c r="A116" s="107" t="inlineStr">
        <is>
          <t xml:space="preserve">БУХОРО ВИЛОЯТИ</t>
        </is>
      </c>
      <c r="B116" s="107" t="inlineStr">
        <is>
          <t xml:space="preserve">SUPER BRANCH</t>
        </is>
      </c>
      <c r="C116" s="107" t="inlineStr">
        <is>
          <t xml:space="preserve">Обещали</t>
        </is>
      </c>
      <c r="D116" s="107" t="inlineStr">
        <is>
          <t xml:space="preserve">Кр-99063363-1</t>
        </is>
      </c>
      <c r="E116" s="107" t="inlineStr">
        <is>
          <t xml:space="preserve">KOMILOVA ZEBO NURIDDINOVNA</t>
        </is>
      </c>
      <c r="F116" s="107" t="inlineStr">
        <is>
          <t xml:space="preserve">998995031288 OZI, 998773127040 JIYANI, 998998621288 ONASI, 998770900005 DOSTI,</t>
        </is>
      </c>
      <c r="G116" s="107" t="inlineStr">
        <is>
          <t xml:space="preserve">BUXORO VILOYATI QORAKUL TUMANI XOJAKON MFY XUNARMANDLAR KO’CHASI 86-UY</t>
        </is>
      </c>
      <c r="H116" s="108">
        <v>3.0</v>
      </c>
      <c r="I116" s="108">
        <v>8915367.85</v>
      </c>
      <c r="K116" s="107" t="inlineStr">
        <is>
          <t xml:space="preserve">TOSHKENTDA WU YERGA KELIB TO;LAYDI 15CHIDA | 2063</t>
        </is>
      </c>
    </row>
    <row r="117">
      <c r="A117" s="107" t="inlineStr">
        <is>
          <t xml:space="preserve">БУХОРО ВИЛОЯТИ</t>
        </is>
      </c>
      <c r="B117" s="107" t="inlineStr">
        <is>
          <t xml:space="preserve">SUPER BRANCH</t>
        </is>
      </c>
      <c r="C117" s="107" t="inlineStr">
        <is>
          <t xml:space="preserve">Обещали</t>
        </is>
      </c>
      <c r="D117" s="107" t="inlineStr">
        <is>
          <t xml:space="preserve">Кр-99062671-3</t>
        </is>
      </c>
      <c r="E117" s="107" t="inlineStr">
        <is>
          <t xml:space="preserve">XAYITOV TO’YMUROT ABDIRAIMOV</t>
        </is>
      </c>
      <c r="F117" s="107" t="inlineStr">
        <is>
          <t xml:space="preserve">998873310787 SMS NEVARASI, 998889660300 SMS UY, 998941260300 SMS O’ZI, 998997540707 SMS O’G’LI,</t>
        </is>
      </c>
      <c r="G117" s="107" t="inlineStr">
        <is>
          <t xml:space="preserve">BUXORO VILOYATI PASHMON MFY PASHMON KO’CHASI 40-UY</t>
        </is>
      </c>
      <c r="H117" s="108">
        <v>3.0</v>
      </c>
      <c r="I117" s="108">
        <v>8123900.85</v>
      </c>
      <c r="K117" s="107" t="inlineStr">
        <is>
          <t xml:space="preserve">FILIALGA BORDI GAPLASHYABDI  BUGUNGA TO'LOV QILIB BERADI EKAN | 1852</t>
        </is>
      </c>
    </row>
    <row r="118">
      <c r="A118" s="107" t="inlineStr">
        <is>
          <t xml:space="preserve">БУХОРО ВИЛОЯТИ</t>
        </is>
      </c>
      <c r="B118" s="107" t="inlineStr">
        <is>
          <t xml:space="preserve">SUPER BRANCH</t>
        </is>
      </c>
      <c r="C118" s="107" t="inlineStr">
        <is>
          <t xml:space="preserve">Обещали</t>
        </is>
      </c>
      <c r="D118" s="107" t="inlineStr">
        <is>
          <t xml:space="preserve">Кр-99059934-1</t>
        </is>
      </c>
      <c r="E118" s="107" t="inlineStr">
        <is>
          <t xml:space="preserve">BOMUROTOVA HALIMA SHOMUROTOVNA</t>
        </is>
      </c>
      <c r="F118" s="107" t="inlineStr">
        <is>
          <t xml:space="preserve">+998937243083 SMS O’ZI begona, 998552258020 SMS O’G’LI, 998943201112 SMS JIYANI, 998996858020 SMS O’G’LI, 998996858020 SMS tulovchi, 998937243083 ,</t>
        </is>
      </c>
      <c r="G118" s="107" t="inlineStr">
        <is>
          <t xml:space="preserve">BUXORO VILOYATI CHANDIR MFY, CHELONG’I QISHLOG’I, 101-UY</t>
        </is>
      </c>
      <c r="H118" s="108">
        <v>6.0</v>
      </c>
      <c r="I118" s="108">
        <v>5342203.19</v>
      </c>
      <c r="K118" s="107" t="inlineStr">
        <is>
          <t xml:space="preserve">8020 BUGUN KECHGACHA TO'LEMAN DEDILA | 1738</t>
        </is>
      </c>
    </row>
    <row r="119">
      <c r="A119" s="107" t="inlineStr">
        <is>
          <t xml:space="preserve">БУХОРО ВИЛОЯТИ</t>
        </is>
      </c>
      <c r="B119" s="107" t="inlineStr">
        <is>
          <t xml:space="preserve">SUPER BRANCH</t>
        </is>
      </c>
      <c r="C119" s="107" t="inlineStr">
        <is>
          <t xml:space="preserve">Обещали</t>
        </is>
      </c>
      <c r="D119" s="107" t="inlineStr">
        <is>
          <t xml:space="preserve">Кр-99057401-1</t>
        </is>
      </c>
      <c r="E119" s="107" t="inlineStr">
        <is>
          <t xml:space="preserve">NASRULLAYEVA GULNORA SAYFULLAYEVNA</t>
        </is>
      </c>
      <c r="F119" s="107" t="inlineStr">
        <is>
          <t xml:space="preserve">998991338646 SMS UZI, 998992971131 SMS OGLI, 998990799421 SMS KELINI, 998999441525 sms qizi,</t>
        </is>
      </c>
      <c r="G119" s="107" t="inlineStr">
        <is>
          <t xml:space="preserve">BUXORO VILOYATI, JONDOR TUMANI, CHORZONA MFY, CHORZONA KO'CHASI, 18B-UY, 1-KORPUS.</t>
        </is>
      </c>
      <c r="I119" s="108">
        <v>4139083.34</v>
      </c>
      <c r="K119" s="107" t="inlineStr">
        <is>
          <t xml:space="preserve">PULI KELISHINI KUTYABDI EKAN KELISHI BN KARTAGA TASHAB BERADI EKAN O'G'LI QISMAN | 1641</t>
        </is>
      </c>
    </row>
    <row r="120">
      <c r="A120" s="107" t="inlineStr">
        <is>
          <t xml:space="preserve">БУХОРО ВИЛОЯТИ</t>
        </is>
      </c>
      <c r="B120" s="107" t="inlineStr">
        <is>
          <t xml:space="preserve">SUPER BRANCH</t>
        </is>
      </c>
      <c r="C120" s="107" t="inlineStr">
        <is>
          <t xml:space="preserve">Обещали</t>
        </is>
      </c>
      <c r="D120" s="107" t="inlineStr">
        <is>
          <t xml:space="preserve">Кр-99033022-1</t>
        </is>
      </c>
      <c r="E120" s="107" t="inlineStr">
        <is>
          <t xml:space="preserve">ASKAROV SHOHBOZ ULUG’BEKOVICH</t>
        </is>
      </c>
      <c r="F120" s="107" t="inlineStr">
        <is>
          <t xml:space="preserve">998944219181 SMS OIZ, 998796441812 SMS OZI 2, 998931971731 SMS AYOLI,</t>
        </is>
      </c>
      <c r="G120" s="107" t="inlineStr">
        <is>
          <t xml:space="preserve">TOSHKENT SHAHAR,  YANGIHAYOT TUMANI,  YANGI DARXON MFY, NAVRO'Z KOCHASI 16-UY</t>
        </is>
      </c>
      <c r="H120" s="108">
        <v>3.0</v>
      </c>
      <c r="I120" s="108">
        <v>3126925.12</v>
      </c>
      <c r="K120" s="107" t="inlineStr">
        <is>
          <t xml:space="preserve">15KUNI TO'LOV QILAMAN OYLIGIMDAN DEDI | 462</t>
        </is>
      </c>
    </row>
    <row r="121">
      <c r="A121" s="107" t="inlineStr">
        <is>
          <t xml:space="preserve">БУХОРО ВИЛОЯТИ</t>
        </is>
      </c>
      <c r="B121" s="107" t="inlineStr">
        <is>
          <t xml:space="preserve">SUPER BRANCH</t>
        </is>
      </c>
      <c r="C121" s="107" t="inlineStr">
        <is>
          <t xml:space="preserve">Оплатил дозвон</t>
        </is>
      </c>
      <c r="D121" s="107" t="inlineStr">
        <is>
          <t xml:space="preserve">Кр-99018891-5</t>
        </is>
      </c>
      <c r="E121" s="107" t="inlineStr">
        <is>
          <t xml:space="preserve">FAXILLOYEVA MOXINUR FOZILOVNA</t>
        </is>
      </c>
      <c r="F121" s="107" t="inlineStr">
        <is>
          <t xml:space="preserve">97-306-16-10  SMS OZI, 90-513-05-03 SMS  ERI  BEGONA , 97-854-75-48  SMS QAYNONA, 91-411-91-88  SMS QAYNOTA, 50-578-16-10 SMS UZI2,</t>
        </is>
      </c>
      <c r="G121" s="107" t="inlineStr">
        <is>
          <t xml:space="preserve">BUXORO VILOYATI BUXORO TUMANI NOVMETAN QFY </t>
        </is>
      </c>
      <c r="H121" s="108">
        <v>3.0</v>
      </c>
      <c r="I121" s="108">
        <v>2655794.88</v>
      </c>
      <c r="J121" s="108">
        <v>2655794.88</v>
      </c>
      <c r="K121" s="107" t="inlineStr">
        <is>
          <t xml:space="preserve">BUGUN 2SOATDA | 98</t>
        </is>
      </c>
    </row>
    <row r="122">
      <c r="A122" s="107" t="inlineStr">
        <is>
          <t xml:space="preserve">БУХОРО ВИЛОЯТИ</t>
        </is>
      </c>
      <c r="B122" s="107" t="inlineStr">
        <is>
          <t xml:space="preserve">SUPER BRANCH</t>
        </is>
      </c>
      <c r="C122" s="107" t="inlineStr">
        <is>
          <t xml:space="preserve">Обещали</t>
        </is>
      </c>
      <c r="D122" s="107" t="inlineStr">
        <is>
          <t xml:space="preserve">Кр-99019690-5</t>
        </is>
      </c>
      <c r="E122" s="107" t="inlineStr">
        <is>
          <t xml:space="preserve">HAYDAROV FURQAT RAXMATILLOYEVICH</t>
        </is>
      </c>
      <c r="F122" s="107" t="inlineStr">
        <is>
          <t xml:space="preserve">97-488-07-66  SMS O'ZI, 88-301-90-93  SMS AKASI, 97-296-06-93  SMS UY, 93-841-53-50  SMS AYOLI, 998505999203 SMS O'ZI2,</t>
        </is>
      </c>
      <c r="G122" s="107" t="inlineStr">
        <is>
          <t xml:space="preserve">BUXORO VILOYAT BUXORO SHAHRI BESHKAPPA KO'CHASI 106 UY</t>
        </is>
      </c>
      <c r="H122" s="108">
        <v>2.0</v>
      </c>
      <c r="I122" s="108">
        <v>2149549.58</v>
      </c>
      <c r="K122" s="107" t="inlineStr">
        <is>
          <t xml:space="preserve">BUGUNGA VADA BERGAN | 106</t>
        </is>
      </c>
    </row>
    <row r="123">
      <c r="A123" s="107" t="inlineStr">
        <is>
          <t xml:space="preserve">БУХОРО ВИЛОЯТИ</t>
        </is>
      </c>
      <c r="B123" s="107" t="inlineStr">
        <is>
          <t xml:space="preserve">SUPER BRANCH</t>
        </is>
      </c>
      <c r="C123" s="107" t="inlineStr">
        <is>
          <t xml:space="preserve">Обещали</t>
        </is>
      </c>
      <c r="D123" s="107" t="inlineStr">
        <is>
          <t xml:space="preserve">Кр-99041320-3</t>
        </is>
      </c>
      <c r="E123" s="107" t="inlineStr">
        <is>
          <t xml:space="preserve">SHODIYEV ULUG’BEK SALIMOVICH</t>
        </is>
      </c>
      <c r="F123" s="107" t="inlineStr">
        <is>
          <t xml:space="preserve">+998914431901 sms o’zi, 998907119935 sms onasi, 998912408206 sms ayoli, 998914471901 sms o’zi 2,</t>
        </is>
      </c>
      <c r="G123" s="107" t="inlineStr">
        <is>
          <t xml:space="preserve">Бухарская область, Гиждуванский район, Соктари МСГ, Соктари, дом 239</t>
        </is>
      </c>
      <c r="H123" s="108">
        <v>3.0</v>
      </c>
      <c r="I123" s="108">
        <v>2080184.35</v>
      </c>
      <c r="K123" s="107" t="inlineStr">
        <is>
          <t xml:space="preserve">XOTINI BN GAPLASHDIM  ERTAGA PULI TUSHADI EKAN TASHAB BERADILA DEDI MALAKA OSHIRISHDA EKAN | 1144</t>
        </is>
      </c>
    </row>
    <row r="124">
      <c r="A124" s="107" t="inlineStr">
        <is>
          <t xml:space="preserve">БУХОРО ВИЛОЯТИ</t>
        </is>
      </c>
      <c r="B124" s="107" t="inlineStr">
        <is>
          <t xml:space="preserve">SUPER BRANCH</t>
        </is>
      </c>
      <c r="C124" s="107" t="inlineStr">
        <is>
          <t xml:space="preserve">Обещали</t>
        </is>
      </c>
      <c r="D124" s="107" t="inlineStr">
        <is>
          <t xml:space="preserve">Кр-99037525-1</t>
        </is>
      </c>
      <c r="E124" s="107" t="inlineStr">
        <is>
          <t xml:space="preserve">ULMASOV RAVSHAN SANJAR O’G’LI</t>
        </is>
      </c>
      <c r="F124" s="107" t="inlineStr">
        <is>
          <t xml:space="preserve">998940800113 SMS UZI2, 998941274505 SMS UZI  O'ZIMIZDA ISHLAYDI ,</t>
        </is>
      </c>
      <c r="G124" s="107" t="inlineStr">
        <is>
          <t xml:space="preserve">SHOFIRKON TUMANI</t>
        </is>
      </c>
      <c r="H124" s="108">
        <v>3.0</v>
      </c>
      <c r="I124" s="108">
        <v>1989716.29</v>
      </c>
      <c r="K124" s="107" t="inlineStr">
        <is>
          <t xml:space="preserve">10KUNI TO'LEMAN DEDILA | 722</t>
        </is>
      </c>
    </row>
    <row r="125">
      <c r="A125" s="107" t="inlineStr">
        <is>
          <t xml:space="preserve">БУХОРО ВИЛОЯТИ</t>
        </is>
      </c>
      <c r="B125" s="107" t="inlineStr">
        <is>
          <t xml:space="preserve">SUPER BRANCH</t>
        </is>
      </c>
      <c r="C125" s="107" t="inlineStr">
        <is>
          <t xml:space="preserve">Обещали</t>
        </is>
      </c>
      <c r="D125" s="107" t="inlineStr">
        <is>
          <t xml:space="preserve">Кр-99057620-1</t>
        </is>
      </c>
      <c r="E125" s="107" t="inlineStr">
        <is>
          <t xml:space="preserve">SADRIDDINOV SAVRIDDIN HUSNIDDIN O’G’LI</t>
        </is>
      </c>
      <c r="F125" s="107" t="inlineStr">
        <is>
          <t xml:space="preserve">998997027515 SMS UZI, 998906367515 SMS OTASI, 998997077515 SMS ONASI, 998918087515 SMS AKASI,</t>
        </is>
      </c>
      <c r="G125" s="107" t="inlineStr">
        <is>
          <t xml:space="preserve">BUXORO VILOYATI VOBKENT TUMANI KO'LXATIB MFY, NAVOIY KO'CHASI, 4-UY </t>
        </is>
      </c>
      <c r="H125" s="108">
        <v>3.0</v>
      </c>
      <c r="I125" s="108">
        <v>1763856.45</v>
      </c>
      <c r="K125" s="107" t="inlineStr">
        <is>
          <t xml:space="preserve">20 KUNI TO'LEMAN DEDI DADASI | 1665</t>
        </is>
      </c>
    </row>
    <row r="126">
      <c r="A126" s="107" t="inlineStr">
        <is>
          <t xml:space="preserve">БУХОРО ВИЛОЯТИ</t>
        </is>
      </c>
      <c r="B126" s="107" t="inlineStr">
        <is>
          <t xml:space="preserve">SUPER BRANCH</t>
        </is>
      </c>
      <c r="C126" s="107" t="inlineStr">
        <is>
          <t xml:space="preserve">Обещали</t>
        </is>
      </c>
      <c r="D126" s="107" t="inlineStr">
        <is>
          <t xml:space="preserve">Кр-99039770-1</t>
        </is>
      </c>
      <c r="E126" s="107" t="inlineStr">
        <is>
          <t xml:space="preserve">SAFAROV SANJAR ADIZ O’G’LI</t>
        </is>
      </c>
      <c r="F126" s="107" t="inlineStr">
        <is>
          <t xml:space="preserve">998912403939 SMS OZI TO'LOVCHI SHUNGA TEL QILINSIN, 998935133314 SMS AMAKISI, 998918225456 SMS OTASI, 998942432520 SMS ONASI BEGONA , 998500766902 SMS ONASI,</t>
        </is>
      </c>
      <c r="G126" s="107" t="inlineStr">
        <is>
          <t xml:space="preserve">BUXORO VILOYATI BUXORO TUMANI GULSHANOBOD MFY LEYLAK QISHLOG’I  51-UY</t>
        </is>
      </c>
      <c r="H126" s="108">
        <v>3.0</v>
      </c>
      <c r="I126" s="108">
        <v>1756556.43</v>
      </c>
      <c r="K126" s="107" t="inlineStr">
        <is>
          <t xml:space="preserve">BUGUNGA | 885</t>
        </is>
      </c>
    </row>
    <row r="127">
      <c r="A127" s="107" t="inlineStr">
        <is>
          <t xml:space="preserve">БУХОРО ВИЛОЯТИ</t>
        </is>
      </c>
      <c r="B127" s="107" t="inlineStr">
        <is>
          <t xml:space="preserve">SUPER BRANCH</t>
        </is>
      </c>
      <c r="C127" s="107" t="inlineStr">
        <is>
          <t xml:space="preserve">Обещали</t>
        </is>
      </c>
      <c r="D127" s="107" t="inlineStr">
        <is>
          <t xml:space="preserve">Кр-99047434-2</t>
        </is>
      </c>
      <c r="E127" s="107" t="inlineStr">
        <is>
          <t xml:space="preserve">UMRZOQOV FAXRIDDIN AXMEDJONOVICH</t>
        </is>
      </c>
      <c r="F127" s="107" t="inlineStr">
        <is>
          <t xml:space="preserve">998959754272 O`ZI, 998941220757 AYOLI, 998945457562 DO`STI, 998959754272 uzi, 998941220757 ayoli, 998945457562 dosti,</t>
        </is>
      </c>
      <c r="G127" s="107" t="inlineStr">
        <is>
          <t xml:space="preserve">Бухоро шахар коракул тумани Мустакиллик 50 уй</t>
        </is>
      </c>
      <c r="H127" s="108">
        <v>3.0</v>
      </c>
      <c r="I127" s="108">
        <v>1525958.94</v>
      </c>
      <c r="K127" s="107" t="inlineStr">
        <is>
          <t xml:space="preserve">10 OYLIKDAN FILIALGA TO'LEMAN TELEFON QILISHEZ WARTMAS UNGACHA DEDILA | 1382</t>
        </is>
      </c>
    </row>
    <row r="128">
      <c r="A128" s="107" t="inlineStr">
        <is>
          <t xml:space="preserve">БУХОРО ВИЛОЯТИ</t>
        </is>
      </c>
      <c r="B128" s="107" t="inlineStr">
        <is>
          <t xml:space="preserve">SUPER BRANCH</t>
        </is>
      </c>
      <c r="C128" s="107" t="inlineStr">
        <is>
          <t xml:space="preserve">Обещали</t>
        </is>
      </c>
      <c r="D128" s="107" t="inlineStr">
        <is>
          <t xml:space="preserve">Кр-99019690-6</t>
        </is>
      </c>
      <c r="E128" s="107" t="inlineStr">
        <is>
          <t xml:space="preserve">HAYDAROV FURQAT RAXMATILLOYEVICH</t>
        </is>
      </c>
      <c r="F128" s="107" t="inlineStr">
        <is>
          <t xml:space="preserve">97-488-07-66  SMS O'ZI, 88-301-90-93  SMS AKASI, 97-296-06-93  SMS UY, 93-841-53-50  SMS AYOLI, 998505999203 SMS O'ZI2,</t>
        </is>
      </c>
      <c r="G128" s="107" t="inlineStr">
        <is>
          <t xml:space="preserve">BUXORO VILOYAT BUXORO SHAHRI BESHKAPPA KO'CHASI 106 UY</t>
        </is>
      </c>
      <c r="H128" s="108">
        <v>3.0</v>
      </c>
      <c r="I128" s="108">
        <v>1119754.69</v>
      </c>
      <c r="K128" s="107" t="inlineStr">
        <is>
          <t xml:space="preserve">BUGUNGA VADA BERGAN | 107</t>
        </is>
      </c>
    </row>
    <row r="129">
      <c r="A129" s="107" t="inlineStr">
        <is>
          <t xml:space="preserve">БУХОРО ВИЛОЯТИ</t>
        </is>
      </c>
      <c r="B129" s="107" t="inlineStr">
        <is>
          <t xml:space="preserve">SUPER BRANCH</t>
        </is>
      </c>
      <c r="C129" s="107" t="inlineStr">
        <is>
          <t xml:space="preserve">Обещали</t>
        </is>
      </c>
      <c r="D129" s="107" t="inlineStr">
        <is>
          <t xml:space="preserve">Кр-99049211-1</t>
        </is>
      </c>
      <c r="E129" s="107" t="inlineStr">
        <is>
          <t xml:space="preserve">ADIZOV AZAMAT SHOYIMOVICH</t>
        </is>
      </c>
      <c r="F129" s="107" t="inlineStr">
        <is>
          <t xml:space="preserve">998940642993 SMS JIYANI  begona , 998942218131 SMS O’ZI, 998978055824 SMS UKASI, 998999767786 SMS AYOLI, 998914412047 SMS OTASI,</t>
        </is>
      </c>
      <c r="G129" s="107" t="inlineStr">
        <is>
          <t xml:space="preserve">GULISTON, DOM 56</t>
        </is>
      </c>
      <c r="H129" s="108">
        <v>3.0</v>
      </c>
      <c r="I129" s="108">
        <v>713214.59</v>
      </c>
      <c r="K129" s="107" t="inlineStr">
        <is>
          <t xml:space="preserve">ERTAGA BUXOROGA QAYTSA TO'LOV QILADI EKAN | 1438</t>
        </is>
      </c>
    </row>
    <row r="130">
      <c r="A130" s="107" t="inlineStr">
        <is>
          <t xml:space="preserve">БУХОРО ВИЛОЯТИ</t>
        </is>
      </c>
      <c r="B130" s="107" t="inlineStr">
        <is>
          <t xml:space="preserve">SUPER BRANCH</t>
        </is>
      </c>
      <c r="C130" s="107" t="inlineStr">
        <is>
          <t xml:space="preserve">Оплатил дозвон</t>
        </is>
      </c>
      <c r="D130" s="107" t="inlineStr">
        <is>
          <t xml:space="preserve">Кр-99041395-2</t>
        </is>
      </c>
      <c r="E130" s="107" t="inlineStr">
        <is>
          <t xml:space="preserve">G’AYBULLOYEVA LAYLO ABDULLO QIZI</t>
        </is>
      </c>
      <c r="F130" s="107" t="inlineStr">
        <is>
          <t xml:space="preserve">998950856644 SMS ERI, 998970153002 SMS ERI 2, 998955250119 SMS ERI2, 998400722322 SMS OZI2, 998997015300 SMS ERI NEW,</t>
        </is>
      </c>
      <c r="G130" s="107" t="inlineStr">
        <is>
          <t xml:space="preserve">TOSHKENT SHAHAR YANGIXAYOT TUMANI YANGIDARXON MFY, 8-UY, 36-XONADON</t>
        </is>
      </c>
      <c r="I130" s="108">
        <v>321272.7</v>
      </c>
      <c r="J130" s="108">
        <v>321272.7</v>
      </c>
      <c r="K130" s="107" t="inlineStr">
        <is>
          <t xml:space="preserve">KO'TARMAYABDI TELEGRAMDAN YOZDIM BUGUN TO'LASHI KERAK | 1161</t>
        </is>
      </c>
    </row>
    <row r="131">
      <c r="A131" s="109" t="inlineStr">
        <is>
          <t xml:space="preserve">БУХОРО ВИЛОЯТИ</t>
        </is>
      </c>
      <c r="B131" s="109" t="inlineStr">
        <is>
          <t xml:space="preserve">Бухоро филиали</t>
        </is>
      </c>
      <c r="C131" s="109" t="inlineStr">
        <is>
          <t xml:space="preserve">Обещали</t>
        </is>
      </c>
      <c r="D131" s="109" t="inlineStr">
        <is>
          <t xml:space="preserve">Кр-99063230-2</t>
        </is>
      </c>
      <c r="E131" s="109" t="inlineStr">
        <is>
          <t xml:space="preserve">NAVRUZOV SHUXRAT NARZULLOYEVICH</t>
        </is>
      </c>
      <c r="F131" s="109" t="inlineStr">
        <is>
          <t xml:space="preserve">998931591550 SMS AYOLI, 998936547339 SMS DO’STI, 998940994344 SMS O’ZI,</t>
        </is>
      </c>
      <c r="G131" s="109" t="inlineStr">
        <is>
          <t xml:space="preserve">Бухарская область, Ромитанский район, Шурабад МСГ, Кантале, дом 6</t>
        </is>
      </c>
      <c r="H131" s="110">
        <v>6.0</v>
      </c>
      <c r="I131" s="110">
        <v>12608581.15</v>
      </c>
      <c r="K131" s="109" t="inlineStr">
        <is>
          <t xml:space="preserve">O'RTOG'I BN GAPLASHDIM OZI TEL QILADI KLENT BUGUNGA VADA BERGAN  ERTAGA | 2036</t>
        </is>
      </c>
    </row>
    <row r="132">
      <c r="A132" s="109" t="inlineStr">
        <is>
          <t xml:space="preserve">БУХОРО ВИЛОЯТИ</t>
        </is>
      </c>
      <c r="B132" s="109" t="inlineStr">
        <is>
          <t xml:space="preserve">Бухоро филиали</t>
        </is>
      </c>
      <c r="C132" s="109" t="inlineStr">
        <is>
          <t xml:space="preserve">Оплатил дозвон</t>
        </is>
      </c>
      <c r="D132" s="109" t="inlineStr">
        <is>
          <t xml:space="preserve">Кр-99063805-1</t>
        </is>
      </c>
      <c r="E132" s="109" t="inlineStr">
        <is>
          <t xml:space="preserve">NASIROVA SANAVAR SHARIFDJANOVNA</t>
        </is>
      </c>
      <c r="F132" s="109" t="inlineStr">
        <is>
          <t xml:space="preserve">+998777630387 SMS O’ZI, 998909710400 SMS O’G’LI, 998996007310 SMS ERI,</t>
        </is>
      </c>
      <c r="G132" s="109" t="inlineStr">
        <is>
          <t xml:space="preserve">BUXORO VILOYATI BUXORO SHAHAR YANGIOBOD MFY YANGIOBOD KO’CHASI 123-UY</t>
        </is>
      </c>
      <c r="H132" s="110">
        <v>3.0</v>
      </c>
      <c r="I132" s="110">
        <v>9936501.68</v>
      </c>
      <c r="J132" s="110">
        <v>9936501.68</v>
      </c>
      <c r="K132" s="109" t="inlineStr">
        <is>
          <t xml:space="preserve">2192</t>
        </is>
      </c>
    </row>
    <row r="133">
      <c r="A133" s="109" t="inlineStr">
        <is>
          <t xml:space="preserve">БУХОРО ВИЛОЯТИ</t>
        </is>
      </c>
      <c r="B133" s="109" t="inlineStr">
        <is>
          <t xml:space="preserve">Бухоро филиали</t>
        </is>
      </c>
      <c r="C133" s="109" t="inlineStr">
        <is>
          <t xml:space="preserve">Обещали</t>
        </is>
      </c>
      <c r="D133" s="109" t="inlineStr">
        <is>
          <t xml:space="preserve">Кр-99062712-3</t>
        </is>
      </c>
      <c r="E133" s="109" t="inlineStr">
        <is>
          <t xml:space="preserve">SAFAROVA MASHHURA MUSTAFOYEVNA</t>
        </is>
      </c>
      <c r="F133" s="109" t="inlineStr">
        <is>
          <t xml:space="preserve">+998949157341 SMS O’ZI, 998502707707 SMS O’G’LI, 998938210222 SMS O’G’LI, 998991201874 SMS ERI,</t>
        </is>
      </c>
      <c r="G133" s="109" t="inlineStr">
        <is>
          <t xml:space="preserve">BUXORO VILOYAT BUXORO SHAHAR PRIDASGIR MFY NAVOIY SHOX KO’CHASI 15/1 19-UY</t>
        </is>
      </c>
      <c r="H133" s="110">
        <v>6.0</v>
      </c>
      <c r="I133" s="110">
        <v>8132303.27</v>
      </c>
      <c r="K133" s="109" t="inlineStr">
        <is>
          <t xml:space="preserve">0222TO'LOVCHI DUWANBADA OYLIGIM TUWADI OWA PAYTI TO'LOV QILAMAN DEDILA | 1870</t>
        </is>
      </c>
    </row>
    <row r="134">
      <c r="A134" s="109" t="inlineStr">
        <is>
          <t xml:space="preserve">БУХОРО ВИЛОЯТИ</t>
        </is>
      </c>
      <c r="B134" s="109" t="inlineStr">
        <is>
          <t xml:space="preserve">Бухоро филиали</t>
        </is>
      </c>
      <c r="C134" s="109" t="inlineStr">
        <is>
          <t xml:space="preserve">Обещали</t>
        </is>
      </c>
      <c r="D134" s="109" t="inlineStr">
        <is>
          <t xml:space="preserve">Кр-99063147-1</t>
        </is>
      </c>
      <c r="E134" s="109" t="inlineStr">
        <is>
          <t xml:space="preserve">YUSUPOV TALGAT RAVILEVICH</t>
        </is>
      </c>
      <c r="F134" s="109" t="inlineStr">
        <is>
          <t xml:space="preserve">+998934589950 SMS O’ZI, 998504052350 SMS AYOLI, 998936202480 SMS QIZI, 998936560151 SMS ONASI,</t>
        </is>
      </c>
      <c r="G134" s="109" t="inlineStr">
        <is>
          <t xml:space="preserve">5-СОН ГАФУР ГУЛОМ НОМЛИ МФЙ, ИФТИХОР КУЧАСИ,  32-UY</t>
        </is>
      </c>
      <c r="H134" s="110">
        <v>3.0</v>
      </c>
      <c r="I134" s="110">
        <v>4833153.35</v>
      </c>
      <c r="K134" s="109" t="inlineStr">
        <is>
          <t xml:space="preserve">10CHIGA | 2016</t>
        </is>
      </c>
    </row>
    <row r="135">
      <c r="A135" s="109" t="inlineStr">
        <is>
          <t xml:space="preserve">БУХОРО ВИЛОЯТИ</t>
        </is>
      </c>
      <c r="B135" s="109" t="inlineStr">
        <is>
          <t xml:space="preserve">Бухоро филиали</t>
        </is>
      </c>
      <c r="C135" s="109" t="inlineStr">
        <is>
          <t xml:space="preserve">Обещали</t>
        </is>
      </c>
      <c r="D135" s="109" t="inlineStr">
        <is>
          <t xml:space="preserve">Кр-99027605-1</t>
        </is>
      </c>
      <c r="E135" s="109" t="inlineStr">
        <is>
          <t xml:space="preserve">BARATOVA MAXFUZA TOLIBOVNA</t>
        </is>
      </c>
      <c r="F135" s="109" t="inlineStr">
        <is>
          <t xml:space="preserve">97-084-88-33 sms O'ZI, 97-080-66-33 sms ERI, 99-775-20-70 sms QAYNI UKASI, 91-441-67-61 sms JIYANI,</t>
        </is>
      </c>
      <c r="G135" s="109" t="inlineStr">
        <is>
          <t xml:space="preserve">BUXORO VILOYATI, KOGON TUMANI, ISTIQBOL MFY, QOTONG'I q-q, 46-UY.</t>
        </is>
      </c>
      <c r="H135" s="110">
        <v>6.0</v>
      </c>
      <c r="I135" s="110">
        <v>3631499.34</v>
      </c>
      <c r="K135" s="109" t="inlineStr">
        <is>
          <t xml:space="preserve">ERI KAPITAL BANKDAN TO'LEMAN DEDI  QAYNONASI KO'TARDI TO'LEMIZ OYLIKDAN DEDI | 237</t>
        </is>
      </c>
    </row>
    <row r="136">
      <c r="A136" s="109" t="inlineStr">
        <is>
          <t xml:space="preserve">БУХОРО ВИЛОЯТИ</t>
        </is>
      </c>
      <c r="B136" s="109" t="inlineStr">
        <is>
          <t xml:space="preserve">Бухоро филиали</t>
        </is>
      </c>
      <c r="C136" s="109" t="inlineStr">
        <is>
          <t xml:space="preserve">Обещали</t>
        </is>
      </c>
      <c r="D136" s="109" t="inlineStr">
        <is>
          <t xml:space="preserve">Кр-99035221-3</t>
        </is>
      </c>
      <c r="E136" s="109" t="inlineStr">
        <is>
          <t xml:space="preserve">SHUKUROV YUNUS UMAROVICH</t>
        </is>
      </c>
      <c r="F136" s="109" t="inlineStr">
        <is>
          <t xml:space="preserve">998990297718 SMS O’ZI, 998996751234 SMS AYOLI, 998992231806 SMS QAYNONASI, 998992947718 SMS ONASI, 998944743193 SMS TO'LOVCHI OPASI ,</t>
        </is>
      </c>
      <c r="G136" s="109" t="inlineStr">
        <is>
          <t xml:space="preserve">Хужа Мушкин МФЙ, Алпомиш кучаси, 13/2-уй, 7-хонадон</t>
        </is>
      </c>
      <c r="H136" s="110">
        <v>3.0</v>
      </c>
      <c r="I136" s="110">
        <v>3369616.75</v>
      </c>
      <c r="K136" s="109" t="inlineStr">
        <is>
          <t xml:space="preserve">944743193 BU OPASI 10KUNI TO'LAYDI | 573</t>
        </is>
      </c>
    </row>
    <row r="137">
      <c r="A137" s="109" t="inlineStr">
        <is>
          <t xml:space="preserve">БУХОРО ВИЛОЯТИ</t>
        </is>
      </c>
      <c r="B137" s="109" t="inlineStr">
        <is>
          <t xml:space="preserve">Бухоро филиали</t>
        </is>
      </c>
      <c r="C137" s="109" t="inlineStr">
        <is>
          <t xml:space="preserve">Обещали</t>
        </is>
      </c>
      <c r="D137" s="109" t="inlineStr">
        <is>
          <t xml:space="preserve">Кр-99062887-2</t>
        </is>
      </c>
      <c r="E137" s="109" t="inlineStr">
        <is>
          <t xml:space="preserve">FAYZIYEV RAUF TESHAYEVICH</t>
        </is>
      </c>
      <c r="F137" s="109" t="inlineStr">
        <is>
          <t xml:space="preserve">+998936832500 SMS O’ZI, 998881162500 SMS QIZI, 998942499966 SMS O’G’LI, 998974889747 SMS O’G’LI, 998936832500 ,</t>
        </is>
      </c>
      <c r="G137" s="109" t="inlineStr">
        <is>
          <t xml:space="preserve">BUXORO VILOYATI ROMITAN TUMANI ROMITAN MFY MUZADUZON QISHLOG’I 138-UY</t>
        </is>
      </c>
      <c r="H137" s="110">
        <v>3.0</v>
      </c>
      <c r="I137" s="110">
        <v>3243848.0</v>
      </c>
      <c r="K137" s="109" t="inlineStr">
        <is>
          <t xml:space="preserve">10CHIDA | 1932</t>
        </is>
      </c>
    </row>
    <row r="138">
      <c r="A138" s="109" t="inlineStr">
        <is>
          <t xml:space="preserve">БУХОРО ВИЛОЯТИ</t>
        </is>
      </c>
      <c r="B138" s="109" t="inlineStr">
        <is>
          <t xml:space="preserve">Бухоро филиали</t>
        </is>
      </c>
      <c r="C138" s="109" t="inlineStr">
        <is>
          <t xml:space="preserve">Обещали</t>
        </is>
      </c>
      <c r="D138" s="109" t="inlineStr">
        <is>
          <t xml:space="preserve">Кр-99040789-2</t>
        </is>
      </c>
      <c r="E138" s="109" t="inlineStr">
        <is>
          <t xml:space="preserve">DJURAYEVA SHAXINABONU ERKIN QIZI</t>
        </is>
      </c>
      <c r="F138" s="109" t="inlineStr">
        <is>
          <t xml:space="preserve">+998882100226 SMS O’ZI, 998772011384 SMS ONASI, 998991035070 SMS OTASI, 998997982977 SMS ZALAGADATEL,</t>
        </is>
      </c>
      <c r="G138" s="109" t="inlineStr">
        <is>
          <t xml:space="preserve">Уртачул МФЙ, Урта-Чул қишлоғи, 26-уй</t>
        </is>
      </c>
      <c r="H138" s="110">
        <v>3.0</v>
      </c>
      <c r="I138" s="110">
        <v>3124983.88</v>
      </c>
      <c r="K138" s="109" t="inlineStr">
        <is>
          <t xml:space="preserve">2977 AMAKISINI O'G'LI AYTAMAN DEDI DADASI ERTAGA DEDILA | 1074</t>
        </is>
      </c>
    </row>
    <row r="139">
      <c r="A139" s="109" t="inlineStr">
        <is>
          <t xml:space="preserve">БУХОРО ВИЛОЯТИ</t>
        </is>
      </c>
      <c r="B139" s="109" t="inlineStr">
        <is>
          <t xml:space="preserve">Бухоро филиали</t>
        </is>
      </c>
      <c r="C139" s="109" t="inlineStr">
        <is>
          <t xml:space="preserve">Обещали</t>
        </is>
      </c>
      <c r="D139" s="109" t="inlineStr">
        <is>
          <t xml:space="preserve">Кр-99027572-1</t>
        </is>
      </c>
      <c r="E139" s="109" t="inlineStr">
        <is>
          <t xml:space="preserve">TO’YBOYEV BEHRUZ LUQMON O’G’LI</t>
        </is>
      </c>
      <c r="F139" s="109" t="inlineStr">
        <is>
          <t xml:space="preserve">99-262-34-44 SMS O'ZI хоразимда харбий , 95-571-45-41  SMS XOTINI, 97-452-30-33  SMS DADASI,</t>
        </is>
      </c>
      <c r="G139" s="109" t="inlineStr">
        <is>
          <t xml:space="preserve">BUXORO VILOYATI G’IJDUVON TUMANI POZAGARI MAXALLASI XARCHXONA KUCHASI 133 UY</t>
        </is>
      </c>
      <c r="H139" s="110">
        <v>6.0</v>
      </c>
      <c r="I139" s="110">
        <v>2991913.93</v>
      </c>
      <c r="K139" s="109" t="inlineStr">
        <is>
          <t xml:space="preserve">RAQAMLARI O'CHIQ TELEGRAMDAN GAPLASHDIM | 236</t>
        </is>
      </c>
    </row>
    <row r="140">
      <c r="A140" s="109" t="inlineStr">
        <is>
          <t xml:space="preserve">БУХОРО ВИЛОЯТИ</t>
        </is>
      </c>
      <c r="B140" s="109" t="inlineStr">
        <is>
          <t xml:space="preserve">Бухоро филиали</t>
        </is>
      </c>
      <c r="C140" s="109" t="inlineStr">
        <is>
          <t xml:space="preserve">Обещали</t>
        </is>
      </c>
      <c r="D140" s="109" t="inlineStr">
        <is>
          <t xml:space="preserve">Кр-99037180-2</t>
        </is>
      </c>
      <c r="E140" s="109" t="inlineStr">
        <is>
          <t xml:space="preserve">YULDASHEVA DILNOZA FAXRIDINOVNA</t>
        </is>
      </c>
      <c r="F140" s="109" t="inlineStr">
        <is>
          <t xml:space="preserve">998914076943 SMS OZI, 998907441349 SMS ERI , 998941250707 SMS JIYANI, 998507056161 SMS AMAKISI, +998914076943 SMS O’ZI,</t>
        </is>
      </c>
      <c r="G140" s="109" t="inlineStr">
        <is>
          <t xml:space="preserve">ИСТИКБОЛ МФЙ, ШУРОБОД, 67-УЙ</t>
        </is>
      </c>
      <c r="H140" s="110">
        <v>3.0</v>
      </c>
      <c r="I140" s="110">
        <v>2801371.73</v>
      </c>
      <c r="K140" s="109" t="inlineStr">
        <is>
          <t xml:space="preserve">BUGUNGA KARTAMDAN YECHADI DEDILA | 703</t>
        </is>
      </c>
    </row>
    <row r="141">
      <c r="A141" s="109" t="inlineStr">
        <is>
          <t xml:space="preserve">БУХОРО ВИЛОЯТИ</t>
        </is>
      </c>
      <c r="B141" s="109" t="inlineStr">
        <is>
          <t xml:space="preserve">Бухоро филиали</t>
        </is>
      </c>
      <c r="C141" s="109" t="inlineStr">
        <is>
          <t xml:space="preserve">Обещали</t>
        </is>
      </c>
      <c r="D141" s="109" t="inlineStr">
        <is>
          <t xml:space="preserve">Кр-99048166-1</t>
        </is>
      </c>
      <c r="E141" s="109" t="inlineStr">
        <is>
          <t xml:space="preserve">KURBANOV DILMUROD TUYMURADOVICH</t>
        </is>
      </c>
      <c r="F141" s="109" t="inlineStr">
        <is>
          <t xml:space="preserve">+998936859009 SMS O’ZI, 998505100034 SMS QIZI, 998931361133 SMS O’G’LI, 998956001133 SMS AYOLI,</t>
        </is>
      </c>
      <c r="G141" s="109" t="inlineStr">
        <is>
          <t xml:space="preserve">BUXORO VILOYATI, BUXORO SHAHAR, IBN SINO MFY, BAHOUDDIN NAQSH BAND KO’CHASI,197-UY, 91-XONADON</t>
        </is>
      </c>
      <c r="H141" s="110">
        <v>3.0</v>
      </c>
      <c r="I141" s="110">
        <v>2499918.75</v>
      </c>
      <c r="K141" s="109" t="inlineStr">
        <is>
          <t xml:space="preserve">DUWANBA KUNI TO'LOV QILAMIZ DEDILA AYOLI O'LOVCHI OWA KUNI PUL KELADI EKAN | 1407</t>
        </is>
      </c>
    </row>
    <row r="142">
      <c r="A142" s="109" t="inlineStr">
        <is>
          <t xml:space="preserve">БУХОРО ВИЛОЯТИ</t>
        </is>
      </c>
      <c r="B142" s="109" t="inlineStr">
        <is>
          <t xml:space="preserve">Бухоро филиали</t>
        </is>
      </c>
      <c r="C142" s="109" t="inlineStr">
        <is>
          <t xml:space="preserve">Обещали</t>
        </is>
      </c>
      <c r="D142" s="109" t="inlineStr">
        <is>
          <t xml:space="preserve">Кр-99062801-1</t>
        </is>
      </c>
      <c r="E142" s="109" t="inlineStr">
        <is>
          <t xml:space="preserve">TILLAYEV OTABEK DJUMAYEVICH</t>
        </is>
      </c>
      <c r="F142" s="109" t="inlineStr">
        <is>
          <t xml:space="preserve">+998914136781 SMS O’ZI, 998873106781 SMS UY, 998883006781 SMS O’G’LI, 998883056781 SMS O’G’LI,</t>
        </is>
      </c>
      <c r="G142" s="109" t="inlineStr">
        <is>
          <t xml:space="preserve">НИЁЗ-ХОЖИ МФЙ, КУРЖАН,</t>
        </is>
      </c>
      <c r="H142" s="110">
        <v>3.0</v>
      </c>
      <c r="I142" s="110">
        <v>2301994.47</v>
      </c>
      <c r="K142" s="109" t="inlineStr">
        <is>
          <t xml:space="preserve">BUGUNGA DEGANDI LEKIN BUGUN 9CHIDA DEDI MUSOBAQADA EKAN | 1896</t>
        </is>
      </c>
    </row>
    <row r="143">
      <c r="A143" s="109" t="inlineStr">
        <is>
          <t xml:space="preserve">БУХОРО ВИЛОЯТИ</t>
        </is>
      </c>
      <c r="B143" s="109" t="inlineStr">
        <is>
          <t xml:space="preserve">Бухоро филиали</t>
        </is>
      </c>
      <c r="C143" s="109" t="inlineStr">
        <is>
          <t xml:space="preserve">Обещали</t>
        </is>
      </c>
      <c r="D143" s="109" t="inlineStr">
        <is>
          <t xml:space="preserve">Кр-99058786-1</t>
        </is>
      </c>
      <c r="E143" s="109" t="inlineStr">
        <is>
          <t xml:space="preserve">TOSHQULOVA DILBAR SHOYIMOVNA</t>
        </is>
      </c>
      <c r="F143" s="109" t="inlineStr">
        <is>
          <t xml:space="preserve">+998993310681 SMS O’ZI, 998336663518 SMS QAYNOTASI, 998946663518 SMS QAYNONASI, 998956001133 SMS QAYNOPASI,</t>
        </is>
      </c>
      <c r="G143" s="109" t="inlineStr">
        <is>
          <t xml:space="preserve">BUXORO VILOYATI G’IJDUVON TUMANI AMIROBOD MFY, AMIROBOD QISHLOG’I 45-UY</t>
        </is>
      </c>
      <c r="H143" s="110">
        <v>3.0</v>
      </c>
      <c r="I143" s="110">
        <v>2171192.22</v>
      </c>
      <c r="K143" s="109" t="inlineStr">
        <is>
          <t xml:space="preserve">ERTAGA ABETGACHA TO'LOV QILIB BERAMAN DEDILA | 1708</t>
        </is>
      </c>
    </row>
    <row r="144">
      <c r="A144" s="109" t="inlineStr">
        <is>
          <t xml:space="preserve">БУХОРО ВИЛОЯТИ</t>
        </is>
      </c>
      <c r="B144" s="109" t="inlineStr">
        <is>
          <t xml:space="preserve">Бухоро филиали</t>
        </is>
      </c>
      <c r="C144" s="109" t="inlineStr">
        <is>
          <t xml:space="preserve">Обещали</t>
        </is>
      </c>
      <c r="D144" s="109" t="inlineStr">
        <is>
          <t xml:space="preserve">Кр-99063872-1</t>
        </is>
      </c>
      <c r="E144" s="109" t="inlineStr">
        <is>
          <t xml:space="preserve">SAFAROV DAVRON FARMONOVICH</t>
        </is>
      </c>
      <c r="F144" s="109" t="inlineStr">
        <is>
          <t xml:space="preserve">+998916492324 SMS O’ZI,</t>
        </is>
      </c>
      <c r="G144" s="109" t="inlineStr">
        <is>
          <t xml:space="preserve">BUXORO VILOYATI JONDOR TUMANI QALMOQ MFY XUMIN QISHLOG’I</t>
        </is>
      </c>
      <c r="H144" s="110">
        <v>3.0</v>
      </c>
      <c r="I144" s="110">
        <v>2092759.85</v>
      </c>
      <c r="K144" s="109" t="inlineStr">
        <is>
          <t xml:space="preserve">BUGUNGA DEDI O'G'LINI YANGI NOMERI QO'SHILDI | 2220</t>
        </is>
      </c>
    </row>
    <row r="145">
      <c r="A145" s="109" t="inlineStr">
        <is>
          <t xml:space="preserve">БУХОРО ВИЛОЯТИ</t>
        </is>
      </c>
      <c r="B145" s="109" t="inlineStr">
        <is>
          <t xml:space="preserve">Бухоро филиали</t>
        </is>
      </c>
      <c r="C145" s="109" t="inlineStr">
        <is>
          <t xml:space="preserve">Обещали</t>
        </is>
      </c>
      <c r="D145" s="109" t="inlineStr">
        <is>
          <t xml:space="preserve">Кр-99062944-1</t>
        </is>
      </c>
      <c r="E145" s="109" t="inlineStr">
        <is>
          <t xml:space="preserve">SAMIYEV DOSTONBEK TAVAKKALZODA</t>
        </is>
      </c>
      <c r="F145" s="109" t="inlineStr">
        <is>
          <t xml:space="preserve">+998882814800 SMS O’ZI, 998505068777 SMS UKASI, 998883064800 SMS UKASI, 998883440311 SMS ONASI,</t>
        </is>
      </c>
      <c r="G145" s="109" t="inlineStr">
        <is>
          <t xml:space="preserve">BUXORO VILOYATI SHOFIRKON TUMANI G’ULOMTE MFY G’ULOMTE QISHLOG’I</t>
        </is>
      </c>
      <c r="H145" s="110">
        <v>3.0</v>
      </c>
      <c r="I145" s="110">
        <v>2090433.0</v>
      </c>
      <c r="K145" s="109" t="inlineStr">
        <is>
          <t xml:space="preserve">ERTAGA TO'LEMAN DEDILA OYLIGIM TUSHSA UKAM FILIALGA OLIB BORADI DEDILA | 1947</t>
        </is>
      </c>
    </row>
    <row r="146">
      <c r="A146" s="109" t="inlineStr">
        <is>
          <t xml:space="preserve">БУХОРО ВИЛОЯТИ</t>
        </is>
      </c>
      <c r="B146" s="109" t="inlineStr">
        <is>
          <t xml:space="preserve">Бухоро филиали</t>
        </is>
      </c>
      <c r="C146" s="109" t="inlineStr">
        <is>
          <t xml:space="preserve">Обещали</t>
        </is>
      </c>
      <c r="D146" s="109" t="inlineStr">
        <is>
          <t xml:space="preserve">Кр-99040399-1</t>
        </is>
      </c>
      <c r="E146" s="109" t="inlineStr">
        <is>
          <t xml:space="preserve">FATULLOYEV RIXSILLO SAYFULLA O’G’LI</t>
        </is>
      </c>
      <c r="F146" s="109" t="inlineStr">
        <is>
          <t xml:space="preserve">+998933163138 SMS O’ZI, 998933019922 SMS AKASI, 998934553785 SMS OTASI, 998943129933 SMS YANGASI,</t>
        </is>
      </c>
      <c r="G146" s="109" t="inlineStr">
        <is>
          <t xml:space="preserve">Бухарская область, Жондоpский район, Жамият МСГ, Шамширгарон, дом 309/1</t>
        </is>
      </c>
      <c r="H146" s="110">
        <v>3.0</v>
      </c>
      <c r="I146" s="110">
        <v>1872766.97</v>
      </c>
      <c r="K146" s="109" t="inlineStr">
        <is>
          <t xml:space="preserve">15SANADA OYLIKDAN TO'LEMAN DEDILA | 1013</t>
        </is>
      </c>
    </row>
    <row r="147">
      <c r="A147" s="109" t="inlineStr">
        <is>
          <t xml:space="preserve">БУХОРО ВИЛОЯТИ</t>
        </is>
      </c>
      <c r="B147" s="109" t="inlineStr">
        <is>
          <t xml:space="preserve">Бухоро филиали</t>
        </is>
      </c>
      <c r="C147" s="109" t="inlineStr">
        <is>
          <t xml:space="preserve">Обещали</t>
        </is>
      </c>
      <c r="D147" s="109" t="inlineStr">
        <is>
          <t xml:space="preserve">Кр-99064045-2</t>
        </is>
      </c>
      <c r="E147" s="109" t="inlineStr">
        <is>
          <t xml:space="preserve">NEMATOV SULTON GADOYEVICH</t>
        </is>
      </c>
      <c r="F147" s="109" t="inlineStr">
        <is>
          <t xml:space="preserve">+998941255888 SMS O’ZI, 998914151625 SMS AYOLI, 998919226141 SMS ONASI,</t>
        </is>
      </c>
      <c r="G147" s="109" t="inlineStr">
        <is>
          <t xml:space="preserve">BUXORO VILOYATI ROMITAN TUMANI NAVBAHOR MFY TEMIRXUJA KO’CHASI</t>
        </is>
      </c>
      <c r="H147" s="110">
        <v>3.0</v>
      </c>
      <c r="I147" s="110">
        <v>1826884.32</v>
      </c>
      <c r="K147" s="109" t="inlineStr">
        <is>
          <t xml:space="preserve">10CHIGA TO'LARKANLA | 2274</t>
        </is>
      </c>
    </row>
    <row r="148">
      <c r="A148" s="109" t="inlineStr">
        <is>
          <t xml:space="preserve">БУХОРО ВИЛОЯТИ</t>
        </is>
      </c>
      <c r="B148" s="109" t="inlineStr">
        <is>
          <t xml:space="preserve">Бухоро филиали</t>
        </is>
      </c>
      <c r="C148" s="109" t="inlineStr">
        <is>
          <t xml:space="preserve">Обещали</t>
        </is>
      </c>
      <c r="D148" s="109" t="inlineStr">
        <is>
          <t xml:space="preserve">Кр-99031584-1</t>
        </is>
      </c>
      <c r="E148" s="109" t="inlineStr">
        <is>
          <t xml:space="preserve">NOROVA IRODA NE’MATOVNA</t>
        </is>
      </c>
      <c r="F148" s="109" t="inlineStr">
        <is>
          <t xml:space="preserve">90-809-45-45  SMS O'ZI, 93-372-19-81  SMS QIZI MAFTUNA, 50-758-04-06  SMS QIZI MAHSUDA tanimidi, 91-016-68-42  SMS ONASI, 950378185 opchasi, 998774080081 узи  ,</t>
        </is>
      </c>
      <c r="G148" s="109" t="inlineStr">
        <is>
          <t xml:space="preserve">BUXORO VILOYATI QORAKO’L TUMANI TASHABBUS MFY ADXAM / YUNUSOBOD TUMANI  2-MAVZE 31-UY 45-XONADON </t>
        </is>
      </c>
      <c r="H148" s="110">
        <v>2.0</v>
      </c>
      <c r="I148" s="110">
        <v>1602499.57</v>
      </c>
      <c r="K148" s="109" t="inlineStr">
        <is>
          <t xml:space="preserve">SHU HAFTA OXIRIGACHA 9CHIDA OYLIGIM TUSHUSHI BN TO'LOV QILAMAN DEDI | 399</t>
        </is>
      </c>
    </row>
    <row r="149">
      <c r="A149" s="109" t="inlineStr">
        <is>
          <t xml:space="preserve">БУХОРО ВИЛОЯТИ</t>
        </is>
      </c>
      <c r="B149" s="109" t="inlineStr">
        <is>
          <t xml:space="preserve">Бухоро филиали</t>
        </is>
      </c>
      <c r="C149" s="109" t="inlineStr">
        <is>
          <t xml:space="preserve">Обещали</t>
        </is>
      </c>
      <c r="D149" s="109" t="inlineStr">
        <is>
          <t xml:space="preserve">Кр-99063280-1</t>
        </is>
      </c>
      <c r="E149" s="109" t="inlineStr">
        <is>
          <t xml:space="preserve">QURBONOV XUSHVAQT G’ULOMOVICH</t>
        </is>
      </c>
      <c r="F149" s="109" t="inlineStr">
        <is>
          <t xml:space="preserve">+998914177518 SMS O’ZI, 998990454555 SMS AYOLI, 998993454441 SMS DO’STI,</t>
        </is>
      </c>
      <c r="G149" s="109" t="inlineStr">
        <is>
          <t xml:space="preserve">OLOT TUMANI</t>
        </is>
      </c>
      <c r="H149" s="110">
        <v>3.0</v>
      </c>
      <c r="I149" s="110">
        <v>1434620.8</v>
      </c>
      <c r="K149" s="109" t="inlineStr">
        <is>
          <t xml:space="preserve">ROSSIYADAN QAYTYABDI 2KUNDA  TELEGRAMDAN GAPLASHDIM | 2049</t>
        </is>
      </c>
    </row>
    <row r="150">
      <c r="A150" s="109" t="inlineStr">
        <is>
          <t xml:space="preserve">БУХОРО ВИЛОЯТИ</t>
        </is>
      </c>
      <c r="B150" s="109" t="inlineStr">
        <is>
          <t xml:space="preserve">Бухоро филиали</t>
        </is>
      </c>
      <c r="C150" s="109" t="inlineStr">
        <is>
          <t xml:space="preserve">Оплатил дозвон</t>
        </is>
      </c>
      <c r="D150" s="109" t="inlineStr">
        <is>
          <t xml:space="preserve">Кр-99064605-1</t>
        </is>
      </c>
      <c r="E150" s="109" t="inlineStr">
        <is>
          <t xml:space="preserve">YUSUPOV ASILBEK ASQADOVICH</t>
        </is>
      </c>
      <c r="F150" s="109" t="inlineStr">
        <is>
          <t xml:space="preserve">998888300445 SMS O’ZI, 998931898363 SMS DO’STI, 998995482555 SMS DO’STI,</t>
        </is>
      </c>
      <c r="G150" s="109" t="inlineStr">
        <is>
          <t xml:space="preserve">BUXORO VILOYATI KOGON TUMANI NURAFSHON MFY YUKORI CHUKATI 20-UY</t>
        </is>
      </c>
      <c r="H150" s="110">
        <v>3.0</v>
      </c>
      <c r="I150" s="110">
        <v>1237055.26</v>
      </c>
      <c r="J150" s="110">
        <v>1237055.26</v>
      </c>
      <c r="K150" s="109" t="inlineStr">
        <is>
          <t xml:space="preserve">2391</t>
        </is>
      </c>
    </row>
    <row r="151">
      <c r="A151" s="109" t="inlineStr">
        <is>
          <t xml:space="preserve">БУХОРО ВИЛОЯТИ</t>
        </is>
      </c>
      <c r="B151" s="109" t="inlineStr">
        <is>
          <t xml:space="preserve">Бухоро филиали</t>
        </is>
      </c>
      <c r="C151" s="109" t="inlineStr">
        <is>
          <t xml:space="preserve">Обещали</t>
        </is>
      </c>
      <c r="D151" s="109" t="inlineStr">
        <is>
          <t xml:space="preserve">Кр-99019690-4</t>
        </is>
      </c>
      <c r="E151" s="109" t="inlineStr">
        <is>
          <t xml:space="preserve">HAYDAROV FURQAT RAXMATILLOYEVICH</t>
        </is>
      </c>
      <c r="F151" s="109" t="inlineStr">
        <is>
          <t xml:space="preserve">97-488-07-66  SMS O'ZI, 88-301-90-93  SMS AKASI, 97-296-06-93  SMS UY, 93-841-53-50  SMS AYOLI, 998505999203 SMS O'ZI2,</t>
        </is>
      </c>
      <c r="G151" s="109" t="inlineStr">
        <is>
          <t xml:space="preserve">BUXORO VILOYAT BUXORO SHAHRI BESHKAPPA KO'CHASI 106 UY</t>
        </is>
      </c>
      <c r="H151" s="110">
        <v>3.0</v>
      </c>
      <c r="I151" s="110">
        <v>1189917.64</v>
      </c>
      <c r="K151" s="109" t="inlineStr">
        <is>
          <t xml:space="preserve">BUGUNGA VADA BERGAN | 105</t>
        </is>
      </c>
    </row>
    <row r="152">
      <c r="A152" s="109" t="inlineStr">
        <is>
          <t xml:space="preserve">БУХОРО ВИЛОЯТИ</t>
        </is>
      </c>
      <c r="B152" s="109" t="inlineStr">
        <is>
          <t xml:space="preserve">Бухоро филиали</t>
        </is>
      </c>
      <c r="C152" s="109" t="inlineStr">
        <is>
          <t xml:space="preserve">Обещали</t>
        </is>
      </c>
      <c r="D152" s="109" t="inlineStr">
        <is>
          <t xml:space="preserve">Кр-99062808-1</t>
        </is>
      </c>
      <c r="E152" s="109" t="inlineStr">
        <is>
          <t xml:space="preserve">ATOYEVA SHAHNOZA AXMADOVNA</t>
        </is>
      </c>
      <c r="F152" s="109" t="inlineStr">
        <is>
          <t xml:space="preserve">+998995718712 SMS O’ZI, 998507018858 SMS AKASI, 998889910959 SMS ONASI, 998918331459 SMS OTASI,</t>
        </is>
      </c>
      <c r="G152" s="109" t="inlineStr">
        <is>
          <t xml:space="preserve">ГУЛИСТОН МФЙ, ГУЛЗОР КИШЛОГИ,</t>
        </is>
      </c>
      <c r="H152" s="110">
        <v>3.0</v>
      </c>
      <c r="I152" s="110">
        <v>1116537.11</v>
      </c>
      <c r="K152" s="109" t="inlineStr">
        <is>
          <t xml:space="preserve">ERTAGA AKASI BN GAPLASHDIM MILLIY BANKDAN TAWAYMAN DEDILA | 1898</t>
        </is>
      </c>
    </row>
    <row r="153">
      <c r="A153" s="109" t="inlineStr">
        <is>
          <t xml:space="preserve">БУХОРО ВИЛОЯТИ</t>
        </is>
      </c>
      <c r="B153" s="109" t="inlineStr">
        <is>
          <t xml:space="preserve">Бухоро филиали</t>
        </is>
      </c>
      <c r="C153" s="109" t="inlineStr">
        <is>
          <t xml:space="preserve">Обещали</t>
        </is>
      </c>
      <c r="D153" s="109" t="inlineStr">
        <is>
          <t xml:space="preserve">Кр-99062864-1</t>
        </is>
      </c>
      <c r="E153" s="109" t="inlineStr">
        <is>
          <t xml:space="preserve">MAXMUDOV ALIAKBAR SAIDJONOVICH</t>
        </is>
      </c>
      <c r="F153" s="109" t="inlineStr">
        <is>
          <t xml:space="preserve">+998900650514 SMS, 998507103377 SMS UY, 998905128669 SMS AKASI TO'LOVCHI,</t>
        </is>
      </c>
      <c r="G153" s="109" t="inlineStr">
        <is>
          <t xml:space="preserve">BUXORO VILOYATI BUXORO SHAHAR AVSHORMAHALLA MFY 77-UY</t>
        </is>
      </c>
      <c r="H153" s="110">
        <v>3.0</v>
      </c>
      <c r="I153" s="110">
        <v>999325.63</v>
      </c>
      <c r="K153" s="109" t="inlineStr">
        <is>
          <t xml:space="preserve">BUGUNGA BERADI FILIALGA ABETDAN KEYIN | 1922</t>
        </is>
      </c>
    </row>
    <row r="154">
      <c r="A154" s="109" t="inlineStr">
        <is>
          <t xml:space="preserve">БУХОРО ВИЛОЯТИ</t>
        </is>
      </c>
      <c r="B154" s="109" t="inlineStr">
        <is>
          <t xml:space="preserve">Бухоро филиали</t>
        </is>
      </c>
      <c r="C154" s="109" t="inlineStr">
        <is>
          <t xml:space="preserve">Обещали</t>
        </is>
      </c>
      <c r="D154" s="109" t="inlineStr">
        <is>
          <t xml:space="preserve">Кр-99027688-2</t>
        </is>
      </c>
      <c r="E154" s="109" t="inlineStr">
        <is>
          <t xml:space="preserve">HUSENOV BARNO HASANOVICH</t>
        </is>
      </c>
      <c r="F154" s="109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154" s="109" t="inlineStr">
        <is>
          <t xml:space="preserve">АРАБХОНА МФЙ, АРАБХОНА,</t>
        </is>
      </c>
      <c r="H154" s="110">
        <v>3.0</v>
      </c>
      <c r="I154" s="110">
        <v>853985.96</v>
      </c>
      <c r="K154" s="109" t="inlineStr">
        <is>
          <t xml:space="preserve">BUGUN PAYNETDAN KARTASINI TO'LDIRADI TORTIB OLADI TELEFON QILIB AYTARKANLA | 244</t>
        </is>
      </c>
    </row>
    <row r="155">
      <c r="A155" s="109" t="inlineStr">
        <is>
          <t xml:space="preserve">БУХОРО ВИЛОЯТИ</t>
        </is>
      </c>
      <c r="B155" s="109" t="inlineStr">
        <is>
          <t xml:space="preserve">Бухоро филиали</t>
        </is>
      </c>
      <c r="C155" s="109" t="inlineStr">
        <is>
          <t xml:space="preserve">Обещали</t>
        </is>
      </c>
      <c r="D155" s="109" t="inlineStr">
        <is>
          <t xml:space="preserve">Кр-99039770-3</t>
        </is>
      </c>
      <c r="E155" s="109" t="inlineStr">
        <is>
          <t xml:space="preserve">SAFAROV SANJAR ADIZ O’G’LI</t>
        </is>
      </c>
      <c r="F155" s="109" t="inlineStr">
        <is>
          <t xml:space="preserve">998912403939 SMS OZI TO'LOVCHI SHUNGA TEL QILINSIN, 998935133314 SMS AMAKISI, 998918225456 SMS OTASI, 998942432520 SMS ONASI BEGONA , 998500766902 SMS ONASI,</t>
        </is>
      </c>
      <c r="G155" s="109" t="inlineStr">
        <is>
          <t xml:space="preserve">BUXORO VILOYATI BUXORO TUMANI GULSHANOBOD MFY LEYLAK QISHLOG’I  51-UY</t>
        </is>
      </c>
      <c r="H155" s="110">
        <v>3.0</v>
      </c>
      <c r="I155" s="110">
        <v>577516.0</v>
      </c>
      <c r="K155" s="109" t="inlineStr">
        <is>
          <t xml:space="preserve">BUGUNGA | 887</t>
        </is>
      </c>
    </row>
    <row r="156">
      <c r="A156" s="109" t="inlineStr">
        <is>
          <t xml:space="preserve">БУХОРО ВИЛОЯТИ</t>
        </is>
      </c>
      <c r="B156" s="109" t="inlineStr">
        <is>
          <t xml:space="preserve">Бухоро филиали</t>
        </is>
      </c>
      <c r="C156" s="109" t="inlineStr">
        <is>
          <t xml:space="preserve">Оплатил дозвон</t>
        </is>
      </c>
      <c r="D156" s="109" t="inlineStr">
        <is>
          <t xml:space="preserve">Кр-99044175-1</t>
        </is>
      </c>
      <c r="E156" s="109" t="inlineStr">
        <is>
          <t xml:space="preserve">MURODOV MUROD UMAR O’G’LI</t>
        </is>
      </c>
      <c r="F156" s="109" t="inlineStr">
        <is>
          <t xml:space="preserve">+998995624067 SMS O’ZI, 998914450878 SMS DO’STI, 998918384026 SMS ONASI, 998948893111 SMS DO’STI,</t>
        </is>
      </c>
      <c r="G156" s="109" t="inlineStr">
        <is>
          <t xml:space="preserve">Паноб МФЙ, Янги ҳаёт қишлоғи, 138-уй</t>
        </is>
      </c>
      <c r="I156" s="110">
        <v>475170.39</v>
      </c>
      <c r="J156" s="110">
        <v>475170.39</v>
      </c>
      <c r="K156" s="109" t="inlineStr">
        <is>
          <t xml:space="preserve">BUGUNGA TO'LEMIZ FILIALGA BORIB DEDILA | 1300</t>
        </is>
      </c>
    </row>
    <row r="157">
      <c r="A157" s="109" t="inlineStr">
        <is>
          <t xml:space="preserve">БУХОРО ВИЛОЯТИ</t>
        </is>
      </c>
      <c r="B157" s="109" t="inlineStr">
        <is>
          <t xml:space="preserve">Бухоро филиали</t>
        </is>
      </c>
      <c r="C157" s="109" t="inlineStr">
        <is>
          <t xml:space="preserve">Оплатил дозвон</t>
        </is>
      </c>
      <c r="D157" s="109" t="inlineStr">
        <is>
          <t xml:space="preserve">Кр-99032335-1</t>
        </is>
      </c>
      <c r="E157" s="109" t="inlineStr">
        <is>
          <t xml:space="preserve">HAZRATOV BAXSHILLO NURILLAYEVICH</t>
        </is>
      </c>
      <c r="F157" s="109" t="inlineStr">
        <is>
          <t xml:space="preserve">998949144311 SMS O’ZI, 998942474311 SMS O’ZI 2, 998930734311 SMS O’G’LI AMRILLO,</t>
        </is>
      </c>
      <c r="G157" s="109" t="inlineStr">
        <is>
          <t xml:space="preserve">BUXORO VILOYATI OLOT TUMANI SOIN QORADUL QFY 18-UY</t>
        </is>
      </c>
      <c r="I157" s="110">
        <v>377458.36</v>
      </c>
      <c r="J157" s="110">
        <v>377458.36</v>
      </c>
      <c r="K157" s="109" t="inlineStr">
        <is>
          <t xml:space="preserve">BUGUNGA VADA BERGAN | 428</t>
        </is>
      </c>
    </row>
    <row r="158">
      <c r="A158" s="111" t="inlineStr">
        <is>
          <t xml:space="preserve">БУХОРО ВИЛОЯТИ</t>
        </is>
      </c>
      <c r="B158" s="111" t="inlineStr">
        <is>
          <t xml:space="preserve">Навоий филиали</t>
        </is>
      </c>
      <c r="C158" s="111" t="inlineStr">
        <is>
          <t xml:space="preserve">Обещали</t>
        </is>
      </c>
      <c r="D158" s="111" t="inlineStr">
        <is>
          <t xml:space="preserve">Кр-99062840-2</t>
        </is>
      </c>
      <c r="E158" s="111" t="inlineStr">
        <is>
          <t xml:space="preserve">DAVRONOV SOBIR KAMOLOVICH</t>
        </is>
      </c>
      <c r="F158" s="111" t="inlineStr">
        <is>
          <t xml:space="preserve">+998935690790 sms , 998934608944 UKASI begona , 998936850790 AYOLI, 998945177590 O’ZI 2 NOMERI, 998935690790 uzi new SMS,</t>
        </is>
      </c>
      <c r="G158" s="111" t="inlineStr">
        <is>
          <t xml:space="preserve">G’IJDUVON TUMANI</t>
        </is>
      </c>
      <c r="H158" s="112">
        <v>3.0</v>
      </c>
      <c r="I158" s="112">
        <v>6059938.7</v>
      </c>
      <c r="K158" s="111" t="inlineStr">
        <is>
          <t xml:space="preserve">10CHIDA TO'LEDI | 1915</t>
        </is>
      </c>
    </row>
    <row r="159">
      <c r="A159" s="111" t="inlineStr">
        <is>
          <t xml:space="preserve">БУХОРО ВИЛОЯТИ</t>
        </is>
      </c>
      <c r="B159" s="111" t="inlineStr">
        <is>
          <t xml:space="preserve">Навоий филиали</t>
        </is>
      </c>
      <c r="C159" s="111" t="inlineStr">
        <is>
          <t xml:space="preserve">Обещали</t>
        </is>
      </c>
      <c r="D159" s="111" t="inlineStr">
        <is>
          <t xml:space="preserve">Кр-99063975-1</t>
        </is>
      </c>
      <c r="E159" s="111" t="inlineStr">
        <is>
          <t xml:space="preserve">QUZIYEV MAQSUD HIKMATULLOYEVICH</t>
        </is>
      </c>
      <c r="F159" s="111" t="inlineStr">
        <is>
          <t xml:space="preserve">998912463904 SINGLISI, 998933147491 AYOLI, 998996229992 O’ZI,</t>
        </is>
      </c>
      <c r="G159" s="111" t="inlineStr">
        <is>
          <t xml:space="preserve">SDFC</t>
        </is>
      </c>
      <c r="H159" s="112">
        <v>3.0</v>
      </c>
      <c r="I159" s="112">
        <v>3144846.49</v>
      </c>
      <c r="K159" s="111" t="inlineStr">
        <is>
          <t xml:space="preserve">NAVOIYGA TO'LARKAN  15KUNI | 2252</t>
        </is>
      </c>
    </row>
    <row r="160">
      <c r="A160" s="113" t="inlineStr">
        <is>
          <t xml:space="preserve">ЖИЗЗАХ ВИЛОЯТИ</t>
        </is>
      </c>
      <c r="B160" s="113" t="inlineStr">
        <is>
          <t xml:space="preserve">BOSH OFIS</t>
        </is>
      </c>
      <c r="C160" s="113" t="inlineStr">
        <is>
          <t xml:space="preserve">Обещали</t>
        </is>
      </c>
      <c r="D160" s="113" t="inlineStr">
        <is>
          <t xml:space="preserve">Кр-99063395-2</t>
        </is>
      </c>
      <c r="E160" s="113" t="inlineStr">
        <is>
          <t xml:space="preserve">SOXIBOV DILSHOD YUSUPALIYEVICH</t>
        </is>
      </c>
      <c r="F160" s="113" t="inlineStr">
        <is>
          <t xml:space="preserve">998501038581 SMS QIZI, 998882488581 SMS AYOLI, 998990661191 SMS OZI,</t>
        </is>
      </c>
      <c r="G160" s="113" t="inlineStr">
        <is>
          <t xml:space="preserve">DEXQONOBOD 2 UY 7 XONADON</t>
        </is>
      </c>
      <c r="H160" s="114">
        <v>3.0</v>
      </c>
      <c r="I160" s="114">
        <v>1119310.9</v>
      </c>
      <c r="K160" s="113" t="inlineStr">
        <is>
          <t xml:space="preserve">903111601 tolovchi abetgaca tolaydi</t>
        </is>
      </c>
    </row>
    <row r="161">
      <c r="A161" s="113" t="inlineStr">
        <is>
          <t xml:space="preserve">ЖИЗЗАХ ВИЛОЯТИ</t>
        </is>
      </c>
      <c r="B161" s="113" t="inlineStr">
        <is>
          <t xml:space="preserve">BOSH OFIS</t>
        </is>
      </c>
      <c r="C161" s="113" t="inlineStr">
        <is>
          <t xml:space="preserve">Оплатил дозвон</t>
        </is>
      </c>
      <c r="D161" s="113" t="inlineStr">
        <is>
          <t xml:space="preserve">Кр-99033893-2</t>
        </is>
      </c>
      <c r="E161" s="113" t="inlineStr">
        <is>
          <t xml:space="preserve">NORMATOV BEKZOD XOLJURAYEVICH</t>
        </is>
      </c>
      <c r="F161" s="113" t="inlineStr">
        <is>
          <t xml:space="preserve">998916270830 SMS OZI, 998910290447 SMS AYOLI, 998905381311 SMS SINGLI,</t>
        </is>
      </c>
      <c r="G161" s="113" t="inlineStr">
        <is>
          <t xml:space="preserve">JIZZAX VILOYATI JIZZAX SHAHRI QALIYA MFY ABU RAYHON BERUNIY KUCHASI 8-UY </t>
        </is>
      </c>
      <c r="H161" s="114">
        <v>3.0</v>
      </c>
      <c r="I161" s="114">
        <v>508860.35</v>
      </c>
      <c r="J161" s="114">
        <v>508860.35</v>
      </c>
    </row>
    <row r="162">
      <c r="A162" s="115" t="inlineStr">
        <is>
          <t xml:space="preserve">ЖИЗЗАХ ВИЛОЯТИ</t>
        </is>
      </c>
      <c r="B162" s="115" t="inlineStr">
        <is>
          <t xml:space="preserve">SUPER BRANCH</t>
        </is>
      </c>
      <c r="C162" s="115" t="inlineStr">
        <is>
          <t xml:space="preserve">Обещали</t>
        </is>
      </c>
      <c r="D162" s="115" t="inlineStr">
        <is>
          <t xml:space="preserve">Кр-99036080-2</t>
        </is>
      </c>
      <c r="E162" s="115" t="inlineStr">
        <is>
          <t xml:space="preserve">MAMATKARIMOV A’ZAMQUL XXX</t>
        </is>
      </c>
      <c r="F162" s="115" t="inlineStr">
        <is>
          <t xml:space="preserve">998994045803 SMS O’ZI, 998901804833 SMS AYOLI, 998949118063 SMS ZALOGADATEL , 998979061314 SMS ZALOGADATEL AYOLI,</t>
        </is>
      </c>
      <c r="G162" s="115" t="inlineStr">
        <is>
          <t xml:space="preserve">JIZZAX VILOYATI YANGIOBOD TUMANI SARMICH QISHLOG’I </t>
        </is>
      </c>
      <c r="H162" s="116">
        <v>3.0</v>
      </c>
      <c r="I162" s="116">
        <v>8280621.05</v>
      </c>
      <c r="K162" s="115" t="inlineStr">
        <is>
          <t xml:space="preserve">ertaga kecgaca tolaydi</t>
        </is>
      </c>
    </row>
    <row r="163">
      <c r="A163" s="115" t="inlineStr">
        <is>
          <t xml:space="preserve">ЖИЗЗАХ ВИЛОЯТИ</t>
        </is>
      </c>
      <c r="B163" s="115" t="inlineStr">
        <is>
          <t xml:space="preserve">SUPER BRANCH</t>
        </is>
      </c>
      <c r="C163" s="115" t="inlineStr">
        <is>
          <t xml:space="preserve">Обещали</t>
        </is>
      </c>
      <c r="D163" s="115" t="inlineStr">
        <is>
          <t xml:space="preserve">Кр-99056937-2</t>
        </is>
      </c>
      <c r="E163" s="115" t="inlineStr">
        <is>
          <t xml:space="preserve">RASHIDOVA NASIBA YAKUBOVNA</t>
        </is>
      </c>
      <c r="F163" s="115" t="inlineStr">
        <is>
          <t xml:space="preserve">998889541771 SMS OZI, 998843817712 SMS OZI2, 998974390219 SMS KELINI,</t>
        </is>
      </c>
      <c r="G163" s="115" t="inlineStr">
        <is>
          <t xml:space="preserve">JIZZAX VILOYATI JIZZAX SHAHAR MIRZO ULUG'BEK MAHALLASI 2-UY 10-XONADON</t>
        </is>
      </c>
      <c r="H163" s="116">
        <v>3.0</v>
      </c>
      <c r="I163" s="116">
        <v>8199521.58</v>
      </c>
      <c r="K163" s="115" t="inlineStr">
        <is>
          <t xml:space="preserve">ertaga abetgaca  tolaydi</t>
        </is>
      </c>
    </row>
    <row r="164">
      <c r="A164" s="115" t="inlineStr">
        <is>
          <t xml:space="preserve">ЖИЗЗАХ ВИЛОЯТИ</t>
        </is>
      </c>
      <c r="B164" s="115" t="inlineStr">
        <is>
          <t xml:space="preserve">SUPER BRANCH</t>
        </is>
      </c>
      <c r="C164" s="115" t="inlineStr">
        <is>
          <t xml:space="preserve">Ko'tardi</t>
        </is>
      </c>
      <c r="D164" s="115" t="inlineStr">
        <is>
          <t xml:space="preserve">Кр-99040865-3</t>
        </is>
      </c>
      <c r="E164" s="115" t="inlineStr">
        <is>
          <t xml:space="preserve">XOLMATOV DOSTONJON ISHPULAT O’G’LI</t>
        </is>
      </c>
      <c r="F164" s="115" t="inlineStr">
        <is>
          <t xml:space="preserve">998904997070 SMS ORTOGI, 998995190022 SMS ORTOGI,</t>
        </is>
      </c>
      <c r="G164" s="115" t="inlineStr">
        <is>
          <t xml:space="preserve">JIZZAX VILOYATI JIZZAX SHAHRI XALQOBOD MFY NODIRA KUCHASI</t>
        </is>
      </c>
      <c r="H164" s="116">
        <v>3.0</v>
      </c>
      <c r="I164" s="116">
        <v>7526725.61</v>
      </c>
      <c r="K164" s="115" t="inlineStr">
        <is>
          <t xml:space="preserve">begona</t>
        </is>
      </c>
    </row>
    <row r="165">
      <c r="A165" s="115" t="inlineStr">
        <is>
          <t xml:space="preserve">ЖИЗЗАХ ВИЛОЯТИ</t>
        </is>
      </c>
      <c r="B165" s="115" t="inlineStr">
        <is>
          <t xml:space="preserve">SUPER BRANCH</t>
        </is>
      </c>
      <c r="C165" s="115" t="inlineStr">
        <is>
          <t xml:space="preserve">Обещали</t>
        </is>
      </c>
      <c r="D165" s="115" t="inlineStr">
        <is>
          <t xml:space="preserve">Кр-99062344-1</t>
        </is>
      </c>
      <c r="E165" s="115" t="inlineStr">
        <is>
          <t xml:space="preserve">ALIMOV BAXROM YETMISHOVICH</t>
        </is>
      </c>
      <c r="F165" s="115" t="inlineStr">
        <is>
          <t xml:space="preserve">998959098681 O`ZI, 998959108681 AYOLI, 998956261810 QIZI,</t>
        </is>
      </c>
      <c r="G165" s="115" t="inlineStr">
        <is>
          <t xml:space="preserve">JIZZAX VILOYATI ZARBDOR TUMANI RAVOT MFY PILLAKOR KUCHASI 1-UYI</t>
        </is>
      </c>
      <c r="H165" s="116">
        <v>3.0</v>
      </c>
      <c r="I165" s="116">
        <v>6291492.64</v>
      </c>
      <c r="K165" s="115" t="inlineStr">
        <is>
          <t xml:space="preserve">oylik tuwgandan tolaydi</t>
        </is>
      </c>
    </row>
    <row r="166">
      <c r="A166" s="115" t="inlineStr">
        <is>
          <t xml:space="preserve">ЖИЗЗАХ ВИЛОЯТИ</t>
        </is>
      </c>
      <c r="B166" s="115" t="inlineStr">
        <is>
          <t xml:space="preserve">SUPER BRANCH</t>
        </is>
      </c>
      <c r="C166" s="115" t="inlineStr">
        <is>
          <t xml:space="preserve">Обещали</t>
        </is>
      </c>
      <c r="D166" s="115" t="inlineStr">
        <is>
          <t xml:space="preserve">Кр-99045795-1</t>
        </is>
      </c>
      <c r="E166" s="115" t="inlineStr">
        <is>
          <t xml:space="preserve">YULDASHEV ASATULLO TO’YCHIYEVICH</t>
        </is>
      </c>
      <c r="F166" s="115" t="inlineStr">
        <is>
          <t xml:space="preserve">998945767778 SMS OZI, 998945141978 SMS AYOLI, 998971601711 SMS OGLI,</t>
        </is>
      </c>
      <c r="G166" s="115" t="inlineStr">
        <is>
          <t xml:space="preserve">JIZZAX VILOYATI ZOMIN TUMANI NURLIKENT MFY POLVONLAR KO'CHASI 25-UY</t>
        </is>
      </c>
      <c r="H166" s="116">
        <v>3.0</v>
      </c>
      <c r="I166" s="116">
        <v>6241634.01</v>
      </c>
      <c r="K166" s="115" t="inlineStr">
        <is>
          <t xml:space="preserve">wanbagaca tolaydi</t>
        </is>
      </c>
    </row>
    <row r="167">
      <c r="A167" s="115" t="inlineStr">
        <is>
          <t xml:space="preserve">ЖИЗЗАХ ВИЛОЯТИ</t>
        </is>
      </c>
      <c r="B167" s="115" t="inlineStr">
        <is>
          <t xml:space="preserve">SUPER BRANCH</t>
        </is>
      </c>
      <c r="C167" s="115" t="inlineStr">
        <is>
          <t xml:space="preserve">Обещали</t>
        </is>
      </c>
      <c r="D167" s="115" t="inlineStr">
        <is>
          <t xml:space="preserve">Кр-99053193-1</t>
        </is>
      </c>
      <c r="E167" s="115" t="inlineStr">
        <is>
          <t xml:space="preserve">TURAYEV OYBEK ULUGBEKOVICH</t>
        </is>
      </c>
      <c r="F167" s="115" t="inlineStr">
        <is>
          <t xml:space="preserve">998905162754 SMS OZI, 998904868707 SMS AYOLI, 998990282014 SMS OGLI, +998905162754 ,</t>
        </is>
      </c>
      <c r="G167" s="115" t="inlineStr">
        <is>
          <t xml:space="preserve">JIZZAX VILOYATI JIZZAX SHAHRI UCHARIQ MFY FIRDAVSIY KUCHASI 19-UY</t>
        </is>
      </c>
      <c r="I167" s="116">
        <v>6183054.04</v>
      </c>
      <c r="K167" s="115" t="inlineStr">
        <is>
          <t xml:space="preserve">oylik tuwgandan tolaydi wu hafta</t>
        </is>
      </c>
    </row>
    <row r="168">
      <c r="A168" s="115" t="inlineStr">
        <is>
          <t xml:space="preserve">ЖИЗЗАХ ВИЛОЯТИ</t>
        </is>
      </c>
      <c r="B168" s="115" t="inlineStr">
        <is>
          <t xml:space="preserve">SUPER BRANCH</t>
        </is>
      </c>
      <c r="C168" s="115" t="inlineStr">
        <is>
          <t xml:space="preserve">Обещали</t>
        </is>
      </c>
      <c r="D168" s="115" t="inlineStr">
        <is>
          <t xml:space="preserve">Кр-99041938-2</t>
        </is>
      </c>
      <c r="E168" s="115" t="inlineStr">
        <is>
          <t xml:space="preserve">MURODIMOV ALIJON YO’LDOSH O’G’LI</t>
        </is>
      </c>
      <c r="F168" s="115" t="inlineStr">
        <is>
          <t xml:space="preserve">998881271595 SMS OZINI 2, 998977949990 SMS AKASI, 998995709128 SMS OZI, 998995719128 SMS AKASI 2,</t>
        </is>
      </c>
      <c r="G168" s="115" t="inlineStr">
        <is>
          <t xml:space="preserve">КУКБУЛОК КФЙ, КУКБУЛОК КФЙ, КИЗИЛТУТ КИШЛОГИ,  uy:Р/С</t>
        </is>
      </c>
      <c r="H168" s="116">
        <v>3.0</v>
      </c>
      <c r="I168" s="116">
        <v>5914262.58</v>
      </c>
      <c r="K168" s="115" t="inlineStr">
        <is>
          <t xml:space="preserve">kecgaca tolaydi</t>
        </is>
      </c>
    </row>
    <row r="169">
      <c r="A169" s="115" t="inlineStr">
        <is>
          <t xml:space="preserve">ЖИЗЗАХ ВИЛОЯТИ</t>
        </is>
      </c>
      <c r="B169" s="115" t="inlineStr">
        <is>
          <t xml:space="preserve">SUPER BRANCH</t>
        </is>
      </c>
      <c r="C169" s="115" t="inlineStr">
        <is>
          <t xml:space="preserve">Обещали</t>
        </is>
      </c>
      <c r="D169" s="115" t="inlineStr">
        <is>
          <t xml:space="preserve">Кр-99040233-1</t>
        </is>
      </c>
      <c r="E169" s="115" t="inlineStr">
        <is>
          <t xml:space="preserve">BERDIYEVA MAVLYUDA INOMOVNA</t>
        </is>
      </c>
      <c r="F169" s="115" t="inlineStr">
        <is>
          <t xml:space="preserve">998915691963 SMS OZI, 998905151229 SMS SINGLSI, 998905398865 SMS KELINI,</t>
        </is>
      </c>
      <c r="G169" s="115" t="inlineStr">
        <is>
          <t xml:space="preserve">JIZZAX VILOYATI JIZZAX SHAHRI DUSTLIK MFY DUSTLIK KUCHASI 11-UY </t>
        </is>
      </c>
      <c r="H169" s="116">
        <v>3.0</v>
      </c>
      <c r="I169" s="116">
        <v>4725308.03</v>
      </c>
      <c r="K169" s="115" t="inlineStr">
        <is>
          <t xml:space="preserve">kecgaca tolaydi</t>
        </is>
      </c>
    </row>
    <row r="170">
      <c r="A170" s="115" t="inlineStr">
        <is>
          <t xml:space="preserve">ЖИЗЗАХ ВИЛОЯТИ</t>
        </is>
      </c>
      <c r="B170" s="115" t="inlineStr">
        <is>
          <t xml:space="preserve">SUPER BRANCH</t>
        </is>
      </c>
      <c r="C170" s="115" t="inlineStr">
        <is>
          <t xml:space="preserve">Обещали</t>
        </is>
      </c>
      <c r="D170" s="115" t="inlineStr">
        <is>
          <t xml:space="preserve">Кр-99028709-2</t>
        </is>
      </c>
      <c r="E170" s="115" t="inlineStr">
        <is>
          <t xml:space="preserve">ABDUJABBOROV SARVAR ASLIDDIN O’G’LI</t>
        </is>
      </c>
      <c r="F170" s="115" t="inlineStr">
        <is>
          <t xml:space="preserve">88-208-15-45  SMS O'ZI, 88-128-22-02 X SMS TULOVCHI , 88-296-26-29  SMS UZI ,</t>
        </is>
      </c>
      <c r="G170" s="115" t="inlineStr">
        <is>
          <t xml:space="preserve">JIZZAX VILOYATI BAXMAL TUMANI O’RMONCHI QFY </t>
        </is>
      </c>
      <c r="H170" s="116">
        <v>3.0</v>
      </c>
      <c r="I170" s="116">
        <v>4452639.54</v>
      </c>
      <c r="K170" s="115" t="inlineStr">
        <is>
          <t xml:space="preserve">duwanbagaca tolaydi</t>
        </is>
      </c>
    </row>
    <row r="171">
      <c r="A171" s="115" t="inlineStr">
        <is>
          <t xml:space="preserve">ЖИЗЗАХ ВИЛОЯТИ</t>
        </is>
      </c>
      <c r="B171" s="115" t="inlineStr">
        <is>
          <t xml:space="preserve">SUPER BRANCH</t>
        </is>
      </c>
      <c r="C171" s="115" t="inlineStr">
        <is>
          <t xml:space="preserve">Обещали</t>
        </is>
      </c>
      <c r="D171" s="115" t="inlineStr">
        <is>
          <t xml:space="preserve">Кр-99040359-1</t>
        </is>
      </c>
      <c r="E171" s="115" t="inlineStr">
        <is>
          <t xml:space="preserve">KOMOLJONOV IXTIYOR BAXTIYOROVICH</t>
        </is>
      </c>
      <c r="F171" s="115" t="inlineStr">
        <is>
          <t xml:space="preserve">998999434941 SMS OZI, 998194149412 SMS OZI2, 998901828688 SMS AYOLI,</t>
        </is>
      </c>
      <c r="G171" s="115" t="inlineStr">
        <is>
          <t xml:space="preserve">JIZZAX VILOYATI JIZZAX TUMANI ZIYOKOR MFY ABDUQAHHOR KUCHASI 42-UY </t>
        </is>
      </c>
      <c r="H171" s="116">
        <v>3.0</v>
      </c>
      <c r="I171" s="116">
        <v>4228019.89</v>
      </c>
      <c r="K171" s="115" t="inlineStr">
        <is>
          <t xml:space="preserve">ertaga tolaydi</t>
        </is>
      </c>
    </row>
    <row r="172">
      <c r="A172" s="115" t="inlineStr">
        <is>
          <t xml:space="preserve">ЖИЗЗАХ ВИЛОЯТИ</t>
        </is>
      </c>
      <c r="B172" s="115" t="inlineStr">
        <is>
          <t xml:space="preserve">SUPER BRANCH</t>
        </is>
      </c>
      <c r="C172" s="115" t="inlineStr">
        <is>
          <t xml:space="preserve">Обещали</t>
        </is>
      </c>
      <c r="D172" s="115" t="inlineStr">
        <is>
          <t xml:space="preserve">Кр-99040635-1</t>
        </is>
      </c>
      <c r="E172" s="115" t="inlineStr">
        <is>
          <t xml:space="preserve">JURAYEVA ZULAYXA LUTFULLAYEVNA</t>
        </is>
      </c>
      <c r="F172" s="115" t="inlineStr">
        <is>
          <t xml:space="preserve">998915641958 SMS begona, 998938592525 SMS O`G`LI tolovchisi, 998943543086 SMS O`G`LI 2, 998931940082 SMS O`G`LI 3, 998943174556 SMS ONASI, 998932926008 Tolovchisini xotini,</t>
        </is>
      </c>
      <c r="G172" s="115" t="inlineStr">
        <is>
          <t xml:space="preserve">JIZZAX VILOYATI, DO’STLIK TUMANI, NAVRUZ MFY, IFTIXOR KUCHASI, 11-2 UY</t>
        </is>
      </c>
      <c r="H172" s="116">
        <v>3.0</v>
      </c>
      <c r="I172" s="116">
        <v>4102129.2</v>
      </c>
    </row>
    <row r="173">
      <c r="A173" s="115" t="inlineStr">
        <is>
          <t xml:space="preserve">ЖИЗЗАХ ВИЛОЯТИ</t>
        </is>
      </c>
      <c r="B173" s="115" t="inlineStr">
        <is>
          <t xml:space="preserve">SUPER BRANCH</t>
        </is>
      </c>
      <c r="C173" s="115" t="inlineStr">
        <is>
          <t xml:space="preserve">Обещали</t>
        </is>
      </c>
      <c r="D173" s="115" t="inlineStr">
        <is>
          <t xml:space="preserve">Кр-99063114-1</t>
        </is>
      </c>
      <c r="E173" s="115" t="inlineStr">
        <is>
          <t xml:space="preserve">BOZOROV SAFARBOY XXX</t>
        </is>
      </c>
      <c r="F173" s="115" t="inlineStr">
        <is>
          <t xml:space="preserve">998931775315 OZI, 998995544018 OGLI, 998933008159 OGLI,</t>
        </is>
      </c>
      <c r="G173" s="115" t="inlineStr">
        <is>
          <t xml:space="preserve">JIZZAX VILOYATI JIZZAX SHAHAR BUNYODKOR MFY QURUVCHILAR KUCHASI 1-UY</t>
        </is>
      </c>
      <c r="H173" s="116">
        <v>3.0</v>
      </c>
      <c r="I173" s="116">
        <v>4033438.08</v>
      </c>
      <c r="K173" s="115" t="inlineStr">
        <is>
          <t xml:space="preserve">1 2 kunda tolaydi</t>
        </is>
      </c>
    </row>
    <row r="174">
      <c r="A174" s="115" t="inlineStr">
        <is>
          <t xml:space="preserve">ЖИЗЗАХ ВИЛОЯТИ</t>
        </is>
      </c>
      <c r="B174" s="115" t="inlineStr">
        <is>
          <t xml:space="preserve">SUPER BRANCH</t>
        </is>
      </c>
      <c r="C174" s="115" t="inlineStr">
        <is>
          <t xml:space="preserve">Оплатил дозвон</t>
        </is>
      </c>
      <c r="D174" s="115" t="inlineStr">
        <is>
          <t xml:space="preserve">Кр-99022847-4</t>
        </is>
      </c>
      <c r="E174" s="115" t="inlineStr">
        <is>
          <t xml:space="preserve">MELIBAYEV MIRSAID XABIBULLAYEVICH</t>
        </is>
      </c>
      <c r="F174" s="115" t="inlineStr">
        <is>
          <t xml:space="preserve">91-590-31-00 SMS UZI , 97-643-31-00  SMS OGLI, 91-188-19-20  SMS AYOLI, 90-180-40-02  SMS SHEREGI,</t>
        </is>
      </c>
      <c r="G174" s="115" t="inlineStr">
        <is>
          <t xml:space="preserve">JIZAX VILOYATI ZAFAROBOD TUMANI NURAFSHON QFY NARKUTSOY KUCHASI 15-UY</t>
        </is>
      </c>
      <c r="H174" s="116">
        <v>3.0</v>
      </c>
      <c r="I174" s="116">
        <v>3937776.14</v>
      </c>
      <c r="J174" s="116">
        <v>3937776.14</v>
      </c>
    </row>
    <row r="175">
      <c r="A175" s="115" t="inlineStr">
        <is>
          <t xml:space="preserve">ЖИЗЗАХ ВИЛОЯТИ</t>
        </is>
      </c>
      <c r="B175" s="115" t="inlineStr">
        <is>
          <t xml:space="preserve">SUPER BRANCH</t>
        </is>
      </c>
      <c r="C175" s="115" t="inlineStr">
        <is>
          <t xml:space="preserve">Обещали</t>
        </is>
      </c>
      <c r="D175" s="115" t="inlineStr">
        <is>
          <t xml:space="preserve">Кр-99057340-1</t>
        </is>
      </c>
      <c r="E175" s="115" t="inlineStr">
        <is>
          <t xml:space="preserve">SUYUNOVA UMIDA ILHOM QIZI</t>
        </is>
      </c>
      <c r="F175" s="115" t="inlineStr">
        <is>
          <t xml:space="preserve">998995542023 SMS ERI, 998930913798 SMS UZI, 998943461045 SMS UY, 998901020807 SMS Akasi,</t>
        </is>
      </c>
      <c r="G175" s="115" t="inlineStr">
        <is>
          <t xml:space="preserve">JIZZAX VILOYATI MIRZACHO'L TUMANI IPAK YULI QFY YANGI XAYOT KUCHASI 29-UY</t>
        </is>
      </c>
      <c r="H175" s="116">
        <v>3.0</v>
      </c>
      <c r="I175" s="116">
        <v>3719528.42</v>
      </c>
      <c r="K175" s="115" t="inlineStr">
        <is>
          <t xml:space="preserve">2 3 kunda tolaydi</t>
        </is>
      </c>
    </row>
    <row r="176">
      <c r="A176" s="115" t="inlineStr">
        <is>
          <t xml:space="preserve">ЖИЗЗАХ ВИЛОЯТИ</t>
        </is>
      </c>
      <c r="B176" s="115" t="inlineStr">
        <is>
          <t xml:space="preserve">SUPER BRANCH</t>
        </is>
      </c>
      <c r="C176" s="115" t="inlineStr">
        <is>
          <t xml:space="preserve">Обещали</t>
        </is>
      </c>
      <c r="D176" s="115" t="inlineStr">
        <is>
          <t xml:space="preserve">Кр-99052995-1</t>
        </is>
      </c>
      <c r="E176" s="115" t="inlineStr">
        <is>
          <t xml:space="preserve">JUMANOVA SHAYDO JONIQUL QIZI</t>
        </is>
      </c>
      <c r="F176" s="115" t="inlineStr">
        <is>
          <t xml:space="preserve">998505100392 SMS ERI, 998933016150 SMS QAYNIONASI,</t>
        </is>
      </c>
      <c r="G176" s="115" t="inlineStr">
        <is>
          <t xml:space="preserve">JIZZAX VILOYATI SHAROF RASHIDOV TUMANI UMAR MAHALLASI KITOBXONLAR KUCHASI 59-UY</t>
        </is>
      </c>
      <c r="H176" s="116">
        <v>3.0</v>
      </c>
      <c r="I176" s="116">
        <v>3440681.42</v>
      </c>
      <c r="K176" s="115" t="inlineStr">
        <is>
          <t xml:space="preserve">15gca tolaydi oylik kutyapti</t>
        </is>
      </c>
    </row>
    <row r="177">
      <c r="A177" s="115" t="inlineStr">
        <is>
          <t xml:space="preserve">ЖИЗЗАХ ВИЛОЯТИ</t>
        </is>
      </c>
      <c r="B177" s="115" t="inlineStr">
        <is>
          <t xml:space="preserve">SUPER BRANCH</t>
        </is>
      </c>
      <c r="C177" s="115" t="inlineStr">
        <is>
          <t xml:space="preserve">Обещали</t>
        </is>
      </c>
      <c r="D177" s="115" t="inlineStr">
        <is>
          <t xml:space="preserve">Кр-99028709-3</t>
        </is>
      </c>
      <c r="E177" s="115" t="inlineStr">
        <is>
          <t xml:space="preserve">ABDUJABBOROV SARVAR ASLIDDIN O’G’LI</t>
        </is>
      </c>
      <c r="F177" s="115" t="inlineStr">
        <is>
          <t xml:space="preserve">88-208-15-45  SMS O'ZI, 88-128-22-02 X SMS TULOVCHI , 88-296-26-29  SMS UZI ,</t>
        </is>
      </c>
      <c r="G177" s="115" t="inlineStr">
        <is>
          <t xml:space="preserve">JIZZAX VILOYATI BAXMAL TUMANI O’RMONCHI QFY </t>
        </is>
      </c>
      <c r="H177" s="116">
        <v>3.0</v>
      </c>
      <c r="I177" s="116">
        <v>3251991.12</v>
      </c>
      <c r="K177" s="115" t="inlineStr">
        <is>
          <t xml:space="preserve">duwanbagaca tolaydi</t>
        </is>
      </c>
    </row>
    <row r="178">
      <c r="A178" s="115" t="inlineStr">
        <is>
          <t xml:space="preserve">ЖИЗЗАХ ВИЛОЯТИ</t>
        </is>
      </c>
      <c r="B178" s="115" t="inlineStr">
        <is>
          <t xml:space="preserve">SUPER BRANCH</t>
        </is>
      </c>
      <c r="C178" s="115" t="inlineStr">
        <is>
          <t xml:space="preserve">Обещали</t>
        </is>
      </c>
      <c r="D178" s="115" t="inlineStr">
        <is>
          <t xml:space="preserve">Кр-99039978-1</t>
        </is>
      </c>
      <c r="E178" s="115" t="inlineStr">
        <is>
          <t xml:space="preserve">ABDUG’AFFOROV SHAHZOD FARXOD O’G’LI</t>
        </is>
      </c>
      <c r="F178" s="115" t="inlineStr">
        <is>
          <t xml:space="preserve">998978467171 SMS OZI, 998970797177 SMS AYOLI, 998996860929 SMS UKASI, 998940131831 SMS JORASI, 998700459666 sms uzi, 998775240110 sms uzi,</t>
        </is>
      </c>
      <c r="G178" s="115" t="inlineStr">
        <is>
          <t xml:space="preserve">JIZZAX VILOYATI JIZZAX TUMANI QANGLI MFY MARHAMAT KUCHASI 92-UY </t>
        </is>
      </c>
      <c r="H178" s="116">
        <v>3.0</v>
      </c>
      <c r="I178" s="116">
        <v>3151021.76</v>
      </c>
      <c r="K178" s="115" t="inlineStr">
        <is>
          <t xml:space="preserve">eri cetda wu hafta tolaydi</t>
        </is>
      </c>
    </row>
    <row r="179">
      <c r="A179" s="115" t="inlineStr">
        <is>
          <t xml:space="preserve">ЖИЗЗАХ ВИЛОЯТИ</t>
        </is>
      </c>
      <c r="B179" s="115" t="inlineStr">
        <is>
          <t xml:space="preserve">SUPER BRANCH</t>
        </is>
      </c>
      <c r="C179" s="115" t="inlineStr">
        <is>
          <t xml:space="preserve">Обещали</t>
        </is>
      </c>
      <c r="D179" s="115" t="inlineStr">
        <is>
          <t xml:space="preserve">Кр-99036491-1</t>
        </is>
      </c>
      <c r="E179" s="115" t="inlineStr">
        <is>
          <t xml:space="preserve">XAYDAROVA KOMILA ZAYNIDDINOVNA</t>
        </is>
      </c>
      <c r="F179" s="115" t="inlineStr">
        <is>
          <t xml:space="preserve">998973462688 SMS OZI , 998936507904 SMS AYOLI , 998944740513 SMS QIZI, 998338990215 SMS SINGLISI , 998943462688 SMS NEW,</t>
        </is>
      </c>
      <c r="G179" s="115" t="inlineStr">
        <is>
          <t xml:space="preserve">JIZZAX VILOYATI SH.RASHIDOV TUMANI SOVUNGARLIK MFY 11-UY</t>
        </is>
      </c>
      <c r="H179" s="116">
        <v>3.0</v>
      </c>
      <c r="I179" s="116">
        <v>2834476.3</v>
      </c>
      <c r="K179" s="115" t="inlineStr">
        <is>
          <t xml:space="preserve">ertaga tolaydi</t>
        </is>
      </c>
    </row>
    <row r="180">
      <c r="A180" s="115" t="inlineStr">
        <is>
          <t xml:space="preserve">ЖИЗЗАХ ВИЛОЯТИ</t>
        </is>
      </c>
      <c r="B180" s="115" t="inlineStr">
        <is>
          <t xml:space="preserve">SUPER BRANCH</t>
        </is>
      </c>
      <c r="C180" s="115" t="inlineStr">
        <is>
          <t xml:space="preserve">Обещали</t>
        </is>
      </c>
      <c r="D180" s="115" t="inlineStr">
        <is>
          <t xml:space="preserve">Кр-99039288-1</t>
        </is>
      </c>
      <c r="E180" s="115" t="inlineStr">
        <is>
          <t xml:space="preserve">YAKUBOV BUNYOD NEMATILLAYEVICH</t>
        </is>
      </c>
      <c r="F180" s="115" t="inlineStr">
        <is>
          <t xml:space="preserve">998904878684 SMS OZI, 998886441986 SMS AYOLI, 998932988684 SMS OZI, 998773450986 SMS SINGLISI,</t>
        </is>
      </c>
      <c r="G180" s="115" t="inlineStr">
        <is>
          <t xml:space="preserve">JIZZAX VILOYATI DUSTLIK TUMANI MEVAZOR QFY LOLAZOR KUCHASI 35-UY </t>
        </is>
      </c>
      <c r="H180" s="116">
        <v>6.0</v>
      </c>
      <c r="I180" s="116">
        <v>2794702.6</v>
      </c>
      <c r="K180" s="115" t="inlineStr">
        <is>
          <t xml:space="preserve">kecgaca tolaydi</t>
        </is>
      </c>
    </row>
    <row r="181">
      <c r="A181" s="115" t="inlineStr">
        <is>
          <t xml:space="preserve">ЖИЗЗАХ ВИЛОЯТИ</t>
        </is>
      </c>
      <c r="B181" s="115" t="inlineStr">
        <is>
          <t xml:space="preserve">SUPER BRANCH</t>
        </is>
      </c>
      <c r="C181" s="115" t="inlineStr">
        <is>
          <t xml:space="preserve">Обещали</t>
        </is>
      </c>
      <c r="D181" s="115" t="inlineStr">
        <is>
          <t xml:space="preserve">Кр-99057656-1</t>
        </is>
      </c>
      <c r="E181" s="115" t="inlineStr">
        <is>
          <t xml:space="preserve">KASIMOVA LOLA NARBAYEVNA</t>
        </is>
      </c>
      <c r="F181" s="115" t="inlineStr">
        <is>
          <t xml:space="preserve">998938238558 SMS UZI, 998934072545 SMS KUYOVI, 998941540825 SMS QIZI,</t>
        </is>
      </c>
      <c r="G181" s="115" t="inlineStr">
        <is>
          <t xml:space="preserve">JIZZAX VILOYATI G'ALLAOROL TUMANI OLIMLAR MFY LALMIKOR KUCHASI 41-UY</t>
        </is>
      </c>
      <c r="H181" s="116">
        <v>3.0</v>
      </c>
      <c r="I181" s="116">
        <v>2523823.72</v>
      </c>
      <c r="K181" s="115" t="inlineStr">
        <is>
          <t xml:space="preserve">10gaca tolaydi</t>
        </is>
      </c>
    </row>
    <row r="182">
      <c r="A182" s="115" t="inlineStr">
        <is>
          <t xml:space="preserve">ЖИЗЗАХ ВИЛОЯТИ</t>
        </is>
      </c>
      <c r="B182" s="115" t="inlineStr">
        <is>
          <t xml:space="preserve">SUPER BRANCH</t>
        </is>
      </c>
      <c r="C182" s="115" t="inlineStr">
        <is>
          <t xml:space="preserve">Обещали</t>
        </is>
      </c>
      <c r="D182" s="115" t="inlineStr">
        <is>
          <t xml:space="preserve">Кр-99039314-1</t>
        </is>
      </c>
      <c r="E182" s="115" t="inlineStr">
        <is>
          <t xml:space="preserve">IZBOSAROV BUNYODBEK BEHZOD O’G’LI</t>
        </is>
      </c>
      <c r="F182" s="115" t="inlineStr">
        <is>
          <t xml:space="preserve">998919400878 SMS UZI, 998886647070 SMS AKASI, 998991900011 SMS KATTA AKASI, 998996100011 SMS ADASI,</t>
        </is>
      </c>
      <c r="G182" s="115" t="inlineStr">
        <is>
          <t xml:space="preserve">JIZZAX VILOYATI PAXTAKOR TUMANI TOSHKENT MFY NURAFSHON KUCHASI 7/1-UY </t>
        </is>
      </c>
      <c r="H182" s="116">
        <v>3.0</v>
      </c>
      <c r="I182" s="116">
        <v>2452046.59</v>
      </c>
      <c r="K182" s="115" t="inlineStr">
        <is>
          <t xml:space="preserve">15gaca tolaydi</t>
        </is>
      </c>
    </row>
    <row r="183">
      <c r="A183" s="115" t="inlineStr">
        <is>
          <t xml:space="preserve">ЖИЗЗАХ ВИЛОЯТИ</t>
        </is>
      </c>
      <c r="B183" s="115" t="inlineStr">
        <is>
          <t xml:space="preserve">SUPER BRANCH</t>
        </is>
      </c>
      <c r="C183" s="115" t="inlineStr">
        <is>
          <t xml:space="preserve">Ko'tardi</t>
        </is>
      </c>
      <c r="D183" s="115" t="inlineStr">
        <is>
          <t xml:space="preserve">Кр-99046548-1</t>
        </is>
      </c>
      <c r="E183" s="115" t="inlineStr">
        <is>
          <t xml:space="preserve">BOYMURZAYEV HASAN NAZAR O’G’LI</t>
        </is>
      </c>
      <c r="F183" s="115" t="inlineStr">
        <is>
          <t xml:space="preserve">998996766010 узи, 998954330009 укаси, 998919446010 уй,</t>
        </is>
      </c>
      <c r="G183" s="115" t="inlineStr">
        <is>
          <t xml:space="preserve">JIZZAX VILOYATI SHAROF RASHIDOV TUMANI PAXTOBOD QFY YAXTANLIK MAHALLASI </t>
        </is>
      </c>
      <c r="H183" s="116">
        <v>3.0</v>
      </c>
      <c r="I183" s="116">
        <v>2226396.74</v>
      </c>
      <c r="K183" s="115" t="inlineStr">
        <is>
          <t xml:space="preserve">ukasi aytib qoyaman dedi</t>
        </is>
      </c>
    </row>
    <row r="184">
      <c r="A184" s="115" t="inlineStr">
        <is>
          <t xml:space="preserve">ЖИЗЗАХ ВИЛОЯТИ</t>
        </is>
      </c>
      <c r="B184" s="115" t="inlineStr">
        <is>
          <t xml:space="preserve">SUPER BRANCH</t>
        </is>
      </c>
      <c r="C184" s="115" t="inlineStr">
        <is>
          <t xml:space="preserve">Ko'tardi</t>
        </is>
      </c>
      <c r="D184" s="115" t="inlineStr">
        <is>
          <t xml:space="preserve">Кр-99035906-2</t>
        </is>
      </c>
      <c r="E184" s="115" t="inlineStr">
        <is>
          <t xml:space="preserve">MAXMUDOV XABIBULLA ERKIN O’G’LI</t>
        </is>
      </c>
      <c r="F184" s="115" t="inlineStr">
        <is>
          <t xml:space="preserve">998945760317 SMS OZI, 998952254434 SMS AKASI, 998971222210 SMS AKASI,</t>
        </is>
      </c>
      <c r="G184" s="115" t="inlineStr">
        <is>
          <t xml:space="preserve">JIZZAX VILOYATI PAXTAKOR TUMANI CHAMANZOR QFY NAVBAHOR MFY X.OLIMJON KUCHASI 2/1-UY </t>
        </is>
      </c>
      <c r="H184" s="116">
        <v>3.0</v>
      </c>
      <c r="I184" s="116">
        <v>2177381.79</v>
      </c>
      <c r="K184" s="115" t="inlineStr">
        <is>
          <t xml:space="preserve">tulovciga aytaman dedi</t>
        </is>
      </c>
    </row>
    <row r="185">
      <c r="A185" s="115" t="inlineStr">
        <is>
          <t xml:space="preserve">ЖИЗЗАХ ВИЛОЯТИ</t>
        </is>
      </c>
      <c r="B185" s="115" t="inlineStr">
        <is>
          <t xml:space="preserve">SUPER BRANCH</t>
        </is>
      </c>
      <c r="C185" s="115" t="inlineStr">
        <is>
          <t xml:space="preserve">Обещали</t>
        </is>
      </c>
      <c r="D185" s="115" t="inlineStr">
        <is>
          <t xml:space="preserve">Кр-99054993-1</t>
        </is>
      </c>
      <c r="E185" s="115" t="inlineStr">
        <is>
          <t xml:space="preserve">ABDULLAYEV MUROD ABDUGANIYEVICH</t>
        </is>
      </c>
      <c r="F185" s="115" t="inlineStr">
        <is>
          <t xml:space="preserve">998937227050 SMS UZI, 998976474656 SMS ONASI, 998880288020 SMS UKASSI,</t>
        </is>
      </c>
      <c r="G185" s="115" t="inlineStr">
        <is>
          <t xml:space="preserve">JIZZAX VILOYATI ZOMIN TUMANI OQTEPA MAHALLASI IQTISODIYOT KUCHASI 15-UY</t>
        </is>
      </c>
      <c r="H185" s="116">
        <v>3.0</v>
      </c>
      <c r="I185" s="116">
        <v>2162389.7</v>
      </c>
      <c r="K185" s="115" t="inlineStr">
        <is>
          <t xml:space="preserve">duwanbagaca tolaydi</t>
        </is>
      </c>
    </row>
    <row r="186">
      <c r="A186" s="115" t="inlineStr">
        <is>
          <t xml:space="preserve">ЖИЗЗАХ ВИЛОЯТИ</t>
        </is>
      </c>
      <c r="B186" s="115" t="inlineStr">
        <is>
          <t xml:space="preserve">SUPER BRANCH</t>
        </is>
      </c>
      <c r="C186" s="115" t="inlineStr">
        <is>
          <t xml:space="preserve">Ko'tardi</t>
        </is>
      </c>
      <c r="D186" s="115" t="inlineStr">
        <is>
          <t xml:space="preserve">Кр-99040249-1</t>
        </is>
      </c>
      <c r="E186" s="115" t="inlineStr">
        <is>
          <t xml:space="preserve">SHARIPOV TOXIR AKRAMOVICH</t>
        </is>
      </c>
      <c r="F186" s="115" t="inlineStr">
        <is>
          <t xml:space="preserve">998906437887 SMS OZI, 998954742040 SMS TOLOVCHI, 998943444040 SMS TOLOVCI 2,</t>
        </is>
      </c>
      <c r="G186" s="115" t="inlineStr">
        <is>
          <t xml:space="preserve">JIZZAX VILOYATI JIZZAX SHAHRI QASSOBLIK MFY ULUGBEK BOSHI BERK KUCHASI 12-UY </t>
        </is>
      </c>
      <c r="I186" s="116">
        <v>2148044.22</v>
      </c>
      <c r="K186" s="115" t="inlineStr">
        <is>
          <t xml:space="preserve">tulovciga aytib quyaman dedi</t>
        </is>
      </c>
    </row>
    <row r="187">
      <c r="A187" s="115" t="inlineStr">
        <is>
          <t xml:space="preserve">ЖИЗЗАХ ВИЛОЯТИ</t>
        </is>
      </c>
      <c r="B187" s="115" t="inlineStr">
        <is>
          <t xml:space="preserve">SUPER BRANCH</t>
        </is>
      </c>
      <c r="C187" s="115" t="inlineStr">
        <is>
          <t xml:space="preserve">Обещали</t>
        </is>
      </c>
      <c r="D187" s="115" t="inlineStr">
        <is>
          <t xml:space="preserve">Кр-99058348-1</t>
        </is>
      </c>
      <c r="E187" s="115" t="inlineStr">
        <is>
          <t xml:space="preserve">KOBILOV OYBEKJON PULAT O’G’LI</t>
        </is>
      </c>
      <c r="F187" s="115" t="inlineStr">
        <is>
          <t xml:space="preserve">998943410777 SMS OZI, 998930730033 SMS ZALOGATEL, 998932259206 SMS OPASI, 998880325577 SMS UYI,</t>
        </is>
      </c>
      <c r="G187" s="115" t="inlineStr">
        <is>
          <t xml:space="preserve">JIZZAX VILOYATI SHAROF RASHIDOV TUMANI ISTIQLOL MFY PAXTAKOR KUCHASI 98-UY</t>
        </is>
      </c>
      <c r="H187" s="116">
        <v>3.0</v>
      </c>
      <c r="I187" s="116">
        <v>2089493.9</v>
      </c>
      <c r="K187" s="115" t="inlineStr">
        <is>
          <t xml:space="preserve">bugun tolaydi</t>
        </is>
      </c>
    </row>
    <row r="188">
      <c r="A188" s="115" t="inlineStr">
        <is>
          <t xml:space="preserve">ЖИЗЗАХ ВИЛОЯТИ</t>
        </is>
      </c>
      <c r="B188" s="115" t="inlineStr">
        <is>
          <t xml:space="preserve">SUPER BRANCH</t>
        </is>
      </c>
      <c r="C188" s="115" t="inlineStr">
        <is>
          <t xml:space="preserve">Обещали</t>
        </is>
      </c>
      <c r="D188" s="115" t="inlineStr">
        <is>
          <t xml:space="preserve">Кр-99052894-1</t>
        </is>
      </c>
      <c r="E188" s="115" t="inlineStr">
        <is>
          <t xml:space="preserve">SUVONQULOV SHAXRIYOR MIRZABEK O’G’LI</t>
        </is>
      </c>
      <c r="F188" s="115" t="inlineStr">
        <is>
          <t xml:space="preserve">998943079900 SMS OZI, 998932800094 SMS AKASI, 998938265665 SMS AKASI 2, 999839712506 SMS UKASI,</t>
        </is>
      </c>
      <c r="G188" s="115" t="inlineStr">
        <is>
          <t xml:space="preserve">JIZZAX VILOYATI SHAROF RASHIDOV TUMANI QANG'LI QFY NURAFSHON MFY OBOD KUCHASI 9-UY</t>
        </is>
      </c>
      <c r="H188" s="116">
        <v>3.0</v>
      </c>
      <c r="I188" s="116">
        <v>1856328.32</v>
      </c>
      <c r="K188" s="115" t="inlineStr">
        <is>
          <t xml:space="preserve">ertaga abetgaca  tolaydi</t>
        </is>
      </c>
    </row>
    <row r="189">
      <c r="A189" s="115" t="inlineStr">
        <is>
          <t xml:space="preserve">ЖИЗЗАХ ВИЛОЯТИ</t>
        </is>
      </c>
      <c r="B189" s="115" t="inlineStr">
        <is>
          <t xml:space="preserve">SUPER BRANCH</t>
        </is>
      </c>
      <c r="C189" s="115" t="inlineStr">
        <is>
          <t xml:space="preserve">Оплатил дозвон</t>
        </is>
      </c>
      <c r="D189" s="115" t="inlineStr">
        <is>
          <t xml:space="preserve">Кр-99029615-3</t>
        </is>
      </c>
      <c r="E189" s="115" t="inlineStr">
        <is>
          <t xml:space="preserve">QILICHBEKOV UTKIR LATIFOVICH</t>
        </is>
      </c>
      <c r="F189" s="115" t="inlineStr">
        <is>
          <t xml:space="preserve">99-034-81-71  SMS O'ZI, 99-095-20-12  SMS AYOLI , 88-208-15-45  SMS AKASI , 88-296-26-29  SMS HAMKASB ,</t>
        </is>
      </c>
      <c r="G189" s="115" t="inlineStr">
        <is>
          <t xml:space="preserve">JIZZAX VILOYATI JIZZAX SHAHRI ZILOL MAHALLASI MUSTAQILLIK KUCHASI 12-UY 20 XONADON</t>
        </is>
      </c>
      <c r="H189" s="116">
        <v>3.0</v>
      </c>
      <c r="I189" s="116">
        <v>1544289.25</v>
      </c>
      <c r="J189" s="116">
        <v>1544289.25</v>
      </c>
    </row>
    <row r="190">
      <c r="A190" s="115" t="inlineStr">
        <is>
          <t xml:space="preserve">ЖИЗЗАХ ВИЛОЯТИ</t>
        </is>
      </c>
      <c r="B190" s="115" t="inlineStr">
        <is>
          <t xml:space="preserve">SUPER BRANCH</t>
        </is>
      </c>
      <c r="C190" s="115" t="inlineStr">
        <is>
          <t xml:space="preserve">Оплатил дозвон</t>
        </is>
      </c>
      <c r="D190" s="115" t="inlineStr">
        <is>
          <t xml:space="preserve">Кр-99029332-2</t>
        </is>
      </c>
      <c r="E190" s="115" t="inlineStr">
        <is>
          <t xml:space="preserve">SHERMATOV BAXTIYOR OCHILOVICH</t>
        </is>
      </c>
      <c r="F190" s="115" t="inlineStr">
        <is>
          <t xml:space="preserve">77-301-76-76 sms SIN, 99-504-76-76 sms SIN, 91-599-69-02 sms UZI, 773017676 sms SIN, 915996902 sms UZI, 995047676 sms SIN,</t>
        </is>
      </c>
      <c r="G190" s="115" t="inlineStr">
        <is>
          <t xml:space="preserve">JIZZAX VILOYATI SH.RASHIDOV TUMANI PAXTAOBOD QFY YAHTANLIK MFY BOG’DOD KUCHASI 51-UY</t>
        </is>
      </c>
      <c r="H190" s="116">
        <v>3.0</v>
      </c>
      <c r="I190" s="116">
        <v>1463725.98</v>
      </c>
      <c r="J190" s="116">
        <v>1463725.98</v>
      </c>
    </row>
    <row r="191">
      <c r="A191" s="115" t="inlineStr">
        <is>
          <t xml:space="preserve">ЖИЗЗАХ ВИЛОЯТИ</t>
        </is>
      </c>
      <c r="B191" s="115" t="inlineStr">
        <is>
          <t xml:space="preserve">SUPER BRANCH</t>
        </is>
      </c>
      <c r="C191" s="115" t="inlineStr">
        <is>
          <t xml:space="preserve">Обещали</t>
        </is>
      </c>
      <c r="D191" s="115" t="inlineStr">
        <is>
          <t xml:space="preserve">Кр-99036491-2</t>
        </is>
      </c>
      <c r="E191" s="115" t="inlineStr">
        <is>
          <t xml:space="preserve">XAYDAROVA KOMILA ZAYNIDDINOVNA</t>
        </is>
      </c>
      <c r="F191" s="115" t="inlineStr">
        <is>
          <t xml:space="preserve">998973462688 SMS OZI , 998936507904 SMS AYOLI , 998944740513 SMS QIZI, 998338990215 SMS SINGLISI , 998943462688 SMS NEW,</t>
        </is>
      </c>
      <c r="G191" s="115" t="inlineStr">
        <is>
          <t xml:space="preserve">JIZZAX VILOYATI SH.RASHIDOV TUMANI SOVUNGARLIK MFY 11-UY</t>
        </is>
      </c>
      <c r="H191" s="116">
        <v>3.0</v>
      </c>
      <c r="I191" s="116">
        <v>1443467.71</v>
      </c>
      <c r="K191" s="115" t="inlineStr">
        <is>
          <t xml:space="preserve">ertaga tolaydi</t>
        </is>
      </c>
    </row>
    <row r="192">
      <c r="A192" s="115" t="inlineStr">
        <is>
          <t xml:space="preserve">ЖИЗЗАХ ВИЛОЯТИ</t>
        </is>
      </c>
      <c r="B192" s="115" t="inlineStr">
        <is>
          <t xml:space="preserve">SUPER BRANCH</t>
        </is>
      </c>
      <c r="C192" s="115" t="inlineStr">
        <is>
          <t xml:space="preserve">Оплатил дозвон</t>
        </is>
      </c>
      <c r="D192" s="115" t="inlineStr">
        <is>
          <t xml:space="preserve">Кр-99053654-1</t>
        </is>
      </c>
      <c r="E192" s="115" t="inlineStr">
        <is>
          <t xml:space="preserve">XOLBEKOV QUVONCHBEK SAID O’G’LI</t>
        </is>
      </c>
      <c r="F192" s="115" t="inlineStr">
        <is>
          <t xml:space="preserve">998993542391 SMS OZI, 998943750194 SMS ONASI, 998931257179 SMS UY, 998932347179 SMS DOSTI,</t>
        </is>
      </c>
      <c r="G192" s="115" t="inlineStr">
        <is>
          <t xml:space="preserve">JIZZAX VILOYATI ARNASOY TUMANI G'OLIBLAR SHFY ULUG'BEK KUCHASI 22-UY 2-XONADON</t>
        </is>
      </c>
      <c r="H192" s="116">
        <v>3.0</v>
      </c>
      <c r="I192" s="116">
        <v>1392080.44</v>
      </c>
      <c r="J192" s="116">
        <v>1392080.44</v>
      </c>
    </row>
    <row r="193">
      <c r="A193" s="115" t="inlineStr">
        <is>
          <t xml:space="preserve">ЖИЗЗАХ ВИЛОЯТИ</t>
        </is>
      </c>
      <c r="B193" s="115" t="inlineStr">
        <is>
          <t xml:space="preserve">SUPER BRANCH</t>
        </is>
      </c>
      <c r="C193" s="115" t="inlineStr">
        <is>
          <t xml:space="preserve">Оплатил дозвон</t>
        </is>
      </c>
      <c r="D193" s="115" t="inlineStr">
        <is>
          <t xml:space="preserve">Кр-99028409-6</t>
        </is>
      </c>
      <c r="E193" s="115" t="inlineStr">
        <is>
          <t xml:space="preserve">ABDIYEV ZAFARJON XOLBOYEVICH</t>
        </is>
      </c>
      <c r="F193" s="115" t="inlineStr">
        <is>
          <t xml:space="preserve">93-091-09-39  SMS OZI, 93-686-93-77  SMS AYOLI, 94-727-50-75  SMS SIN, 930910939 SMS OZI, 936869377 SMS AYOLI, 947275075 SMS SIN,</t>
        </is>
      </c>
      <c r="G193" s="115" t="inlineStr">
        <is>
          <t xml:space="preserve">МАДАНИЯТ КФЙ, МАДАНИЯТ КФЙ, ЗАРГАР КИШЛОГИ,  uy:Р/С</t>
        </is>
      </c>
      <c r="H193" s="116">
        <v>3.0</v>
      </c>
      <c r="I193" s="116">
        <v>1130130.67</v>
      </c>
      <c r="J193" s="116">
        <v>1130130.67</v>
      </c>
    </row>
    <row r="194">
      <c r="A194" s="115" t="inlineStr">
        <is>
          <t xml:space="preserve">ЖИЗЗАХ ВИЛОЯТИ</t>
        </is>
      </c>
      <c r="B194" s="115" t="inlineStr">
        <is>
          <t xml:space="preserve">SUPER BRANCH</t>
        </is>
      </c>
      <c r="C194" s="115" t="inlineStr">
        <is>
          <t xml:space="preserve">Обещали</t>
        </is>
      </c>
      <c r="D194" s="115" t="inlineStr">
        <is>
          <t xml:space="preserve">Кр-99040359-2</t>
        </is>
      </c>
      <c r="E194" s="115" t="inlineStr">
        <is>
          <t xml:space="preserve">KOMOLJONOV IXTIYOR BAXTIYOROVICH</t>
        </is>
      </c>
      <c r="F194" s="115" t="inlineStr">
        <is>
          <t xml:space="preserve">998999434941 SMS OZI, 998194149412 SMS OZI2, 998901828688 SMS AYOLI,</t>
        </is>
      </c>
      <c r="G194" s="115" t="inlineStr">
        <is>
          <t xml:space="preserve">JIZZAX VILOYATI JIZZAX TUMANI ZIYOKOR MFY ABDUQAHHOR KUCHASI 42-UY </t>
        </is>
      </c>
      <c r="H194" s="116">
        <v>3.0</v>
      </c>
      <c r="I194" s="116">
        <v>1121744.77</v>
      </c>
      <c r="K194" s="115" t="inlineStr">
        <is>
          <t xml:space="preserve">ertaga tolaydi</t>
        </is>
      </c>
    </row>
    <row r="195">
      <c r="A195" s="115" t="inlineStr">
        <is>
          <t xml:space="preserve">ЖИЗЗАХ ВИЛОЯТИ</t>
        </is>
      </c>
      <c r="B195" s="115" t="inlineStr">
        <is>
          <t xml:space="preserve">SUPER BRANCH</t>
        </is>
      </c>
      <c r="C195" s="115" t="inlineStr">
        <is>
          <t xml:space="preserve">Оплатил дозвон</t>
        </is>
      </c>
      <c r="D195" s="115" t="inlineStr">
        <is>
          <t xml:space="preserve">Кр-99039705-2</t>
        </is>
      </c>
      <c r="E195" s="115" t="inlineStr">
        <is>
          <t xml:space="preserve">TURSUNBOYEV MIRZOXID MUZAFFAR O’G’LI</t>
        </is>
      </c>
      <c r="F195" s="115" t="inlineStr">
        <is>
          <t xml:space="preserve">998700262501 SMS OZI, 998933472491 SMS DADASI, 998772180718 SMS ONASI,</t>
        </is>
      </c>
      <c r="G195" s="115" t="inlineStr">
        <is>
          <t xml:space="preserve">JIZZAX VILOYATI PAXTAKOR TUMANI CHAMANZOR QFY IBN SINO  KUCHASI 7/2 - UY </t>
        </is>
      </c>
      <c r="H195" s="116">
        <v>3.0</v>
      </c>
      <c r="I195" s="116">
        <v>904738.23</v>
      </c>
      <c r="J195" s="116">
        <v>904738.23</v>
      </c>
    </row>
    <row r="196">
      <c r="A196" s="115" t="inlineStr">
        <is>
          <t xml:space="preserve">ЖИЗЗАХ ВИЛОЯТИ</t>
        </is>
      </c>
      <c r="B196" s="115" t="inlineStr">
        <is>
          <t xml:space="preserve">SUPER BRANCH</t>
        </is>
      </c>
      <c r="C196" s="115" t="inlineStr">
        <is>
          <t xml:space="preserve">Ko'tardi</t>
        </is>
      </c>
      <c r="D196" s="115" t="inlineStr">
        <is>
          <t xml:space="preserve">Кр-99039329-1</t>
        </is>
      </c>
      <c r="E196" s="115" t="inlineStr">
        <is>
          <t xml:space="preserve">TURSUNMATOV ABDULAZIZ ALIAKBAR O’G’LI</t>
        </is>
      </c>
      <c r="F196" s="115" t="inlineStr">
        <is>
          <t xml:space="preserve">+998947200340 SMS OZI, 998772942607 SMS DADASI, 998990231125 SMS AKASI, 998999992897 SMS UKASI,</t>
        </is>
      </c>
      <c r="G196" s="115" t="inlineStr">
        <is>
          <t xml:space="preserve">МУГОЛ КФЙ, МУГОЛ КФЙ, ЛОЙИХАДАГИ,  uy:Р.С</t>
        </is>
      </c>
      <c r="H196" s="116">
        <v>3.0</v>
      </c>
      <c r="I196" s="116">
        <v>674916.04</v>
      </c>
      <c r="K196" s="115" t="inlineStr">
        <is>
          <t xml:space="preserve">dadasi aytb qoyamn dedi</t>
        </is>
      </c>
    </row>
    <row r="197">
      <c r="A197" s="115" t="inlineStr">
        <is>
          <t xml:space="preserve">ЖИЗЗАХ ВИЛОЯТИ</t>
        </is>
      </c>
      <c r="B197" s="115" t="inlineStr">
        <is>
          <t xml:space="preserve">SUPER BRANCH</t>
        </is>
      </c>
      <c r="C197" s="115" t="inlineStr">
        <is>
          <t xml:space="preserve">Обещали</t>
        </is>
      </c>
      <c r="D197" s="115" t="inlineStr">
        <is>
          <t xml:space="preserve">Кр-99058157-1</t>
        </is>
      </c>
      <c r="E197" s="115" t="inlineStr">
        <is>
          <t xml:space="preserve">SHODMONQULOVA GULNORA BOSIMOVNA</t>
        </is>
      </c>
      <c r="F197" s="115" t="inlineStr">
        <is>
          <t xml:space="preserve">998943401779 O`ZI, 998500512300 ERI, 998939291202 O`G`LI,</t>
        </is>
      </c>
      <c r="G197" s="115" t="inlineStr">
        <is>
          <t xml:space="preserve">ZOMIN TUMANI</t>
        </is>
      </c>
      <c r="H197" s="116">
        <v>3.0</v>
      </c>
      <c r="I197" s="116">
        <v>651259.32</v>
      </c>
      <c r="K197" s="115" t="inlineStr">
        <is>
          <t xml:space="preserve">bugun yo erta tolaydi</t>
        </is>
      </c>
    </row>
    <row r="198">
      <c r="A198" s="115" t="inlineStr">
        <is>
          <t xml:space="preserve">ЖИЗЗАХ ВИЛОЯТИ</t>
        </is>
      </c>
      <c r="B198" s="115" t="inlineStr">
        <is>
          <t xml:space="preserve">SUPER BRANCH</t>
        </is>
      </c>
      <c r="C198" s="115" t="inlineStr">
        <is>
          <t xml:space="preserve">Обещали</t>
        </is>
      </c>
      <c r="D198" s="115" t="inlineStr">
        <is>
          <t xml:space="preserve">Кр-99028616-3</t>
        </is>
      </c>
      <c r="E198" s="115" t="inlineStr">
        <is>
          <t xml:space="preserve">MALLAYEV SHUXRAT BOSIMOVICH</t>
        </is>
      </c>
      <c r="F198" s="115" t="inlineStr">
        <is>
          <t xml:space="preserve">93-301-00-66 SMS O'ZI, 93-301-07-54 SMS AYOLI, 93-301-06-96 SMS SIN, 99-245-90-99 SMS SIN 2, 998945450550 Eldor  ogli , 998992169079 tulovchi, 998997563446 tulovchi,</t>
        </is>
      </c>
      <c r="G198" s="115" t="inlineStr">
        <is>
          <t xml:space="preserve">JIZZAX VILOYATI JIZZAX TUMANI QANGLI MFY TARAQLI KUCHASI 13-UY</t>
        </is>
      </c>
      <c r="I198" s="116">
        <v>555763.05</v>
      </c>
      <c r="K198" s="115" t="inlineStr">
        <is>
          <t xml:space="preserve">wanbagaca tolaydi</t>
        </is>
      </c>
    </row>
    <row r="199">
      <c r="A199" s="115" t="inlineStr">
        <is>
          <t xml:space="preserve">ЖИЗЗАХ ВИЛОЯТИ</t>
        </is>
      </c>
      <c r="B199" s="115" t="inlineStr">
        <is>
          <t xml:space="preserve">SUPER BRANCH</t>
        </is>
      </c>
      <c r="C199" s="115" t="inlineStr">
        <is>
          <t xml:space="preserve">Обещали</t>
        </is>
      </c>
      <c r="D199" s="115" t="inlineStr">
        <is>
          <t xml:space="preserve">Кр-99030864-2</t>
        </is>
      </c>
      <c r="E199" s="115" t="inlineStr">
        <is>
          <t xml:space="preserve">MAMATQULOV UMIDJON XOLBO’TA O’G’LI</t>
        </is>
      </c>
      <c r="F199" s="115" t="inlineStr">
        <is>
          <t xml:space="preserve">93-301-01-51 SMS O’ZI, 94-690-37-61  SMS ONASI, 93-386-96-92  SMS AYOLI, 95-828-82-90  SMS KELINOYISI,</t>
        </is>
      </c>
      <c r="G199" s="115" t="inlineStr">
        <is>
          <t xml:space="preserve">JIZZAX VILOYATI ZOMIN TUMANI CHORVADOR QFY 10-UY</t>
        </is>
      </c>
      <c r="H199" s="116">
        <v>3.0</v>
      </c>
      <c r="I199" s="116">
        <v>476428.65</v>
      </c>
      <c r="K199" s="115" t="inlineStr">
        <is>
          <t xml:space="preserve">ayoli iwdan keb tolaydi dedi</t>
        </is>
      </c>
    </row>
    <row r="200">
      <c r="A200" s="117" t="inlineStr">
        <is>
          <t xml:space="preserve">ЖИЗЗАХ ВИЛОЯТИ</t>
        </is>
      </c>
      <c r="B200" s="117" t="inlineStr">
        <is>
          <t xml:space="preserve">Жиззах филиали</t>
        </is>
      </c>
      <c r="C200" s="117" t="inlineStr">
        <is>
          <t xml:space="preserve">Обещали</t>
        </is>
      </c>
      <c r="D200" s="117" t="inlineStr">
        <is>
          <t xml:space="preserve">Кр-99063548-4</t>
        </is>
      </c>
      <c r="E200" s="117" t="inlineStr">
        <is>
          <t xml:space="preserve">XOLMATOV TOIR MAXKAMOVICH</t>
        </is>
      </c>
      <c r="F200" s="117" t="inlineStr">
        <is>
          <t xml:space="preserve">998883290075 UZI, 998918949450 AKASI, 998993290075 UY,</t>
        </is>
      </c>
      <c r="G200" s="117" t="inlineStr">
        <is>
          <t xml:space="preserve">JIZZAXLIK KUCHASI 27-UY</t>
        </is>
      </c>
      <c r="H200" s="118">
        <v>3.0</v>
      </c>
      <c r="I200" s="118">
        <v>9330579.57</v>
      </c>
      <c r="K200" s="117" t="inlineStr">
        <is>
          <t xml:space="preserve">kecgaca tolaydi</t>
        </is>
      </c>
    </row>
    <row r="201">
      <c r="A201" s="117" t="inlineStr">
        <is>
          <t xml:space="preserve">ЖИЗЗАХ ВИЛОЯТИ</t>
        </is>
      </c>
      <c r="B201" s="117" t="inlineStr">
        <is>
          <t xml:space="preserve">Жиззах филиали</t>
        </is>
      </c>
      <c r="C201" s="117" t="inlineStr">
        <is>
          <t xml:space="preserve">Оплатил дозвон</t>
        </is>
      </c>
      <c r="D201" s="117" t="inlineStr">
        <is>
          <t xml:space="preserve">Кр-99007949-4</t>
        </is>
      </c>
      <c r="E201" s="117" t="inlineStr">
        <is>
          <t xml:space="preserve">MAJIDOV XASAN BOSIMOVICH</t>
        </is>
      </c>
      <c r="F201" s="117" t="inlineStr">
        <is>
          <t xml:space="preserve">94-573-50-05 SMS OZI, 99-588-08-73 SMS OZI    tanmidi , 99-201-19-78 SMS AYOLI, 94-574-16-47 SMS Uz, 94-573-50-05 sms OZI,</t>
        </is>
      </c>
      <c r="G201" s="117" t="inlineStr">
        <is>
          <t xml:space="preserve">JIZZAX VILOYATI ZARBDOR TUMANI LALIMKOR QFY TINCHLIK KO’CHASI 47-UY</t>
        </is>
      </c>
      <c r="H201" s="118">
        <v>3.0</v>
      </c>
      <c r="I201" s="118">
        <v>6840511.41</v>
      </c>
      <c r="J201" s="118">
        <v>6840511.41</v>
      </c>
    </row>
    <row r="202">
      <c r="A202" s="117" t="inlineStr">
        <is>
          <t xml:space="preserve">ЖИЗЗАХ ВИЛОЯТИ</t>
        </is>
      </c>
      <c r="B202" s="117" t="inlineStr">
        <is>
          <t xml:space="preserve">Жиззах филиали</t>
        </is>
      </c>
      <c r="C202" s="117" t="inlineStr">
        <is>
          <t xml:space="preserve">Обещали</t>
        </is>
      </c>
      <c r="D202" s="117" t="inlineStr">
        <is>
          <t xml:space="preserve">Кр-99028616-4</t>
        </is>
      </c>
      <c r="E202" s="117" t="inlineStr">
        <is>
          <t xml:space="preserve">MALLAYEV SHUXRAT BOSIMOVICH</t>
        </is>
      </c>
      <c r="F202" s="117" t="inlineStr">
        <is>
          <t xml:space="preserve">93-301-00-66 SMS O'ZI, 93-301-07-54 SMS AYOLI, 93-301-06-96 SMS SIN, 99-245-90-99 SMS SIN 2, 998945450550 Eldor  ogli , 998992169079 tulovchi, 998997563446 tulovchi,</t>
        </is>
      </c>
      <c r="G202" s="117" t="inlineStr">
        <is>
          <t xml:space="preserve">JIZZAX VILOYATI JIZZAX TUMANI QANGLI MFY TARAQLI KUCHASI 13-UY</t>
        </is>
      </c>
      <c r="H202" s="118">
        <v>3.0</v>
      </c>
      <c r="I202" s="118">
        <v>6540577.78</v>
      </c>
      <c r="K202" s="117" t="inlineStr">
        <is>
          <t xml:space="preserve">wanbagaca tolaydi</t>
        </is>
      </c>
    </row>
    <row r="203">
      <c r="A203" s="117" t="inlineStr">
        <is>
          <t xml:space="preserve">ЖИЗЗАХ ВИЛОЯТИ</t>
        </is>
      </c>
      <c r="B203" s="117" t="inlineStr">
        <is>
          <t xml:space="preserve">Жиззах филиали</t>
        </is>
      </c>
      <c r="C203" s="117" t="inlineStr">
        <is>
          <t xml:space="preserve">Обещали</t>
        </is>
      </c>
      <c r="D203" s="117" t="inlineStr">
        <is>
          <t xml:space="preserve">Кр-99033328-1</t>
        </is>
      </c>
      <c r="E203" s="117" t="inlineStr">
        <is>
          <t xml:space="preserve">XOLBUTAYEV DILMUROD ABDUMALIKOVICH</t>
        </is>
      </c>
      <c r="F203" s="117" t="inlineStr">
        <is>
          <t xml:space="preserve">998915680048 SMS O’ZI, 998994280048 SMS UKASI, 998990280048 SMS AYOLI BEGONA, 998900265356 SMS ONASI,</t>
        </is>
      </c>
      <c r="G203" s="117" t="inlineStr">
        <is>
          <t xml:space="preserve">JIZZAX VILOYATI ZOMIN TUMANI  DASHTOBOD SHAXAR QORATEPA MFY SHIRIN KUCHASI</t>
        </is>
      </c>
      <c r="H203" s="118">
        <v>3.0</v>
      </c>
      <c r="I203" s="118">
        <v>6429679.0</v>
      </c>
      <c r="K203" s="117" t="inlineStr">
        <is>
          <t xml:space="preserve">erta kecgaca tolaydi</t>
        </is>
      </c>
    </row>
    <row r="204">
      <c r="A204" s="117" t="inlineStr">
        <is>
          <t xml:space="preserve">ЖИЗЗАХ ВИЛОЯТИ</t>
        </is>
      </c>
      <c r="B204" s="117" t="inlineStr">
        <is>
          <t xml:space="preserve">Жиззах филиали</t>
        </is>
      </c>
      <c r="C204" s="117" t="inlineStr">
        <is>
          <t xml:space="preserve">Обещали</t>
        </is>
      </c>
      <c r="D204" s="117" t="inlineStr">
        <is>
          <t xml:space="preserve">Кр-99042640-1</t>
        </is>
      </c>
      <c r="E204" s="117" t="inlineStr">
        <is>
          <t xml:space="preserve">XO’JAQULOV FURQAT JAYNAROVICH</t>
        </is>
      </c>
      <c r="F204" s="117" t="inlineStr">
        <is>
          <t xml:space="preserve">+998771070575 SMS, 998932920870 SMS, 998990343029 SMS,</t>
        </is>
      </c>
      <c r="G204" s="117" t="inlineStr">
        <is>
          <t xml:space="preserve">JIZZAX VILOYATI ZAFAROBOD TUMANI BIRLIK QFY RUDAKIY KUCHASI 4-A UY</t>
        </is>
      </c>
      <c r="H204" s="118">
        <v>3.0</v>
      </c>
      <c r="I204" s="118">
        <v>4648326.86</v>
      </c>
      <c r="K204" s="117" t="inlineStr">
        <is>
          <t xml:space="preserve">kecgaca tolaydi</t>
        </is>
      </c>
    </row>
    <row r="205">
      <c r="A205" s="117" t="inlineStr">
        <is>
          <t xml:space="preserve">ЖИЗЗАХ ВИЛОЯТИ</t>
        </is>
      </c>
      <c r="B205" s="117" t="inlineStr">
        <is>
          <t xml:space="preserve">Жиззах филиали</t>
        </is>
      </c>
      <c r="C205" s="117" t="inlineStr">
        <is>
          <t xml:space="preserve">Обещали</t>
        </is>
      </c>
      <c r="D205" s="117" t="inlineStr">
        <is>
          <t xml:space="preserve">Кр-99029158-6</t>
        </is>
      </c>
      <c r="E205" s="117" t="inlineStr">
        <is>
          <t xml:space="preserve">MELIYEV ISKANDARJON ABDULLAYEVICH</t>
        </is>
      </c>
      <c r="F205" s="117" t="inlineStr">
        <is>
          <t xml:space="preserve">90-494-77-70  SMS ISNGLIS, 95-013-77-07 SMS OZI, 93-303-77-07 SMS AYOLI, 90-498-77-70 SMS UY, 998904947770 SMS O'G'LI TO'LOVCHI,</t>
        </is>
      </c>
      <c r="G205" s="117" t="inlineStr">
        <is>
          <t xml:space="preserve">ХАЙРАБОД, ХАЙРАБОД БУЮК-ИПАК ЙУЛИ КЎЧАСИ,  uy:Р/С</t>
        </is>
      </c>
      <c r="H205" s="118">
        <v>3.0</v>
      </c>
      <c r="I205" s="118">
        <v>4527654.26</v>
      </c>
      <c r="K205" s="117" t="inlineStr">
        <is>
          <t xml:space="preserve">ertaga tulaydi</t>
        </is>
      </c>
    </row>
    <row r="206">
      <c r="A206" s="117" t="inlineStr">
        <is>
          <t xml:space="preserve">ЖИЗЗАХ ВИЛОЯТИ</t>
        </is>
      </c>
      <c r="B206" s="117" t="inlineStr">
        <is>
          <t xml:space="preserve">Жиззах филиали</t>
        </is>
      </c>
      <c r="C206" s="117" t="inlineStr">
        <is>
          <t xml:space="preserve">Обещали</t>
        </is>
      </c>
      <c r="D206" s="117" t="inlineStr">
        <is>
          <t xml:space="preserve">Кр-99063773-1</t>
        </is>
      </c>
      <c r="E206" s="117" t="inlineStr">
        <is>
          <t xml:space="preserve">MUHAMADIYEVA GULNORA QIZILOVNA</t>
        </is>
      </c>
      <c r="F206" s="117" t="inlineStr">
        <is>
          <t xml:space="preserve">998911950663 UZI, 998977947748 O’G’LI, 998995406039 O’G’LI,</t>
        </is>
      </c>
      <c r="G206" s="117" t="inlineStr">
        <is>
          <t xml:space="preserve">Жиззахлик МФЙ,  ул.Ш.Рашидов , 24-уй</t>
        </is>
      </c>
      <c r="H206" s="118">
        <v>3.0</v>
      </c>
      <c r="I206" s="118">
        <v>4499737.99</v>
      </c>
      <c r="K206" s="117" t="inlineStr">
        <is>
          <t xml:space="preserve">hafta ohirgaca tolaydi</t>
        </is>
      </c>
    </row>
    <row r="207">
      <c r="A207" s="117" t="inlineStr">
        <is>
          <t xml:space="preserve">ЖИЗЗАХ ВИЛОЯТИ</t>
        </is>
      </c>
      <c r="B207" s="117" t="inlineStr">
        <is>
          <t xml:space="preserve">Жиззах филиали</t>
        </is>
      </c>
      <c r="C207" s="117" t="inlineStr">
        <is>
          <t xml:space="preserve">Обещали</t>
        </is>
      </c>
      <c r="D207" s="117" t="inlineStr">
        <is>
          <t xml:space="preserve">Кр-99042115-1</t>
        </is>
      </c>
      <c r="E207" s="117" t="inlineStr">
        <is>
          <t xml:space="preserve">MIRZAYEV OYBEK SUNATILLAYEVICH</t>
        </is>
      </c>
      <c r="F207" s="117" t="inlineStr">
        <is>
          <t xml:space="preserve">+998902659695 SMS, 998915909006 SMS, 998974559695 SMS,</t>
        </is>
      </c>
      <c r="G207" s="117" t="inlineStr">
        <is>
          <t xml:space="preserve">JIZZAX VILOYATI SH.RASHIDOV TUMANI TOKCHILIK MFY ZARGARLIK KUCHASI 2-UY</t>
        </is>
      </c>
      <c r="H207" s="118">
        <v>3.0</v>
      </c>
      <c r="I207" s="118">
        <v>4391640.96</v>
      </c>
      <c r="K207" s="117" t="inlineStr">
        <is>
          <t xml:space="preserve">duwanbagaca tolaydi</t>
        </is>
      </c>
    </row>
    <row r="208">
      <c r="A208" s="117" t="inlineStr">
        <is>
          <t xml:space="preserve">ЖИЗЗАХ ВИЛОЯТИ</t>
        </is>
      </c>
      <c r="B208" s="117" t="inlineStr">
        <is>
          <t xml:space="preserve">Жиззах филиали</t>
        </is>
      </c>
      <c r="C208" s="117" t="inlineStr">
        <is>
          <t xml:space="preserve">Обещали</t>
        </is>
      </c>
      <c r="D208" s="117" t="inlineStr">
        <is>
          <t xml:space="preserve">Кр-99063504-1</t>
        </is>
      </c>
      <c r="E208" s="117" t="inlineStr">
        <is>
          <t xml:space="preserve">MIRZAYEVA LOBARXON ERGASHEVNA</t>
        </is>
      </c>
      <c r="F208" s="117" t="inlineStr">
        <is>
          <t xml:space="preserve">998933556974 UZI, 998934026974 ERI, 998958832266 TO’LOVCHI,</t>
        </is>
      </c>
      <c r="G208" s="117" t="inlineStr">
        <is>
          <t xml:space="preserve">ТОШКЕСГАН КФЙ, ЛОЙИХАДАГИ КЎЧА,  uy:РАКАМСИЗ</t>
        </is>
      </c>
      <c r="H208" s="118">
        <v>3.0</v>
      </c>
      <c r="I208" s="118">
        <v>4378801.2</v>
      </c>
      <c r="K208" s="117" t="inlineStr">
        <is>
          <t xml:space="preserve">erta kecgaca tolaydi</t>
        </is>
      </c>
    </row>
    <row r="209">
      <c r="A209" s="117" t="inlineStr">
        <is>
          <t xml:space="preserve">ЖИЗЗАХ ВИЛОЯТИ</t>
        </is>
      </c>
      <c r="B209" s="117" t="inlineStr">
        <is>
          <t xml:space="preserve">Жиззах филиали</t>
        </is>
      </c>
      <c r="C209" s="117" t="inlineStr">
        <is>
          <t xml:space="preserve">Обещали</t>
        </is>
      </c>
      <c r="D209" s="117" t="inlineStr">
        <is>
          <t xml:space="preserve">Кр-99044956-1</t>
        </is>
      </c>
      <c r="E209" s="117" t="inlineStr">
        <is>
          <t xml:space="preserve">NORMATOVA XADIYA ELIBOYEVNA</t>
        </is>
      </c>
      <c r="F209" s="117" t="inlineStr">
        <is>
          <t xml:space="preserve">+998995746440 SMS, 998947411990 SMS, 998990497371 SMS,</t>
        </is>
      </c>
      <c r="G209" s="117" t="inlineStr">
        <is>
          <t xml:space="preserve">JIZZAX VILOYATI JIZZAX TUMANI GANDUMTOSH MFY TOXIR MALIK KUCHASI 12-UY</t>
        </is>
      </c>
      <c r="H209" s="118">
        <v>3.0</v>
      </c>
      <c r="I209" s="118">
        <v>4111024.03</v>
      </c>
      <c r="K209" s="117" t="inlineStr">
        <is>
          <t xml:space="preserve">wu haftagaca tolaydi</t>
        </is>
      </c>
    </row>
    <row r="210">
      <c r="A210" s="117" t="inlineStr">
        <is>
          <t xml:space="preserve">ЖИЗЗАХ ВИЛОЯТИ</t>
        </is>
      </c>
      <c r="B210" s="117" t="inlineStr">
        <is>
          <t xml:space="preserve">Жиззах филиали</t>
        </is>
      </c>
      <c r="C210" s="117" t="inlineStr">
        <is>
          <t xml:space="preserve">Обещали</t>
        </is>
      </c>
      <c r="D210" s="117" t="inlineStr">
        <is>
          <t xml:space="preserve">Кр-99063618-1</t>
        </is>
      </c>
      <c r="E210" s="117" t="inlineStr">
        <is>
          <t xml:space="preserve">NISHANOV MUHRIDDIN ERKIN O’G’LI</t>
        </is>
      </c>
      <c r="F210" s="117" t="inlineStr">
        <is>
          <t xml:space="preserve">998701179797 UY, 998933010033 AKASI, 998939960597 UZI,</t>
        </is>
      </c>
      <c r="G210" s="117" t="inlineStr">
        <is>
          <t xml:space="preserve">Маржонбулок ГСГ, Маржонбулок шахри кучаси, 16-уй, 8-хонадон</t>
        </is>
      </c>
      <c r="H210" s="118">
        <v>3.0</v>
      </c>
      <c r="I210" s="118">
        <v>3912554.49</v>
      </c>
      <c r="K210" s="117" t="inlineStr">
        <is>
          <t xml:space="preserve">oylik kutyapti kecgaca tolaydi</t>
        </is>
      </c>
    </row>
    <row r="211">
      <c r="A211" s="117" t="inlineStr">
        <is>
          <t xml:space="preserve">ЖИЗЗАХ ВИЛОЯТИ</t>
        </is>
      </c>
      <c r="B211" s="117" t="inlineStr">
        <is>
          <t xml:space="preserve">Жиззах филиали</t>
        </is>
      </c>
      <c r="C211" s="117" t="inlineStr">
        <is>
          <t xml:space="preserve">Обещали</t>
        </is>
      </c>
      <c r="D211" s="117" t="inlineStr">
        <is>
          <t xml:space="preserve">Кр-99064135-1</t>
        </is>
      </c>
      <c r="E211" s="117" t="inlineStr">
        <is>
          <t xml:space="preserve">ALIMOV O’TKIR ZOKIR O’G’LI</t>
        </is>
      </c>
      <c r="F211" s="117" t="inlineStr">
        <is>
          <t xml:space="preserve">998885132332 JURASI, 998972169992 AYOLI, 998992266612 UZI,</t>
        </is>
      </c>
      <c r="G211" s="117" t="inlineStr">
        <is>
          <t xml:space="preserve">МАДАНИЯТ КФЙ, МАДАНИЯТ КФЙ, БАХМАЛСОЙ КИШЛОГИ,  uy:Р/С</t>
        </is>
      </c>
      <c r="H211" s="118">
        <v>3.0</v>
      </c>
      <c r="I211" s="118">
        <v>3723496.08</v>
      </c>
      <c r="K211" s="117" t="inlineStr">
        <is>
          <t xml:space="preserve">ertaga abetgaca  tolaydi</t>
        </is>
      </c>
    </row>
    <row r="212">
      <c r="A212" s="117" t="inlineStr">
        <is>
          <t xml:space="preserve">ЖИЗЗАХ ВИЛОЯТИ</t>
        </is>
      </c>
      <c r="B212" s="117" t="inlineStr">
        <is>
          <t xml:space="preserve">Жиззах филиали</t>
        </is>
      </c>
      <c r="C212" s="117" t="inlineStr">
        <is>
          <t xml:space="preserve">Обещали</t>
        </is>
      </c>
      <c r="D212" s="117" t="inlineStr">
        <is>
          <t xml:space="preserve">Кр-99053193-3</t>
        </is>
      </c>
      <c r="E212" s="117" t="inlineStr">
        <is>
          <t xml:space="preserve">TURAYEV OYBEK ULUGBEKOVICH</t>
        </is>
      </c>
      <c r="F212" s="117" t="inlineStr">
        <is>
          <t xml:space="preserve">998905162754 SMS OZI, 998904868707 SMS AYOLI, 998990282014 SMS OGLI, +998905162754 ,</t>
        </is>
      </c>
      <c r="G212" s="117" t="inlineStr">
        <is>
          <t xml:space="preserve">JIZZAX VILOYATI JIZZAX SHAHRI UCHARIQ MFY FIRDAVSIY KUCHASI 19-UY</t>
        </is>
      </c>
      <c r="H212" s="118">
        <v>3.0</v>
      </c>
      <c r="I212" s="118">
        <v>3314109.7</v>
      </c>
      <c r="K212" s="117" t="inlineStr">
        <is>
          <t xml:space="preserve">oylik tuwgandan tolaydi wu hafta</t>
        </is>
      </c>
    </row>
    <row r="213">
      <c r="A213" s="117" t="inlineStr">
        <is>
          <t xml:space="preserve">ЖИЗЗАХ ВИЛОЯТИ</t>
        </is>
      </c>
      <c r="B213" s="117" t="inlineStr">
        <is>
          <t xml:space="preserve">Жиззах филиали</t>
        </is>
      </c>
      <c r="C213" s="117" t="inlineStr">
        <is>
          <t xml:space="preserve">Обещали</t>
        </is>
      </c>
      <c r="D213" s="117" t="inlineStr">
        <is>
          <t xml:space="preserve">Кр-99064263-1</t>
        </is>
      </c>
      <c r="E213" s="117" t="inlineStr">
        <is>
          <t xml:space="preserve">SADULLAYEV SHUXRATBEK SULTANOVICH</t>
        </is>
      </c>
      <c r="F213" s="117" t="inlineStr">
        <is>
          <t xml:space="preserve">998942020894 AYOLI, 998949758107 UZI, 998976411107 O’G’LI,</t>
        </is>
      </c>
      <c r="G213" s="117" t="inlineStr">
        <is>
          <t xml:space="preserve">Джизакская область, Арнасайский район, Ғолиблар ШФЙ, ул. А.Яссавий, дом 17-уй</t>
        </is>
      </c>
      <c r="H213" s="118">
        <v>3.0</v>
      </c>
      <c r="I213" s="118">
        <v>3304234.57</v>
      </c>
      <c r="K213" s="117" t="inlineStr">
        <is>
          <t xml:space="preserve">kecgaca tolaydi</t>
        </is>
      </c>
    </row>
    <row r="214">
      <c r="A214" s="117" t="inlineStr">
        <is>
          <t xml:space="preserve">ЖИЗЗАХ ВИЛОЯТИ</t>
        </is>
      </c>
      <c r="B214" s="117" t="inlineStr">
        <is>
          <t xml:space="preserve">Жиззах филиали</t>
        </is>
      </c>
      <c r="C214" s="117" t="inlineStr">
        <is>
          <t xml:space="preserve">Обещали</t>
        </is>
      </c>
      <c r="D214" s="117" t="inlineStr">
        <is>
          <t xml:space="preserve">Кр-99045797-1</t>
        </is>
      </c>
      <c r="E214" s="117" t="inlineStr">
        <is>
          <t xml:space="preserve">QARSHIBAYEV RUSLAN QAXRAMON O’G’LI</t>
        </is>
      </c>
      <c r="F214" s="117" t="inlineStr">
        <is>
          <t xml:space="preserve">+998900251515 SMS, 998902978487 SMS, 998992408778 SMS,</t>
        </is>
      </c>
      <c r="G214" s="117" t="inlineStr">
        <is>
          <t xml:space="preserve">JIZZAX VILOYATI SH.RASHIDOV TUMANI TOSHKENTLIK MFY QATORTOL KUCHASI 7-UY</t>
        </is>
      </c>
      <c r="H214" s="118">
        <v>3.0</v>
      </c>
      <c r="I214" s="118">
        <v>3137485.87</v>
      </c>
      <c r="K214" s="117" t="inlineStr">
        <is>
          <t xml:space="preserve">duwanbagaca tolaydi</t>
        </is>
      </c>
    </row>
    <row r="215">
      <c r="A215" s="117" t="inlineStr">
        <is>
          <t xml:space="preserve">ЖИЗЗАХ ВИЛОЯТИ</t>
        </is>
      </c>
      <c r="B215" s="117" t="inlineStr">
        <is>
          <t xml:space="preserve">Жиззах филиали</t>
        </is>
      </c>
      <c r="C215" s="117" t="inlineStr">
        <is>
          <t xml:space="preserve">Ko'tardi</t>
        </is>
      </c>
      <c r="D215" s="117" t="inlineStr">
        <is>
          <t xml:space="preserve">Кр-99040555-1</t>
        </is>
      </c>
      <c r="E215" s="117" t="inlineStr">
        <is>
          <t xml:space="preserve">KARAMANOV ILXOM BOTIROVICH</t>
        </is>
      </c>
      <c r="F215" s="117" t="inlineStr">
        <is>
          <t xml:space="preserve">+998994845030 SMS, 998905166595 SMS, 998945720186 SMS,</t>
        </is>
      </c>
      <c r="G215" s="117" t="inlineStr">
        <is>
          <t xml:space="preserve">МОЛТОБ КФЙ УЙМОВУТ КИШЛОГИ,  uy:Р/С</t>
        </is>
      </c>
      <c r="H215" s="118">
        <v>3.0</v>
      </c>
      <c r="I215" s="118">
        <v>3105932.92</v>
      </c>
      <c r="K215" s="117" t="inlineStr">
        <is>
          <t xml:space="preserve">ayoli aytamn tulaydi dedi</t>
        </is>
      </c>
    </row>
    <row r="216">
      <c r="A216" s="117" t="inlineStr">
        <is>
          <t xml:space="preserve">ЖИЗЗАХ ВИЛОЯТИ</t>
        </is>
      </c>
      <c r="B216" s="117" t="inlineStr">
        <is>
          <t xml:space="preserve">Жиззах филиали</t>
        </is>
      </c>
      <c r="C216" s="117" t="inlineStr">
        <is>
          <t xml:space="preserve">Оплатил дозвон</t>
        </is>
      </c>
      <c r="D216" s="117" t="inlineStr">
        <is>
          <t xml:space="preserve">Кр-99029615-2</t>
        </is>
      </c>
      <c r="E216" s="117" t="inlineStr">
        <is>
          <t xml:space="preserve">QILICHBEKOV UTKIR LATIFOVICH</t>
        </is>
      </c>
      <c r="F216" s="117" t="inlineStr">
        <is>
          <t xml:space="preserve">99-034-81-71  SMS O'ZI, 99-095-20-12  SMS AYOLI , 88-208-15-45  SMS AKASI , 88-296-26-29  SMS HAMKASB ,</t>
        </is>
      </c>
      <c r="G216" s="117" t="inlineStr">
        <is>
          <t xml:space="preserve">JIZZAX VILOYATI JIZZAX SHAHRI ZILOL MAHALLASI MUSTAQILLIK KUCHASI 12-UY 20 XONADON</t>
        </is>
      </c>
      <c r="H216" s="118">
        <v>3.0</v>
      </c>
      <c r="I216" s="118">
        <v>2917352.22</v>
      </c>
      <c r="J216" s="118">
        <v>2917352.22</v>
      </c>
    </row>
    <row r="217">
      <c r="A217" s="117" t="inlineStr">
        <is>
          <t xml:space="preserve">ЖИЗЗАХ ВИЛОЯТИ</t>
        </is>
      </c>
      <c r="B217" s="117" t="inlineStr">
        <is>
          <t xml:space="preserve">Жиззах филиали</t>
        </is>
      </c>
      <c r="C217" s="117" t="inlineStr">
        <is>
          <t xml:space="preserve">Ko'tardi</t>
        </is>
      </c>
      <c r="D217" s="117" t="inlineStr">
        <is>
          <t xml:space="preserve">Кр-99063038-1</t>
        </is>
      </c>
      <c r="E217" s="117" t="inlineStr">
        <is>
          <t xml:space="preserve">SALIMOV MANSUR AZIMOVICH</t>
        </is>
      </c>
      <c r="F217" s="117" t="inlineStr">
        <is>
          <t xml:space="preserve">998771120702 AYOLI, 998904927979 UY,</t>
        </is>
      </c>
      <c r="G217" s="117" t="inlineStr">
        <is>
          <t xml:space="preserve">ТОКЧИЛИҚ МАХАЛЛАСИ, ЛОЙИХАДАГИ КЎЧА,  uy:Р.С</t>
        </is>
      </c>
      <c r="H217" s="118">
        <v>3.0</v>
      </c>
      <c r="I217" s="118">
        <v>2805862.12</v>
      </c>
      <c r="K217" s="117" t="inlineStr">
        <is>
          <t xml:space="preserve">begona</t>
        </is>
      </c>
    </row>
    <row r="218">
      <c r="A218" s="117" t="inlineStr">
        <is>
          <t xml:space="preserve">ЖИЗЗАХ ВИЛОЯТИ</t>
        </is>
      </c>
      <c r="B218" s="117" t="inlineStr">
        <is>
          <t xml:space="preserve">Жиззах филиали</t>
        </is>
      </c>
      <c r="C218" s="117" t="inlineStr">
        <is>
          <t xml:space="preserve">Обещали</t>
        </is>
      </c>
      <c r="D218" s="117" t="inlineStr">
        <is>
          <t xml:space="preserve">Кр-99041060-1</t>
        </is>
      </c>
      <c r="E218" s="117" t="inlineStr">
        <is>
          <t xml:space="preserve">ORZIKULOV JALOL XAYDAROVICH</t>
        </is>
      </c>
      <c r="F218" s="117" t="inlineStr">
        <is>
          <t xml:space="preserve">+998915698969 SMS AYOLI, 998915644788 SMS OZI, 998982610099 SMS DADASI,</t>
        </is>
      </c>
      <c r="G218" s="117" t="inlineStr">
        <is>
          <t xml:space="preserve">XAYROBOD MAHALLASI SHAXRISTON KUCHASI 11-UY</t>
        </is>
      </c>
      <c r="H218" s="118">
        <v>3.0</v>
      </c>
      <c r="I218" s="118">
        <v>2792830.35</v>
      </c>
      <c r="K218" s="117" t="inlineStr">
        <is>
          <t xml:space="preserve">ertaga tolaydi</t>
        </is>
      </c>
    </row>
    <row r="219">
      <c r="A219" s="117" t="inlineStr">
        <is>
          <t xml:space="preserve">ЖИЗЗАХ ВИЛОЯТИ</t>
        </is>
      </c>
      <c r="B219" s="117" t="inlineStr">
        <is>
          <t xml:space="preserve">Жиззах филиали</t>
        </is>
      </c>
      <c r="C219" s="117" t="inlineStr">
        <is>
          <t xml:space="preserve">Обещали</t>
        </is>
      </c>
      <c r="D219" s="117" t="inlineStr">
        <is>
          <t xml:space="preserve">Кр-99044986-1</t>
        </is>
      </c>
      <c r="E219" s="117" t="inlineStr">
        <is>
          <t xml:space="preserve">MAMATOV EGAMBERDI UMMATOVICH</t>
        </is>
      </c>
      <c r="F219" s="117" t="inlineStr">
        <is>
          <t xml:space="preserve">+998943457064 SMS, 998941607080 SMS, 998943442473 SMS,</t>
        </is>
      </c>
      <c r="G219" s="117" t="inlineStr">
        <is>
          <t xml:space="preserve">НУРЛИКЕНТ МФЙ, ЯНГИОБОД КЎЧАСИ,  uy:Б/Н</t>
        </is>
      </c>
      <c r="H219" s="118">
        <v>3.0</v>
      </c>
      <c r="I219" s="118">
        <v>2785998.14</v>
      </c>
      <c r="K219" s="117" t="inlineStr">
        <is>
          <t xml:space="preserve">kecgaca tolaydi</t>
        </is>
      </c>
    </row>
    <row r="220">
      <c r="A220" s="117" t="inlineStr">
        <is>
          <t xml:space="preserve">ЖИЗЗАХ ВИЛОЯТИ</t>
        </is>
      </c>
      <c r="B220" s="117" t="inlineStr">
        <is>
          <t xml:space="preserve">Жиззах филиали</t>
        </is>
      </c>
      <c r="C220" s="117" t="inlineStr">
        <is>
          <t xml:space="preserve">Обещали</t>
        </is>
      </c>
      <c r="D220" s="117" t="inlineStr">
        <is>
          <t xml:space="preserve">Кр-99064202-1</t>
        </is>
      </c>
      <c r="E220" s="117" t="inlineStr">
        <is>
          <t xml:space="preserve">XUJANOV DJURABOY MAMARASULOVICH</t>
        </is>
      </c>
      <c r="F220" s="117" t="inlineStr">
        <is>
          <t xml:space="preserve">998931671362 AYOLI, 998992865889 UZI, 998995681362 O’G’LI,</t>
        </is>
      </c>
      <c r="G220" s="117" t="inlineStr">
        <is>
          <t xml:space="preserve">Гагарин шахар, Ғалаба МФЙ, Гагарин шахар, Мауленкулов, дом 11/1</t>
        </is>
      </c>
      <c r="H220" s="118">
        <v>3.0</v>
      </c>
      <c r="I220" s="118">
        <v>2781506.0</v>
      </c>
      <c r="K220" s="117" t="inlineStr">
        <is>
          <t xml:space="preserve">kecgaaca tolaydi</t>
        </is>
      </c>
    </row>
    <row r="221">
      <c r="A221" s="117" t="inlineStr">
        <is>
          <t xml:space="preserve">ЖИЗЗАХ ВИЛОЯТИ</t>
        </is>
      </c>
      <c r="B221" s="117" t="inlineStr">
        <is>
          <t xml:space="preserve">Жиззах филиали</t>
        </is>
      </c>
      <c r="C221" s="117" t="inlineStr">
        <is>
          <t xml:space="preserve">Обещали</t>
        </is>
      </c>
      <c r="D221" s="117" t="inlineStr">
        <is>
          <t xml:space="preserve">Кр-99031401-5</t>
        </is>
      </c>
      <c r="E221" s="117" t="inlineStr">
        <is>
          <t xml:space="preserve">IGAMBERDIYEVA MATLUBA TULQINOVNA</t>
        </is>
      </c>
      <c r="F221" s="117" t="inlineStr">
        <is>
          <t xml:space="preserve">95-315-49-99  SMS O'ZI, 91-591-09-77  SMS QIZI , 93-828-90-09  SMS ERI ,</t>
        </is>
      </c>
      <c r="G221" s="117" t="inlineStr">
        <is>
          <t xml:space="preserve">JIZZAX VILOYATI JIZZAX SHAHAR OQQURG’ONLIK MAHALLASI I.TURSUNOV KUCHASI 14-UY</t>
        </is>
      </c>
      <c r="H221" s="118">
        <v>3.0</v>
      </c>
      <c r="I221" s="118">
        <v>2577747.11</v>
      </c>
      <c r="K221" s="117" t="inlineStr">
        <is>
          <t xml:space="preserve">duwanba kungaca tolaydi</t>
        </is>
      </c>
    </row>
    <row r="222">
      <c r="A222" s="117" t="inlineStr">
        <is>
          <t xml:space="preserve">ЖИЗЗАХ ВИЛОЯТИ</t>
        </is>
      </c>
      <c r="B222" s="117" t="inlineStr">
        <is>
          <t xml:space="preserve">Жиззах филиали</t>
        </is>
      </c>
      <c r="C222" s="117" t="inlineStr">
        <is>
          <t xml:space="preserve">Обещали</t>
        </is>
      </c>
      <c r="D222" s="117" t="inlineStr">
        <is>
          <t xml:space="preserve">Кр-99032253-1</t>
        </is>
      </c>
      <c r="E222" s="117" t="inlineStr">
        <is>
          <t xml:space="preserve">ACHILOV SIROJDIN RAXMONOVICH</t>
        </is>
      </c>
      <c r="F222" s="117" t="inlineStr">
        <is>
          <t xml:space="preserve">998933081365 SMS O’ZI, 998945749494 SMS AYOLI begona ekan , 998943482450 SMS DO’STI, 998937568996 SMS AYOLI 2, 998955668996 SMS TO’LOVCHI NEW, 998945749494 SMS NEW2 туловчи,</t>
        </is>
      </c>
      <c r="G222" s="117" t="inlineStr">
        <is>
          <t xml:space="preserve">JIZZAX VILOYATI ZARBDOR TUMANI TOZAURUG’ MFY OBODYURT KUCHASI 11-UY</t>
        </is>
      </c>
      <c r="H222" s="118">
        <v>3.0</v>
      </c>
      <c r="I222" s="118">
        <v>2529526.58</v>
      </c>
      <c r="K222" s="117" t="inlineStr">
        <is>
          <t xml:space="preserve">ertaga kecgaca tolaydi</t>
        </is>
      </c>
    </row>
    <row r="223">
      <c r="A223" s="117" t="inlineStr">
        <is>
          <t xml:space="preserve">ЖИЗЗАХ ВИЛОЯТИ</t>
        </is>
      </c>
      <c r="B223" s="117" t="inlineStr">
        <is>
          <t xml:space="preserve">Жиззах филиали</t>
        </is>
      </c>
      <c r="C223" s="117" t="inlineStr">
        <is>
          <t xml:space="preserve">Обещали</t>
        </is>
      </c>
      <c r="D223" s="117" t="inlineStr">
        <is>
          <t xml:space="preserve">Кр-99032364-1</t>
        </is>
      </c>
      <c r="E223" s="117" t="inlineStr">
        <is>
          <t xml:space="preserve">BAXRAMOV KAMILJON G’ANIYEVICH</t>
        </is>
      </c>
      <c r="F223" s="117" t="inlineStr">
        <is>
          <t xml:space="preserve">998888555105 SMS O’ZI, 998973288188 SMS AYOLI, 998973285105 SMS AKASI, 998910117313 SMS QIZI, 998702345154 SMS O’ZI,</t>
        </is>
      </c>
      <c r="G223" s="117" t="inlineStr">
        <is>
          <t xml:space="preserve">JIZZAX VILOYATI G’ALLAOROL TUMANI MADANIYAT QFY KUKGUMBAZ QISHLOGI MEHRIZIYO 47 -UY </t>
        </is>
      </c>
      <c r="H223" s="118">
        <v>2.0</v>
      </c>
      <c r="I223" s="118">
        <v>2495924.81</v>
      </c>
      <c r="K223" s="117" t="inlineStr">
        <is>
          <t xml:space="preserve">ertaga tulaydi</t>
        </is>
      </c>
    </row>
    <row r="224">
      <c r="A224" s="117" t="inlineStr">
        <is>
          <t xml:space="preserve">ЖИЗЗАХ ВИЛОЯТИ</t>
        </is>
      </c>
      <c r="B224" s="117" t="inlineStr">
        <is>
          <t xml:space="preserve">Жиззах филиали</t>
        </is>
      </c>
      <c r="C224" s="117" t="inlineStr">
        <is>
          <t xml:space="preserve">Оплатил дозвон</t>
        </is>
      </c>
      <c r="D224" s="117" t="inlineStr">
        <is>
          <t xml:space="preserve">Кр-99041360-2</t>
        </is>
      </c>
      <c r="E224" s="117" t="inlineStr">
        <is>
          <t xml:space="preserve">QOSIMOV XAYRULLO RAXIMBERDIYEVICH</t>
        </is>
      </c>
      <c r="F224" s="117" t="inlineStr">
        <is>
          <t xml:space="preserve">+998943473031 SMS 1, 998941362625 SMS 2, 998977253031 SMS 3,</t>
        </is>
      </c>
      <c r="G224" s="117" t="inlineStr">
        <is>
          <t xml:space="preserve">JIZZAX VILOYATI DUSTLIK TUMANI MANAS MFY XATIRCHI KUCHASI 18/8-UY</t>
        </is>
      </c>
      <c r="H224" s="118">
        <v>3.0</v>
      </c>
      <c r="I224" s="118">
        <v>2482424.11</v>
      </c>
      <c r="J224" s="118">
        <v>2482424.11</v>
      </c>
    </row>
    <row r="225">
      <c r="A225" s="117" t="inlineStr">
        <is>
          <t xml:space="preserve">ЖИЗЗАХ ВИЛОЯТИ</t>
        </is>
      </c>
      <c r="B225" s="117" t="inlineStr">
        <is>
          <t xml:space="preserve">Жиззах филиали</t>
        </is>
      </c>
      <c r="C225" s="117" t="inlineStr">
        <is>
          <t xml:space="preserve">Обещали</t>
        </is>
      </c>
      <c r="D225" s="117" t="inlineStr">
        <is>
          <t xml:space="preserve">Кр-99033288-1</t>
        </is>
      </c>
      <c r="E225" s="117" t="inlineStr">
        <is>
          <t xml:space="preserve">KENJAYEVA MUHABBAT XOLQUZIYEVNA</t>
        </is>
      </c>
      <c r="F225" s="117" t="inlineStr">
        <is>
          <t xml:space="preserve">998995277527 SMS O’ZI, 998932993392 SMS QIZI, 990982993399 SMS KUYOVI,</t>
        </is>
      </c>
      <c r="G225" s="117" t="inlineStr">
        <is>
          <t xml:space="preserve">JIZZAX VILOYATI SH RASHIDOV TUMANI QAHRAMON MFY TURKISTON KUCHASI 42-UY </t>
        </is>
      </c>
      <c r="H225" s="118">
        <v>3.0</v>
      </c>
      <c r="I225" s="118">
        <v>2391393.55</v>
      </c>
      <c r="K225" s="117" t="inlineStr">
        <is>
          <t xml:space="preserve">wu hafta tolaydi</t>
        </is>
      </c>
    </row>
    <row r="226">
      <c r="A226" s="117" t="inlineStr">
        <is>
          <t xml:space="preserve">ЖИЗЗАХ ВИЛОЯТИ</t>
        </is>
      </c>
      <c r="B226" s="117" t="inlineStr">
        <is>
          <t xml:space="preserve">Жиззах филиали</t>
        </is>
      </c>
      <c r="C226" s="117" t="inlineStr">
        <is>
          <t xml:space="preserve">Обещали</t>
        </is>
      </c>
      <c r="D226" s="117" t="inlineStr">
        <is>
          <t xml:space="preserve">Кр-99041856-1</t>
        </is>
      </c>
      <c r="E226" s="117" t="inlineStr">
        <is>
          <t xml:space="preserve">ERDASHEV RUSTAM JALILOVICH</t>
        </is>
      </c>
      <c r="F226" s="117" t="inlineStr">
        <is>
          <t xml:space="preserve">+998932916225 OZI, 998946894222 SMS OZI, 998952852325 SMS OZI 3,</t>
        </is>
      </c>
      <c r="G226" s="117" t="inlineStr">
        <is>
          <t xml:space="preserve">JIZZAX VILOYATI ARNASOY TUMANI G.GULOM MFY BOGIDILKUSHOD KUCHASI 6-UY</t>
        </is>
      </c>
      <c r="H226" s="118">
        <v>3.0</v>
      </c>
      <c r="I226" s="118">
        <v>2300077.42</v>
      </c>
      <c r="K226" s="117" t="inlineStr">
        <is>
          <t xml:space="preserve">bolib bolib tolaydi wu haftagaca</t>
        </is>
      </c>
    </row>
    <row r="227">
      <c r="A227" s="117" t="inlineStr">
        <is>
          <t xml:space="preserve">ЖИЗЗАХ ВИЛОЯТИ</t>
        </is>
      </c>
      <c r="B227" s="117" t="inlineStr">
        <is>
          <t xml:space="preserve">Жиззах филиали</t>
        </is>
      </c>
      <c r="C227" s="117" t="inlineStr">
        <is>
          <t xml:space="preserve">Обещали</t>
        </is>
      </c>
      <c r="D227" s="117" t="inlineStr">
        <is>
          <t xml:space="preserve">Кр-99046098-1</t>
        </is>
      </c>
      <c r="E227" s="117" t="inlineStr">
        <is>
          <t xml:space="preserve">RAMAZANOV IXTIYOR BAXTIYOR O’G’LI</t>
        </is>
      </c>
      <c r="F227" s="117" t="inlineStr">
        <is>
          <t xml:space="preserve">998915983004 SMS, 998945960080 SMS, 998950800277 SMS,</t>
        </is>
      </c>
      <c r="G227" s="117" t="inlineStr">
        <is>
          <t xml:space="preserve">JIZZAX VILOYATI, JIZZAX SHAHRI, TINCHLIK MFY, S.KARIMOV KO’CHASI, 5/17-UY</t>
        </is>
      </c>
      <c r="H227" s="118">
        <v>3.0</v>
      </c>
      <c r="I227" s="118">
        <v>2263622.38</v>
      </c>
      <c r="K227" s="117" t="inlineStr">
        <is>
          <t xml:space="preserve">ertaga tolaydi</t>
        </is>
      </c>
    </row>
    <row r="228">
      <c r="A228" s="117" t="inlineStr">
        <is>
          <t xml:space="preserve">ЖИЗЗАХ ВИЛОЯТИ</t>
        </is>
      </c>
      <c r="B228" s="117" t="inlineStr">
        <is>
          <t xml:space="preserve">Жиззах филиали</t>
        </is>
      </c>
      <c r="C228" s="117" t="inlineStr">
        <is>
          <t xml:space="preserve">Обещали</t>
        </is>
      </c>
      <c r="D228" s="117" t="inlineStr">
        <is>
          <t xml:space="preserve">Кр-99064328-1</t>
        </is>
      </c>
      <c r="E228" s="117" t="inlineStr">
        <is>
          <t xml:space="preserve">JONIKULOV NIZOMJON EGAMKULOVICH</t>
        </is>
      </c>
      <c r="F228" s="117" t="inlineStr">
        <is>
          <t xml:space="preserve">998771308382 ONASI, 998954532262 UY,</t>
        </is>
      </c>
      <c r="G228" s="117" t="inlineStr">
        <is>
          <t xml:space="preserve">КАЙИРМА МФЙ, КАЙИРМА МФЙ, УЛУГБЕК КУЧАСИ,  uy:Б/Н</t>
        </is>
      </c>
      <c r="H228" s="118">
        <v>3.0</v>
      </c>
      <c r="I228" s="118">
        <v>2219961.43</v>
      </c>
      <c r="K228" s="117" t="inlineStr">
        <is>
          <t xml:space="preserve">77 249 0009 ulgursa bugun bomasa erta aniq tolaydi</t>
        </is>
      </c>
    </row>
    <row r="229">
      <c r="A229" s="117" t="inlineStr">
        <is>
          <t xml:space="preserve">ЖИЗЗАХ ВИЛОЯТИ</t>
        </is>
      </c>
      <c r="B229" s="117" t="inlineStr">
        <is>
          <t xml:space="preserve">Жиззах филиали</t>
        </is>
      </c>
      <c r="C229" s="117" t="inlineStr">
        <is>
          <t xml:space="preserve">Обещали</t>
        </is>
      </c>
      <c r="D229" s="117" t="inlineStr">
        <is>
          <t xml:space="preserve">Кр-99044347-1</t>
        </is>
      </c>
      <c r="E229" s="117" t="inlineStr">
        <is>
          <t xml:space="preserve">DJANKABULOV JALOLIDDIN AKBAROVICH</t>
        </is>
      </c>
      <c r="F229" s="117" t="inlineStr">
        <is>
          <t xml:space="preserve">+998958388700 SMS, 998951223667 SMS,</t>
        </is>
      </c>
      <c r="G229" s="117" t="inlineStr">
        <is>
          <t xml:space="preserve">Джизакская область, Фаришский район, Э.Камолов МФЙ, Порашт кишлоги, дом 77</t>
        </is>
      </c>
      <c r="H229" s="118">
        <v>3.0</v>
      </c>
      <c r="I229" s="118">
        <v>2053077.66</v>
      </c>
      <c r="K229" s="117" t="inlineStr">
        <is>
          <t xml:space="preserve">ertaga tolaydi kecgaca</t>
        </is>
      </c>
    </row>
    <row r="230">
      <c r="A230" s="117" t="inlineStr">
        <is>
          <t xml:space="preserve">ЖИЗЗАХ ВИЛОЯТИ</t>
        </is>
      </c>
      <c r="B230" s="117" t="inlineStr">
        <is>
          <t xml:space="preserve">Жиззах филиали</t>
        </is>
      </c>
      <c r="C230" s="117" t="inlineStr">
        <is>
          <t xml:space="preserve">Обещали</t>
        </is>
      </c>
      <c r="D230" s="117" t="inlineStr">
        <is>
          <t xml:space="preserve">Кр-99029158-3</t>
        </is>
      </c>
      <c r="E230" s="117" t="inlineStr">
        <is>
          <t xml:space="preserve">MELIYEV ISKANDARJON ABDULLAYEVICH</t>
        </is>
      </c>
      <c r="F230" s="117" t="inlineStr">
        <is>
          <t xml:space="preserve">90-494-77-70  SMS ISNGLIS, 95-013-77-07 SMS OZI, 93-303-77-07 SMS AYOLI, 90-498-77-70 SMS UY, 998904947770 SMS O'G'LI TO'LOVCHI,</t>
        </is>
      </c>
      <c r="G230" s="117" t="inlineStr">
        <is>
          <t xml:space="preserve">ХАЙРАБОД, ХАЙРАБОД БУЮК-ИПАК ЙУЛИ КЎЧАСИ,  uy:Р/С</t>
        </is>
      </c>
      <c r="H230" s="118">
        <v>3.0</v>
      </c>
      <c r="I230" s="118">
        <v>2035281.63</v>
      </c>
      <c r="K230" s="117" t="inlineStr">
        <is>
          <t xml:space="preserve">ertaga tulaydi</t>
        </is>
      </c>
    </row>
    <row r="231">
      <c r="A231" s="117" t="inlineStr">
        <is>
          <t xml:space="preserve">ЖИЗЗАХ ВИЛОЯТИ</t>
        </is>
      </c>
      <c r="B231" s="117" t="inlineStr">
        <is>
          <t xml:space="preserve">Жиззах филиали</t>
        </is>
      </c>
      <c r="C231" s="117" t="inlineStr">
        <is>
          <t xml:space="preserve">Обещали</t>
        </is>
      </c>
      <c r="D231" s="117" t="inlineStr">
        <is>
          <t xml:space="preserve">Кр-99062952-1</t>
        </is>
      </c>
      <c r="E231" s="117" t="inlineStr">
        <is>
          <t xml:space="preserve">OCHILOVA DILFUZA URALBOYEVNA</t>
        </is>
      </c>
      <c r="F231" s="117" t="inlineStr">
        <is>
          <t xml:space="preserve">998931755565 O’G’LI, 998942217575 ERI,</t>
        </is>
      </c>
      <c r="G231" s="117" t="inlineStr">
        <is>
          <t xml:space="preserve">Дустлик МФЙ, Сарой кучаси, 24-уй</t>
        </is>
      </c>
      <c r="H231" s="118">
        <v>3.0</v>
      </c>
      <c r="I231" s="118">
        <v>2015961.46</v>
      </c>
      <c r="K231" s="117" t="inlineStr">
        <is>
          <t xml:space="preserve">bugun kecgaca tolaydi</t>
        </is>
      </c>
    </row>
    <row r="232">
      <c r="A232" s="117" t="inlineStr">
        <is>
          <t xml:space="preserve">ЖИЗЗАХ ВИЛОЯТИ</t>
        </is>
      </c>
      <c r="B232" s="117" t="inlineStr">
        <is>
          <t xml:space="preserve">Жиззах филиали</t>
        </is>
      </c>
      <c r="C232" s="117" t="inlineStr">
        <is>
          <t xml:space="preserve">Обещали</t>
        </is>
      </c>
      <c r="D232" s="117" t="inlineStr">
        <is>
          <t xml:space="preserve">Кр-99041246-1</t>
        </is>
      </c>
      <c r="E232" s="117" t="inlineStr">
        <is>
          <t xml:space="preserve">BURXANOV JAHONGIRXON RAXMATULLA O’G’LI</t>
        </is>
      </c>
      <c r="F232" s="117" t="inlineStr">
        <is>
          <t xml:space="preserve">+998933073110 Sms, 998975225030 SMS,</t>
        </is>
      </c>
      <c r="G232" s="117" t="inlineStr">
        <is>
          <t xml:space="preserve">NAVOIY QFY YOSHLIK MAHALLASI</t>
        </is>
      </c>
      <c r="H232" s="118">
        <v>3.0</v>
      </c>
      <c r="I232" s="118">
        <v>1833994.36</v>
      </c>
      <c r="K232" s="117" t="inlineStr">
        <is>
          <t xml:space="preserve">ertaga tolaydi</t>
        </is>
      </c>
    </row>
    <row r="233">
      <c r="A233" s="117" t="inlineStr">
        <is>
          <t xml:space="preserve">ЖИЗЗАХ ВИЛОЯТИ</t>
        </is>
      </c>
      <c r="B233" s="117" t="inlineStr">
        <is>
          <t xml:space="preserve">Жиззах филиали</t>
        </is>
      </c>
      <c r="C233" s="117" t="inlineStr">
        <is>
          <t xml:space="preserve">Обещали</t>
        </is>
      </c>
      <c r="D233" s="117" t="inlineStr">
        <is>
          <t xml:space="preserve">Кр-99038104-2</t>
        </is>
      </c>
      <c r="E233" s="117" t="inlineStr">
        <is>
          <t xml:space="preserve">USMANOV MURTAZAQUL AKRAMOVICH</t>
        </is>
      </c>
      <c r="F233" s="117" t="inlineStr">
        <is>
          <t xml:space="preserve">998915653836 SMS OZI, 998910293836 SMS O’G’LI, 998991183649 SMS O’G’LI,</t>
        </is>
      </c>
      <c r="G233" s="117" t="inlineStr">
        <is>
          <t xml:space="preserve">JIZZAX VILOYATI SH.RASHIDOV TUMANI ZIYOKOR MFY A.QAHHOR KUCHASI 61-UY</t>
        </is>
      </c>
      <c r="H233" s="118">
        <v>3.0</v>
      </c>
      <c r="I233" s="118">
        <v>1738881.88</v>
      </c>
      <c r="K233" s="117" t="inlineStr">
        <is>
          <t xml:space="preserve">981009090 tulovci duwanbagaca tolaydi</t>
        </is>
      </c>
    </row>
    <row r="234">
      <c r="A234" s="117" t="inlineStr">
        <is>
          <t xml:space="preserve">ЖИЗЗАХ ВИЛОЯТИ</t>
        </is>
      </c>
      <c r="B234" s="117" t="inlineStr">
        <is>
          <t xml:space="preserve">Жиззах филиали</t>
        </is>
      </c>
      <c r="C234" s="117" t="inlineStr">
        <is>
          <t xml:space="preserve">Обещали</t>
        </is>
      </c>
      <c r="D234" s="117" t="inlineStr">
        <is>
          <t xml:space="preserve">Кр-99033328-3</t>
        </is>
      </c>
      <c r="E234" s="117" t="inlineStr">
        <is>
          <t xml:space="preserve">XOLBUTAYEV DILMUROD ABDUMALIKOVICH</t>
        </is>
      </c>
      <c r="F234" s="117" t="inlineStr">
        <is>
          <t xml:space="preserve">998915680048 SMS O’ZI, 998994280048 SMS UKASI, 998990280048 SMS AYOLI BEGONA, 998900265356 SMS ONASI,</t>
        </is>
      </c>
      <c r="G234" s="117" t="inlineStr">
        <is>
          <t xml:space="preserve">JIZZAX VILOYATI ZOMIN TUMANI  DASHTOBOD SHAXAR QORATEPA MFY SHIRIN KUCHASI</t>
        </is>
      </c>
      <c r="H234" s="118">
        <v>3.0</v>
      </c>
      <c r="I234" s="118">
        <v>1693482.0</v>
      </c>
      <c r="K234" s="117" t="inlineStr">
        <is>
          <t xml:space="preserve">erta kecgaca tolaydi</t>
        </is>
      </c>
    </row>
    <row r="235">
      <c r="A235" s="117" t="inlineStr">
        <is>
          <t xml:space="preserve">ЖИЗЗАХ ВИЛОЯТИ</t>
        </is>
      </c>
      <c r="B235" s="117" t="inlineStr">
        <is>
          <t xml:space="preserve">Жиззах филиали</t>
        </is>
      </c>
      <c r="C235" s="117" t="inlineStr">
        <is>
          <t xml:space="preserve">Оплатил дозвон</t>
        </is>
      </c>
      <c r="D235" s="117" t="inlineStr">
        <is>
          <t xml:space="preserve">Кр-99028729-2</t>
        </is>
      </c>
      <c r="E235" s="117" t="inlineStr">
        <is>
          <t xml:space="preserve">AMANOV BUNYOD MUMIN O’G’LI</t>
        </is>
      </c>
      <c r="F235" s="117" t="inlineStr">
        <is>
          <t xml:space="preserve">998991791177 SMS OZI, 998902642879 SMS OPASI, 998509979579 SMS TOLOVCHISI, 998996790117 SMS AYOLI, 998881591177 AYOLI, 998944449556 ONASI,</t>
        </is>
      </c>
      <c r="G235" s="117" t="inlineStr">
        <is>
          <t xml:space="preserve">МУЗБУЛОК МФЙ, МУЗБУЛОК МФЙ, ЛОЙИХАДАГИ,  uy:Р.С</t>
        </is>
      </c>
      <c r="H235" s="118">
        <v>3.0</v>
      </c>
      <c r="I235" s="118">
        <v>1400224.32</v>
      </c>
      <c r="J235" s="118">
        <v>1400224.32</v>
      </c>
    </row>
    <row r="236">
      <c r="A236" s="117" t="inlineStr">
        <is>
          <t xml:space="preserve">ЖИЗЗАХ ВИЛОЯТИ</t>
        </is>
      </c>
      <c r="B236" s="117" t="inlineStr">
        <is>
          <t xml:space="preserve">Жиззах филиали</t>
        </is>
      </c>
      <c r="C236" s="117" t="inlineStr">
        <is>
          <t xml:space="preserve">Обещали</t>
        </is>
      </c>
      <c r="D236" s="117" t="inlineStr">
        <is>
          <t xml:space="preserve">Кр-99063358-1</t>
        </is>
      </c>
      <c r="E236" s="117" t="inlineStr">
        <is>
          <t xml:space="preserve">TURAKULOVA DILRABO KARIMOVNA</t>
        </is>
      </c>
      <c r="F236" s="117" t="inlineStr">
        <is>
          <t xml:space="preserve">998888926464 UY, 998918951189 UZI, 998985611189 ERI,</t>
        </is>
      </c>
      <c r="G236" s="117" t="inlineStr">
        <is>
          <t xml:space="preserve">JIZZAX VILOYATI JIZZAX SHAHRI OBOD MFY MINORLI KUCHASI 126B-UY</t>
        </is>
      </c>
      <c r="H236" s="118">
        <v>3.0</v>
      </c>
      <c r="I236" s="118">
        <v>1372098.58</v>
      </c>
      <c r="K236" s="117" t="inlineStr">
        <is>
          <t xml:space="preserve">15gaca tolaydi</t>
        </is>
      </c>
    </row>
    <row r="237">
      <c r="A237" s="117" t="inlineStr">
        <is>
          <t xml:space="preserve">ЖИЗЗАХ ВИЛОЯТИ</t>
        </is>
      </c>
      <c r="B237" s="117" t="inlineStr">
        <is>
          <t xml:space="preserve">Жиззах филиали</t>
        </is>
      </c>
      <c r="C237" s="117" t="inlineStr">
        <is>
          <t xml:space="preserve">Обещали</t>
        </is>
      </c>
      <c r="D237" s="117" t="inlineStr">
        <is>
          <t xml:space="preserve">Кр-99041781-2</t>
        </is>
      </c>
      <c r="E237" s="117" t="inlineStr">
        <is>
          <t xml:space="preserve">NORYIGITOV SAMANDAR O’TKIR O’G’LI</t>
        </is>
      </c>
      <c r="F237" s="117" t="inlineStr">
        <is>
          <t xml:space="preserve">+998997654666 SMS, 998973271427 SMS, 998990654666 SMS,</t>
        </is>
      </c>
      <c r="G237" s="117" t="inlineStr">
        <is>
          <t xml:space="preserve">JIZZAX VILOYATI YANGIOBOD TUMANI BALANDCHAQIR MFY MUSTAQILLIK SHOX KUCHASI 159-UY</t>
        </is>
      </c>
      <c r="H237" s="118">
        <v>3.0</v>
      </c>
      <c r="I237" s="118">
        <v>1343211.72</v>
      </c>
      <c r="K237" s="117" t="inlineStr">
        <is>
          <t xml:space="preserve">kecgaca tolaydi</t>
        </is>
      </c>
    </row>
    <row r="238">
      <c r="A238" s="117" t="inlineStr">
        <is>
          <t xml:space="preserve">ЖИЗЗАХ ВИЛОЯТИ</t>
        </is>
      </c>
      <c r="B238" s="117" t="inlineStr">
        <is>
          <t xml:space="preserve">Жиззах филиали</t>
        </is>
      </c>
      <c r="C238" s="117" t="inlineStr">
        <is>
          <t xml:space="preserve">Обещали</t>
        </is>
      </c>
      <c r="D238" s="117" t="inlineStr">
        <is>
          <t xml:space="preserve">Кр-99036920-2</t>
        </is>
      </c>
      <c r="E238" s="117" t="inlineStr">
        <is>
          <t xml:space="preserve">XOLMATOV DILSHOD IXTIYOR O’G’LI</t>
        </is>
      </c>
      <c r="F238" s="117" t="inlineStr">
        <is>
          <t xml:space="preserve">998911962626 SMS OZI, 998911966609 SMS TULOVCHISI, 998903103777 SMS TULOVCHI OTASI, 998915953733 SMS UKASI,</t>
        </is>
      </c>
      <c r="G238" s="117" t="inlineStr">
        <is>
          <t xml:space="preserve">Ziyokor MFY, Boʼzsuv koʼchasi, 434-uy</t>
        </is>
      </c>
      <c r="H238" s="118">
        <v>3.0</v>
      </c>
      <c r="I238" s="118">
        <v>1047204.81</v>
      </c>
      <c r="K238" s="117" t="inlineStr">
        <is>
          <t xml:space="preserve">ertaga tolaydi</t>
        </is>
      </c>
    </row>
    <row r="239">
      <c r="A239" s="117" t="inlineStr">
        <is>
          <t xml:space="preserve">ЖИЗЗАХ ВИЛОЯТИ</t>
        </is>
      </c>
      <c r="B239" s="117" t="inlineStr">
        <is>
          <t xml:space="preserve">Жиззах филиали</t>
        </is>
      </c>
      <c r="C239" s="117" t="inlineStr">
        <is>
          <t xml:space="preserve">Оплатил дозвон</t>
        </is>
      </c>
      <c r="D239" s="117" t="inlineStr">
        <is>
          <t xml:space="preserve">Кр-99029332-3</t>
        </is>
      </c>
      <c r="E239" s="117" t="inlineStr">
        <is>
          <t xml:space="preserve">SHERMATOV BAXTIYOR OCHILOVICH</t>
        </is>
      </c>
      <c r="F239" s="117" t="inlineStr">
        <is>
          <t xml:space="preserve">77-301-76-76 sms SIN, 99-504-76-76 sms SIN, 91-599-69-02 sms UZI, 773017676 sms SIN, 915996902 sms UZI, 995047676 sms SIN,</t>
        </is>
      </c>
      <c r="G239" s="117" t="inlineStr">
        <is>
          <t xml:space="preserve">JIZZAX VILOYATI SH.RASHIDOV TUMANI PAXTAOBOD QFY YAHTANLIK MFY BOG’DOD KUCHASI 51-UY</t>
        </is>
      </c>
      <c r="H239" s="118">
        <v>3.0</v>
      </c>
      <c r="I239" s="118">
        <v>1022357.0</v>
      </c>
      <c r="J239" s="118">
        <v>1022357.0</v>
      </c>
    </row>
    <row r="240">
      <c r="A240" s="117" t="inlineStr">
        <is>
          <t xml:space="preserve">ЖИЗЗАХ ВИЛОЯТИ</t>
        </is>
      </c>
      <c r="B240" s="117" t="inlineStr">
        <is>
          <t xml:space="preserve">Жиззах филиали</t>
        </is>
      </c>
      <c r="C240" s="117" t="inlineStr">
        <is>
          <t xml:space="preserve">Оплатил дозвон</t>
        </is>
      </c>
      <c r="D240" s="117" t="inlineStr">
        <is>
          <t xml:space="preserve">Кр-99030974-2</t>
        </is>
      </c>
      <c r="E240" s="117" t="inlineStr">
        <is>
          <t xml:space="preserve">RAVSHANOV BERDIYOR XOLBEKOVICH</t>
        </is>
      </c>
      <c r="F240" s="117" t="inlineStr">
        <is>
          <t xml:space="preserve">99-114-44-95   SMS O’ZI, 93-769-05-00  SMS SINGLI , 99-520-48-99  SMS SIN  2, 77-032-64-77  SMS SIN 3, 770326477 SMS SIN 3, 937690500 SMS SINGLI, 991144495 SMS O’ZI, 995204899 SMS SIN  2,</t>
        </is>
      </c>
      <c r="G240" s="117" t="inlineStr">
        <is>
          <t xml:space="preserve">JIZZAX VILOYATI ZOMIN TUMANI DUOBA QFY YETTI KECHUV QISHLOG’I 72-UY</t>
        </is>
      </c>
      <c r="H240" s="118">
        <v>3.0</v>
      </c>
      <c r="I240" s="118">
        <v>993180.78</v>
      </c>
      <c r="J240" s="118">
        <v>993180.78</v>
      </c>
    </row>
    <row r="241">
      <c r="A241" s="117" t="inlineStr">
        <is>
          <t xml:space="preserve">ЖИЗЗАХ ВИЛОЯТИ</t>
        </is>
      </c>
      <c r="B241" s="117" t="inlineStr">
        <is>
          <t xml:space="preserve">Жиззах филиали</t>
        </is>
      </c>
      <c r="C241" s="117" t="inlineStr">
        <is>
          <t xml:space="preserve">Оплатил дозвон</t>
        </is>
      </c>
      <c r="D241" s="117" t="inlineStr">
        <is>
          <t xml:space="preserve">Кр-99028409-4</t>
        </is>
      </c>
      <c r="E241" s="117" t="inlineStr">
        <is>
          <t xml:space="preserve">ABDIYEV ZAFARJON XOLBOYEVICH</t>
        </is>
      </c>
      <c r="F241" s="117" t="inlineStr">
        <is>
          <t xml:space="preserve">93-091-09-39  SMS OZI, 93-686-93-77  SMS AYOLI, 94-727-50-75  SMS SIN, 930910939 SMS OZI, 936869377 SMS AYOLI, 947275075 SMS SIN,</t>
        </is>
      </c>
      <c r="G241" s="117" t="inlineStr">
        <is>
          <t xml:space="preserve">МАДАНИЯТ КФЙ, МАДАНИЯТ КФЙ, ЗАРГАР КИШЛОГИ,  uy:Р/С</t>
        </is>
      </c>
      <c r="H241" s="118">
        <v>3.0</v>
      </c>
      <c r="I241" s="118">
        <v>939697.07</v>
      </c>
      <c r="J241" s="118">
        <v>939697.07</v>
      </c>
    </row>
    <row r="242">
      <c r="A242" s="117" t="inlineStr">
        <is>
          <t xml:space="preserve">ЖИЗЗАХ ВИЛОЯТИ</t>
        </is>
      </c>
      <c r="B242" s="117" t="inlineStr">
        <is>
          <t xml:space="preserve">Жиззах филиали</t>
        </is>
      </c>
      <c r="C242" s="117" t="inlineStr">
        <is>
          <t xml:space="preserve">Оплатил дозвон</t>
        </is>
      </c>
      <c r="D242" s="117" t="inlineStr">
        <is>
          <t xml:space="preserve">Кр-99064217-1</t>
        </is>
      </c>
      <c r="E242" s="117" t="inlineStr">
        <is>
          <t xml:space="preserve">MAXMUDOVA NARGIZA GULYAMOVNA</t>
        </is>
      </c>
      <c r="F242" s="117" t="inlineStr">
        <is>
          <t xml:space="preserve">998774774343 AYOLI, 998919434343 UZI, 998956434343 UY,</t>
        </is>
      </c>
      <c r="G242" s="117" t="inlineStr">
        <is>
          <t xml:space="preserve">Джизакская область, Джизакский район, Нонисангил МСГ, ул. Янги кишлок, дом 10</t>
        </is>
      </c>
      <c r="H242" s="118">
        <v>3.0</v>
      </c>
      <c r="I242" s="118">
        <v>938748.93</v>
      </c>
      <c r="J242" s="118">
        <v>938748.93</v>
      </c>
    </row>
    <row r="243">
      <c r="A243" s="117" t="inlineStr">
        <is>
          <t xml:space="preserve">ЖИЗЗАХ ВИЛОЯТИ</t>
        </is>
      </c>
      <c r="B243" s="117" t="inlineStr">
        <is>
          <t xml:space="preserve">Жиззах филиали</t>
        </is>
      </c>
      <c r="C243" s="117" t="inlineStr">
        <is>
          <t xml:space="preserve">Обещали</t>
        </is>
      </c>
      <c r="D243" s="117" t="inlineStr">
        <is>
          <t xml:space="preserve">Кр-99045797-2</t>
        </is>
      </c>
      <c r="E243" s="117" t="inlineStr">
        <is>
          <t xml:space="preserve">QARSHIBAYEV RUSLAN QAXRAMON O’G’LI</t>
        </is>
      </c>
      <c r="F243" s="117" t="inlineStr">
        <is>
          <t xml:space="preserve">+998900251515 SMS, 998902978487 SMS, 998992408778 SMS,</t>
        </is>
      </c>
      <c r="G243" s="117" t="inlineStr">
        <is>
          <t xml:space="preserve">JIZZAX VILOYATI SH.RASHIDOV TUMANI TOSHKENTLIK MFY QATORTOL KUCHASI 7-UY</t>
        </is>
      </c>
      <c r="H243" s="118">
        <v>3.0</v>
      </c>
      <c r="I243" s="118">
        <v>858191.78</v>
      </c>
      <c r="K243" s="117" t="inlineStr">
        <is>
          <t xml:space="preserve">duwanbagaca tolaydi</t>
        </is>
      </c>
    </row>
    <row r="244">
      <c r="A244" s="117" t="inlineStr">
        <is>
          <t xml:space="preserve">ЖИЗЗАХ ВИЛОЯТИ</t>
        </is>
      </c>
      <c r="B244" s="117" t="inlineStr">
        <is>
          <t xml:space="preserve">Жиззах филиали</t>
        </is>
      </c>
      <c r="C244" s="117" t="inlineStr">
        <is>
          <t xml:space="preserve">Обещали</t>
        </is>
      </c>
      <c r="D244" s="117" t="inlineStr">
        <is>
          <t xml:space="preserve">Кр-99040635-3</t>
        </is>
      </c>
      <c r="E244" s="117" t="inlineStr">
        <is>
          <t xml:space="preserve">JURAYEVA ZULAYXA LUTFULLAYEVNA</t>
        </is>
      </c>
      <c r="F244" s="117" t="inlineStr">
        <is>
          <t xml:space="preserve">998915641958 SMS begona, 998938592525 SMS O`G`LI tolovchisi, 998943543086 SMS O`G`LI 2, 998931940082 SMS O`G`LI 3, 998943174556 SMS ONASI, 998932926008 Tolovchisini xotini,</t>
        </is>
      </c>
      <c r="G244" s="117" t="inlineStr">
        <is>
          <t xml:space="preserve">JIZZAX VILOYATI, DO’STLIK TUMANI, NAVRUZ MFY, IFTIXOR KUCHASI, 11-2 UY</t>
        </is>
      </c>
      <c r="H244" s="118">
        <v>3.0</v>
      </c>
      <c r="I244" s="118">
        <v>649845.0</v>
      </c>
    </row>
    <row r="245">
      <c r="A245" s="117" t="inlineStr">
        <is>
          <t xml:space="preserve">ЖИЗЗАХ ВИЛОЯТИ</t>
        </is>
      </c>
      <c r="B245" s="117" t="inlineStr">
        <is>
          <t xml:space="preserve">Жиззах филиали</t>
        </is>
      </c>
      <c r="C245" s="117" t="inlineStr">
        <is>
          <t xml:space="preserve">Обещали</t>
        </is>
      </c>
      <c r="D245" s="117" t="inlineStr">
        <is>
          <t xml:space="preserve">Кр-99064576-1</t>
        </is>
      </c>
      <c r="E245" s="117" t="inlineStr">
        <is>
          <t xml:space="preserve">GAYBULLAYEV XOLMUMIN ABDURAXIMOVICH</t>
        </is>
      </c>
      <c r="F245" s="117" t="inlineStr">
        <is>
          <t xml:space="preserve">998934022324 UY, 998941959210 AYOLI, 998973272324 UZI,</t>
        </is>
      </c>
      <c r="G245" s="117" t="inlineStr">
        <is>
          <t xml:space="preserve">Аламли МФЙ, Аламли МФЙ, Юнусобод, дом р/с</t>
        </is>
      </c>
      <c r="H245" s="118">
        <v>3.0</v>
      </c>
      <c r="I245" s="118">
        <v>507939.95</v>
      </c>
      <c r="K245" s="117" t="inlineStr">
        <is>
          <t xml:space="preserve">kecgaca tolaydi</t>
        </is>
      </c>
    </row>
    <row r="246">
      <c r="A246" s="117" t="inlineStr">
        <is>
          <t xml:space="preserve">ЖИЗЗАХ ВИЛОЯТИ</t>
        </is>
      </c>
      <c r="B246" s="117" t="inlineStr">
        <is>
          <t xml:space="preserve">Жиззах филиали</t>
        </is>
      </c>
      <c r="C246" s="117" t="inlineStr">
        <is>
          <t xml:space="preserve">Оплатил дозвон</t>
        </is>
      </c>
      <c r="D246" s="117" t="inlineStr">
        <is>
          <t xml:space="preserve">Кр-99028409-7</t>
        </is>
      </c>
      <c r="E246" s="117" t="inlineStr">
        <is>
          <t xml:space="preserve">ABDIYEV ZAFARJON XOLBOYEVICH</t>
        </is>
      </c>
      <c r="F246" s="117" t="inlineStr">
        <is>
          <t xml:space="preserve">93-091-09-39  SMS OZI, 93-686-93-77  SMS AYOLI, 94-727-50-75  SMS SIN, 930910939 SMS OZI, 936869377 SMS AYOLI, 947275075 SMS SIN,</t>
        </is>
      </c>
      <c r="G246" s="117" t="inlineStr">
        <is>
          <t xml:space="preserve">МАДАНИЯТ КФЙ, МАДАНИЯТ КФЙ, ЗАРГАР КИШЛОГИ,  uy:Р/С</t>
        </is>
      </c>
      <c r="H246" s="118">
        <v>3.0</v>
      </c>
      <c r="I246" s="118">
        <v>450103.0</v>
      </c>
      <c r="J246" s="118">
        <v>450103.0</v>
      </c>
    </row>
    <row r="247">
      <c r="A247" s="99" t="inlineStr">
        <is>
          <t xml:space="preserve">КАШКАДАРЁ ВИЛОЯТИ</t>
        </is>
      </c>
      <c r="B247" s="99" t="inlineStr">
        <is>
          <t xml:space="preserve">BOSH OFIS</t>
        </is>
      </c>
      <c r="C247" s="99" t="inlineStr">
        <is>
          <t xml:space="preserve">Обещали</t>
        </is>
      </c>
      <c r="D247" s="99" t="inlineStr">
        <is>
          <t xml:space="preserve">Кр-99039364-2</t>
        </is>
      </c>
      <c r="E247" s="99" t="inlineStr">
        <is>
          <t xml:space="preserve">AZIMOV TURG’UN TUFLIYEVICH</t>
        </is>
      </c>
      <c r="F247" s="99" t="inlineStr">
        <is>
          <t xml:space="preserve">998946868512 SMS OZI, 998786757278 SMS AYOLI, 998505792187 SMS DADSI, 998973168020 SMS ONASI,</t>
        </is>
      </c>
      <c r="G247" s="99" t="inlineStr">
        <is>
          <t xml:space="preserve">QASHQADARYO VILOYATI QAMASHI TUMANI JONBUZSOY MFY UMID NIXOLI KUCHASI 46-UY</t>
        </is>
      </c>
      <c r="H247" s="100">
        <v>3.0</v>
      </c>
      <c r="I247" s="100">
        <v>0.0</v>
      </c>
      <c r="K247" s="99" t="inlineStr">
        <is>
          <t xml:space="preserve">bugun kechgacha bittasi yopiladi bittasini hoz yopadi | 848 | 1355105.81</t>
        </is>
      </c>
    </row>
    <row r="248">
      <c r="A248" s="101" t="inlineStr">
        <is>
          <t xml:space="preserve">КАШКАДАРЁ ВИЛОЯТИ</t>
        </is>
      </c>
      <c r="B248" s="101" t="inlineStr">
        <is>
          <t xml:space="preserve">SUPER BRANCH</t>
        </is>
      </c>
      <c r="C248" s="101" t="inlineStr">
        <is>
          <t xml:space="preserve">Обещали</t>
        </is>
      </c>
      <c r="D248" s="101" t="inlineStr">
        <is>
          <t xml:space="preserve">Кр-99062633-1</t>
        </is>
      </c>
      <c r="E248" s="101" t="inlineStr">
        <is>
          <t xml:space="preserve">TO’RAQULOV SARVAR XAYRULLA O’G’LI</t>
        </is>
      </c>
      <c r="F248" s="101" t="inlineStr">
        <is>
          <t xml:space="preserve">999885771248 SMS OZI, 998990783770 SMS AYOLI BEGONA, 998900190048 SMS DADASI, 998875260010 SMS ONASI,</t>
        </is>
      </c>
      <c r="G248" s="101" t="inlineStr">
        <is>
          <t xml:space="preserve">QASHQADARYO VILOYATI KOSON TUMANI SHERBEK MFY SHERBEK KUCHASI 34-UY</t>
        </is>
      </c>
      <c r="H248" s="102">
        <v>3.0</v>
      </c>
      <c r="I248" s="102">
        <v>699653.7</v>
      </c>
      <c r="K248" s="101" t="inlineStr">
        <is>
          <t xml:space="preserve">xodim jo'natdim</t>
        </is>
      </c>
    </row>
    <row r="249">
      <c r="A249" s="101" t="inlineStr">
        <is>
          <t xml:space="preserve">КАШКАДАРЁ ВИЛОЯТИ</t>
        </is>
      </c>
      <c r="B249" s="101" t="inlineStr">
        <is>
          <t xml:space="preserve">SUPER BRANCH</t>
        </is>
      </c>
      <c r="C249" s="101" t="inlineStr">
        <is>
          <t xml:space="preserve">Обещали</t>
        </is>
      </c>
      <c r="D249" s="101" t="inlineStr">
        <is>
          <t xml:space="preserve">Кр-99037107-1</t>
        </is>
      </c>
      <c r="E249" s="101" t="inlineStr">
        <is>
          <t xml:space="preserve">ZOYIROV JAMSHID JO’RAYEVICH</t>
        </is>
      </c>
      <c r="F249" s="101" t="inlineStr">
        <is>
          <t xml:space="preserve">998942143767 SMS OZI, 998943331929 SMS AYOLI begona, 998990448122 SMS DADASI, 998994308122 SMS ONASI,</t>
        </is>
      </c>
      <c r="G249" s="101" t="inlineStr">
        <is>
          <t xml:space="preserve">QASHQADARYO VILOYATI KASBI TUMANI XO’JA XAYRON MFY XO’JA XAYRON QISHLOG’I</t>
        </is>
      </c>
      <c r="H249" s="102">
        <v>6.0</v>
      </c>
      <c r="I249" s="102">
        <v>484846.5</v>
      </c>
      <c r="K249" s="101" t="inlineStr">
        <is>
          <t xml:space="preserve">bugun yopadi 5 gaha</t>
        </is>
      </c>
    </row>
    <row r="250">
      <c r="A250" s="101" t="inlineStr">
        <is>
          <t xml:space="preserve">КАШКАДАРЁ ВИЛОЯТИ</t>
        </is>
      </c>
      <c r="B250" s="101" t="inlineStr">
        <is>
          <t xml:space="preserve">SUPER BRANCH</t>
        </is>
      </c>
      <c r="C250" s="101" t="inlineStr">
        <is>
          <t xml:space="preserve">Обещали</t>
        </is>
      </c>
      <c r="D250" s="101" t="inlineStr">
        <is>
          <t xml:space="preserve">Кр-99057087-1</t>
        </is>
      </c>
      <c r="E250" s="101" t="inlineStr">
        <is>
          <t xml:space="preserve">XAYITOV ZIKIR SHERKULOVICH</t>
        </is>
      </c>
      <c r="F250" s="101" t="inlineStr">
        <is>
          <t xml:space="preserve">998992669600 SMS OZI, 998934260277 SMS AYOLI, 998932305610 SMS UKASI, 998944826069 OG'LI TULOVCHI SHU,</t>
        </is>
      </c>
      <c r="G250" s="101" t="inlineStr">
        <is>
          <t xml:space="preserve">QASHQADARYO VILOYATI KOSON TUMANI MULALI MFY KORABAYIR KUCHASI 11-UY</t>
        </is>
      </c>
      <c r="H250" s="102">
        <v>3.0</v>
      </c>
      <c r="I250" s="102">
        <v>171378.63</v>
      </c>
      <c r="K250" s="101" t="inlineStr">
        <is>
          <t xml:space="preserve">4 da yopiladi</t>
        </is>
      </c>
    </row>
    <row r="251">
      <c r="A251" s="101" t="inlineStr">
        <is>
          <t xml:space="preserve">КАШКАДАРЁ ВИЛОЯТИ</t>
        </is>
      </c>
      <c r="B251" s="101" t="inlineStr">
        <is>
          <t xml:space="preserve">SUPER BRANCH</t>
        </is>
      </c>
      <c r="C251" s="101" t="inlineStr">
        <is>
          <t xml:space="preserve">Обещали</t>
        </is>
      </c>
      <c r="D251" s="101" t="inlineStr">
        <is>
          <t xml:space="preserve">Кр-99058931-1</t>
        </is>
      </c>
      <c r="E251" s="101" t="inlineStr">
        <is>
          <t xml:space="preserve">NEKBOYEV IKROM TASHPULATOVICH</t>
        </is>
      </c>
      <c r="F251" s="101" t="inlineStr">
        <is>
          <t xml:space="preserve">998992752065 SMS  UZII (BEGONA))), 998949229666 SMS OILASI , 998987773151 SMS UZIII, 998996724888 UZI NEWW,</t>
        </is>
      </c>
      <c r="G251" s="101" t="inlineStr">
        <is>
          <t xml:space="preserve">KITOB TUMANI</t>
        </is>
      </c>
      <c r="H251" s="102">
        <v>3.0</v>
      </c>
      <c r="I251" s="102">
        <v>57514.09</v>
      </c>
      <c r="K251" s="101" t="inlineStr">
        <is>
          <t xml:space="preserve">xoz yopadi</t>
        </is>
      </c>
    </row>
    <row r="252">
      <c r="A252" s="101" t="inlineStr">
        <is>
          <t xml:space="preserve">КАШКАДАРЁ ВИЛОЯТИ</t>
        </is>
      </c>
      <c r="B252" s="101" t="inlineStr">
        <is>
          <t xml:space="preserve">SUPER BRANCH</t>
        </is>
      </c>
      <c r="C252" s="101" t="inlineStr">
        <is>
          <t xml:space="preserve">Обещали</t>
        </is>
      </c>
      <c r="D252" s="101" t="inlineStr">
        <is>
          <t xml:space="preserve">Кр-99020517-11</t>
        </is>
      </c>
      <c r="E252" s="101" t="inlineStr">
        <is>
          <t xml:space="preserve">PRIMOV TOLMASBEK SHERMATOVICH</t>
        </is>
      </c>
      <c r="F252" s="101" t="inlineStr">
        <is>
          <t xml:space="preserve">97-229-20-44 SMS ruslan ukasi , 97-311-44-40 SMS BEGONA EKAN, 97-001-20-44 SMS OGLI, 88-200-20-78 SMS TULOVCHI TOLMASBEK,</t>
        </is>
      </c>
      <c r="G252" s="101" t="inlineStr">
        <is>
          <t xml:space="preserve">QASHQADARYO VILOYATI KOSON TUMANI DARCHA MFY PO’LATI QISHLOG’I 5-UY</t>
        </is>
      </c>
      <c r="H252" s="102">
        <v>3.0</v>
      </c>
      <c r="I252" s="102">
        <v>0.0</v>
      </c>
      <c r="K252" s="101" t="inlineStr">
        <is>
          <t xml:space="preserve">BUGUN ABETTAN KEN BITTASINI HAL QILIAMAN DDI IILOIJI BORICHA 2078 | 115 | 1423353.62 | kechgacha to'liman dedi</t>
        </is>
      </c>
    </row>
    <row r="253">
      <c r="A253" s="101" t="inlineStr">
        <is>
          <t xml:space="preserve">КАШКАДАРЁ ВИЛОЯТИ</t>
        </is>
      </c>
      <c r="B253" s="101" t="inlineStr">
        <is>
          <t xml:space="preserve">SUPER BRANCH</t>
        </is>
      </c>
      <c r="C253" s="101" t="inlineStr">
        <is>
          <t xml:space="preserve">Обещали</t>
        </is>
      </c>
      <c r="D253" s="101" t="inlineStr">
        <is>
          <t xml:space="preserve">Кр-99029108-2</t>
        </is>
      </c>
      <c r="E253" s="101" t="inlineStr">
        <is>
          <t xml:space="preserve">ESHIMOV SHAROF NAMOZOVICH</t>
        </is>
      </c>
      <c r="F253" s="101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253" s="101" t="inlineStr">
        <is>
          <t xml:space="preserve">QASHQADARYO VILOYATI QARSHI TUMANI O’ZBEK FAYZABOD QISHLOG’I KAMOLAT KO’CHASI 56-UY</t>
        </is>
      </c>
      <c r="H253" s="102">
        <v>3.0</v>
      </c>
      <c r="I253" s="102">
        <v>0.0</v>
      </c>
      <c r="K253" s="101" t="inlineStr">
        <is>
          <t xml:space="preserve">BUGUN KECHGACHA ILOJINI QILAMAN JUMA KUNI POLNI YOPAMAN DILER TOPGANMAN DDI 1982 | 302 | 724395.35 | bugun yopiladi bu</t>
        </is>
      </c>
    </row>
    <row r="254">
      <c r="A254" s="101" t="inlineStr">
        <is>
          <t xml:space="preserve">КАШКАДАРЁ ВИЛОЯТИ</t>
        </is>
      </c>
      <c r="B254" s="101" t="inlineStr">
        <is>
          <t xml:space="preserve">SUPER BRANCH</t>
        </is>
      </c>
      <c r="C254" s="101" t="inlineStr">
        <is>
          <t xml:space="preserve">Ko'tardi</t>
        </is>
      </c>
      <c r="D254" s="101" t="inlineStr">
        <is>
          <t xml:space="preserve">Кр-99031215-3</t>
        </is>
      </c>
      <c r="E254" s="101" t="inlineStr">
        <is>
          <t xml:space="preserve">SULTONOV XASAN ORIF O’G’LI</t>
        </is>
      </c>
      <c r="F254" s="101" t="inlineStr">
        <is>
          <t xml:space="preserve">88-360-05-05  SMS O’ZI, 99-587-55-51  SMS UY, 91-216-71-34  SMS ONASI, 90-899-71-68  SMS DADASI, 883600505 SMS O’ZI, 908997168 SMS DADASI, 912167134 SMS ONASI, 995875551 SMS UY,</t>
        </is>
      </c>
      <c r="G254" s="101" t="inlineStr">
        <is>
          <t xml:space="preserve">QASHQADARYO VILOYATI QAMASHI TUMANI BERDOLI MFY BERDOLI KO’CHASI 198-UY</t>
        </is>
      </c>
      <c r="H254" s="102">
        <v>3.0</v>
      </c>
      <c r="I254" s="102">
        <v>0.0</v>
      </c>
      <c r="K254" s="101" t="inlineStr">
        <is>
          <t xml:space="preserve">10 OKTABRGACHA YOPAMAN DDI | 371 | 1270065.72</t>
        </is>
      </c>
    </row>
    <row r="255">
      <c r="A255" s="101" t="inlineStr">
        <is>
          <t xml:space="preserve">КАШКАДАРЁ ВИЛОЯТИ</t>
        </is>
      </c>
      <c r="B255" s="101" t="inlineStr">
        <is>
          <t xml:space="preserve">SUPER BRANCH</t>
        </is>
      </c>
      <c r="C255" s="101" t="inlineStr">
        <is>
          <t xml:space="preserve">Ko'tardi</t>
        </is>
      </c>
      <c r="D255" s="101" t="inlineStr">
        <is>
          <t xml:space="preserve">Кр-99031253-3</t>
        </is>
      </c>
      <c r="E255" s="101" t="inlineStr">
        <is>
          <t xml:space="preserve">SHOMIROV SHERALI BOBONAZAROVICH</t>
        </is>
      </c>
      <c r="F255" s="101" t="inlineStr">
        <is>
          <t xml:space="preserve">99-669-17-85  SMS O’ZI, 91-460-04-11 SMS, 99-019-30-18  SMS O’G’LI , 77-203-29-05 SMS, 998956601785 shunga qilinsin ,</t>
        </is>
      </c>
      <c r="G255" s="101" t="inlineStr">
        <is>
          <t xml:space="preserve">QASHQADARYO VILOYATI KO’KDALA TUMANI TOSHLI MFY  QORAKAMAR QISHLOQI</t>
        </is>
      </c>
      <c r="H255" s="102">
        <v>3.0</v>
      </c>
      <c r="I255" s="102">
        <v>0.0</v>
      </c>
      <c r="K255" s="101" t="inlineStr">
        <is>
          <t xml:space="preserve">SHANBA KUNIGACHA YOPAMAN DDI | 373 | 2332088.27 | shanba kun to'lov qiladi</t>
        </is>
      </c>
    </row>
    <row r="256">
      <c r="A256" s="101" t="inlineStr">
        <is>
          <t xml:space="preserve">КАШКАДАРЁ ВИЛОЯТИ</t>
        </is>
      </c>
      <c r="B256" s="101" t="inlineStr">
        <is>
          <t xml:space="preserve">SUPER BRANCH</t>
        </is>
      </c>
      <c r="C256" s="101" t="inlineStr">
        <is>
          <t xml:space="preserve">Обещали</t>
        </is>
      </c>
      <c r="D256" s="101" t="inlineStr">
        <is>
          <t xml:space="preserve">Кр-99033487-2</t>
        </is>
      </c>
      <c r="E256" s="101" t="inlineStr">
        <is>
          <t xml:space="preserve">SHODMONOVA BAXTIGUL ABDIQAYUM QIZI</t>
        </is>
      </c>
      <c r="F256" s="101" t="inlineStr">
        <is>
          <t xml:space="preserve">998908957040 SMS O’ZI, 998908797040 SMS OILASI, 998935250601 SMS, 998995719343 SMS, 998955556474 SMS TO'LOVCHI FAQAT SHUNGA QILINSIN, 998973102809 SMS Eldor tolovchi,</t>
        </is>
      </c>
      <c r="G256" s="101" t="inlineStr">
        <is>
          <t xml:space="preserve">QASHQADARYO VILOYATI QARSHI TUMANI PATRON MFY PATRON QISHLOG’I 112-UY</t>
        </is>
      </c>
      <c r="I256" s="102">
        <v>0.0</v>
      </c>
      <c r="K256" s="101" t="inlineStr">
        <is>
          <t xml:space="preserve">16:00 GACHA ILOJINI QILAMAN DDI BITTA JOYDAN PUL KELISHI KK EDI DDI | 491 | 1397272.43</t>
        </is>
      </c>
    </row>
    <row r="257">
      <c r="A257" s="101" t="inlineStr">
        <is>
          <t xml:space="preserve">КАШКАДАРЁ ВИЛОЯТИ</t>
        </is>
      </c>
      <c r="B257" s="101" t="inlineStr">
        <is>
          <t xml:space="preserve">SUPER BRANCH</t>
        </is>
      </c>
      <c r="C257" s="101" t="inlineStr">
        <is>
          <t xml:space="preserve">Обещали</t>
        </is>
      </c>
      <c r="D257" s="101" t="inlineStr">
        <is>
          <t xml:space="preserve">Кр-99033487-3</t>
        </is>
      </c>
      <c r="E257" s="101" t="inlineStr">
        <is>
          <t xml:space="preserve">SHODMONOVA BAXTIGUL ABDIQAYUM QIZI</t>
        </is>
      </c>
      <c r="F257" s="101" t="inlineStr">
        <is>
          <t xml:space="preserve">998908957040 SMS O’ZI, 998908797040 SMS OILASI, 998935250601 SMS, 998995719343 SMS, 998955556474 SMS TO'LOVCHI FAQAT SHUNGA QILINSIN, 998973102809 SMS Eldor tolovchi,</t>
        </is>
      </c>
      <c r="G257" s="101" t="inlineStr">
        <is>
          <t xml:space="preserve">QASHQADARYO VILOYATI QARSHI TUMANI PATRON MFY PATRON QISHLOG’I 112-UY</t>
        </is>
      </c>
      <c r="H257" s="102">
        <v>3.0</v>
      </c>
      <c r="I257" s="102">
        <v>0.0</v>
      </c>
      <c r="K257" s="101" t="inlineStr">
        <is>
          <t xml:space="preserve">16:00 GACHA ILOJINI QILAMAN DDI BITTA JOYDAN PUL KELISHI KK EDI DDI | 492 | 1474588.31</t>
        </is>
      </c>
    </row>
    <row r="258">
      <c r="A258" s="101" t="inlineStr">
        <is>
          <t xml:space="preserve">КАШКАДАРЁ ВИЛОЯТИ</t>
        </is>
      </c>
      <c r="B258" s="101" t="inlineStr">
        <is>
          <t xml:space="preserve">SUPER BRANCH</t>
        </is>
      </c>
      <c r="C258" s="101" t="inlineStr">
        <is>
          <t xml:space="preserve">Ko'tardi</t>
        </is>
      </c>
      <c r="D258" s="101" t="inlineStr">
        <is>
          <t xml:space="preserve">Кр-99033686-1</t>
        </is>
      </c>
      <c r="E258" s="101" t="inlineStr">
        <is>
          <t xml:space="preserve">CHORIYEVA SHOHNOZA ABDURASHIDOVNA</t>
        </is>
      </c>
      <c r="F258" s="101" t="inlineStr">
        <is>
          <t xml:space="preserve">998957777748 узи, 998932222234 аели, 998991289300 дадаси, 998990405493 онаси,</t>
        </is>
      </c>
      <c r="G258" s="101" t="inlineStr">
        <is>
          <t xml:space="preserve">QASHQADARYO VILOYATI DEHQONOBOD TUMANI QURG’ONTOSH MFY GALA KUCHASI 100-UY</t>
        </is>
      </c>
      <c r="H258" s="102">
        <v>3.0</v>
      </c>
      <c r="I258" s="102">
        <v>0.0</v>
      </c>
      <c r="K258" s="101" t="inlineStr">
        <is>
          <t xml:space="preserve">xojayni aytaman uzi yopadi ddi | 502 | 2269716.21</t>
        </is>
      </c>
    </row>
    <row r="259">
      <c r="A259" s="101" t="inlineStr">
        <is>
          <t xml:space="preserve">КАШКАДАРЁ ВИЛОЯТИ</t>
        </is>
      </c>
      <c r="B259" s="101" t="inlineStr">
        <is>
          <t xml:space="preserve">SUPER BRANCH</t>
        </is>
      </c>
      <c r="C259" s="101" t="inlineStr">
        <is>
          <t xml:space="preserve">Обещали</t>
        </is>
      </c>
      <c r="D259" s="101" t="inlineStr">
        <is>
          <t xml:space="preserve">Кр-99033706-3</t>
        </is>
      </c>
      <c r="E259" s="101" t="inlineStr">
        <is>
          <t xml:space="preserve">ABDIYEV KOMILJON MAHMATQOBILOVICH</t>
        </is>
      </c>
      <c r="F259" s="101" t="inlineStr">
        <is>
          <t xml:space="preserve">998992820474 SMS O’ZI, 998919647414 SMS UY, 998992040294 SMS OILASI, 998919647404 SMS ,</t>
        </is>
      </c>
      <c r="G259" s="101" t="inlineStr">
        <is>
          <t xml:space="preserve">QASHQADARYO VILOYATI QAMASHI TUMANI YANGI XAYOT MFY TEMIRYO’LCHILAR KO’CHASI 98-UY</t>
        </is>
      </c>
      <c r="H259" s="102">
        <v>3.0</v>
      </c>
      <c r="I259" s="102">
        <v>0.0</v>
      </c>
      <c r="K259" s="101" t="inlineStr">
        <is>
          <t xml:space="preserve">17:00 gachja ilojini qilaman ddi tolovchi boshqa | 504 | 959108.49</t>
        </is>
      </c>
    </row>
    <row r="260">
      <c r="A260" s="101" t="inlineStr">
        <is>
          <t xml:space="preserve">КАШКАДАРЁ ВИЛОЯТИ</t>
        </is>
      </c>
      <c r="B260" s="101" t="inlineStr">
        <is>
          <t xml:space="preserve">SUPER BRANCH</t>
        </is>
      </c>
      <c r="C260" s="101" t="inlineStr">
        <is>
          <t xml:space="preserve">Ko'tardi</t>
        </is>
      </c>
      <c r="D260" s="101" t="inlineStr">
        <is>
          <t xml:space="preserve">Кр-99035233-2</t>
        </is>
      </c>
      <c r="E260" s="101" t="inlineStr">
        <is>
          <t xml:space="preserve">RAVSHANOV O’G’ABEK SHAVKAT O’G’LI</t>
        </is>
      </c>
      <c r="F260" s="101" t="inlineStr">
        <is>
          <t xml:space="preserve">998900095845 SMS O’ZI, 998985007101 SMS SHUNGA QILINSIN, 998953338802 SMS UKASI , 998930012901 SMS DO’STI, 998952993833 SMS adasi , 998770033005 SMS TO’LOVCHI SHUNGA FAQAT TOLOV QILINSIN,</t>
        </is>
      </c>
      <c r="G260" s="101" t="inlineStr">
        <is>
          <t xml:space="preserve">НАВРУЗ МФЙ, ГУВАЛАК,  uy:Р/С</t>
        </is>
      </c>
      <c r="I260" s="102">
        <v>0.0</v>
      </c>
      <c r="K260" s="101" t="inlineStr">
        <is>
          <t xml:space="preserve">tolovchi ogabek bn gaplashaman bir ga tolimiz ddi 3005 | 572 | 3244676.9</t>
        </is>
      </c>
    </row>
    <row r="261">
      <c r="A261" s="101" t="inlineStr">
        <is>
          <t xml:space="preserve">КАШКАДАРЁ ВИЛОЯТИ</t>
        </is>
      </c>
      <c r="B261" s="101" t="inlineStr">
        <is>
          <t xml:space="preserve">SUPER BRANCH</t>
        </is>
      </c>
      <c r="C261" s="101" t="inlineStr">
        <is>
          <t xml:space="preserve">Ko'tardi</t>
        </is>
      </c>
      <c r="D261" s="101" t="inlineStr">
        <is>
          <t xml:space="preserve">Кр-99035525-2</t>
        </is>
      </c>
      <c r="E261" s="101" t="inlineStr">
        <is>
          <t xml:space="preserve">RO’ZIYEV AZIZJON FARXODOVICH</t>
        </is>
      </c>
      <c r="F261" s="101" t="inlineStr">
        <is>
          <t xml:space="preserve">998903545851 SMS OZI , 998909434667 SMS AYOLI, 998973422225 SMS UKASI, 998717546462 SMS UKASI,</t>
        </is>
      </c>
      <c r="G261" s="101" t="inlineStr">
        <is>
          <t xml:space="preserve">QASHQADARYO VILOYATI SHAHRISABZ SHAHRI KATTACHUTON KO’CHASI 27-UY</t>
        </is>
      </c>
      <c r="H261" s="102">
        <v>3.0</v>
      </c>
      <c r="I261" s="102">
        <v>0.0</v>
      </c>
      <c r="K261" s="101" t="inlineStr">
        <is>
          <t xml:space="preserve">bugun qisman yopishga harakat qilaman ddi qoganini bir ikki kunda yopadi5851 | 584 | 10888966.33</t>
        </is>
      </c>
    </row>
    <row r="262">
      <c r="A262" s="101" t="inlineStr">
        <is>
          <t xml:space="preserve">КАШКАДАРЁ ВИЛОЯТИ</t>
        </is>
      </c>
      <c r="B262" s="101" t="inlineStr">
        <is>
          <t xml:space="preserve">SUPER BRANCH</t>
        </is>
      </c>
      <c r="C262" s="101" t="inlineStr">
        <is>
          <t xml:space="preserve">Оплатил дозвон</t>
        </is>
      </c>
      <c r="D262" s="101" t="inlineStr">
        <is>
          <t xml:space="preserve">Кр-99036280-3</t>
        </is>
      </c>
      <c r="E262" s="101" t="inlineStr">
        <is>
          <t xml:space="preserve">DJURAYEV URAL NORTULAYEVICH</t>
        </is>
      </c>
      <c r="F262" s="101" t="inlineStr">
        <is>
          <t xml:space="preserve">998973133705 SMS OZI, 998886389305 SMS AYOLI, 998882214343 SMS AKASI, 998970706311 SMS UKASI,</t>
        </is>
      </c>
      <c r="G262" s="101" t="inlineStr">
        <is>
          <t xml:space="preserve">КАШКАДАРЁ ВИЛОЯТИ КОСОН ТУМАНИ Эсабой МФЙ Эсабой кучаси 11 уй</t>
        </is>
      </c>
      <c r="H262" s="102">
        <v>3.0</v>
      </c>
      <c r="I262" s="102">
        <v>0.0</v>
      </c>
      <c r="K262" s="101" t="inlineStr">
        <is>
          <t xml:space="preserve">bugun abetgacha yopaman hammasini ddi | 641 | 2477161.57</t>
        </is>
      </c>
    </row>
    <row r="263">
      <c r="A263" s="101" t="inlineStr">
        <is>
          <t xml:space="preserve">КАШКАДАРЁ ВИЛОЯТИ</t>
        </is>
      </c>
      <c r="B263" s="101" t="inlineStr">
        <is>
          <t xml:space="preserve">SUPER BRANCH</t>
        </is>
      </c>
      <c r="C263" s="101" t="inlineStr">
        <is>
          <t xml:space="preserve">Ko'tardi</t>
        </is>
      </c>
      <c r="D263" s="101" t="inlineStr">
        <is>
          <t xml:space="preserve">Кр-99037085-1</t>
        </is>
      </c>
      <c r="E263" s="101" t="inlineStr">
        <is>
          <t xml:space="preserve">XAMRAYEVA GULNORA XURRAMOVNA</t>
        </is>
      </c>
      <c r="F263" s="101" t="inlineStr">
        <is>
          <t xml:space="preserve">998979549700 SMS OZI (OG'LI) XUSAN, 998881941597 SMS O’G’LI, 998884287278 SMS UKASI (UZI), 998886757572 SMS AKASI,</t>
        </is>
      </c>
      <c r="G263" s="101" t="inlineStr">
        <is>
          <t xml:space="preserve">QASHQADARYO VILOYATI QARSHI TUMANI MEVAZOR MFY NAVRUZ QURG’ONI SHAHARCHASI 67/1 UY </t>
        </is>
      </c>
      <c r="H263" s="102">
        <v>6.0</v>
      </c>
      <c r="I263" s="102">
        <v>0.0</v>
      </c>
      <c r="K263" s="101" t="inlineStr">
        <is>
          <t xml:space="preserve">og'I uyga borsam ayamga aytaman ddi | 686 | 1741308.99</t>
        </is>
      </c>
    </row>
    <row r="264">
      <c r="A264" s="101" t="inlineStr">
        <is>
          <t xml:space="preserve">КАШКАДАРЁ ВИЛОЯТИ</t>
        </is>
      </c>
      <c r="B264" s="101" t="inlineStr">
        <is>
          <t xml:space="preserve">SUPER BRANCH</t>
        </is>
      </c>
      <c r="C264" s="101" t="inlineStr">
        <is>
          <t xml:space="preserve">Ko'tardi</t>
        </is>
      </c>
      <c r="D264" s="101" t="inlineStr">
        <is>
          <t xml:space="preserve">Кр-99037085-2</t>
        </is>
      </c>
      <c r="E264" s="101" t="inlineStr">
        <is>
          <t xml:space="preserve">XAMRAYEVA GULNORA XURRAMOVNA</t>
        </is>
      </c>
      <c r="F264" s="101" t="inlineStr">
        <is>
          <t xml:space="preserve">998979549700 SMS OZI (OG'LI) XUSAN, 998881941597 SMS O’G’LI, 998884287278 SMS UKASI (UZI), 998886757572 SMS AKASI,</t>
        </is>
      </c>
      <c r="G264" s="101" t="inlineStr">
        <is>
          <t xml:space="preserve">QASHQADARYO VILOYATI QARSHI TUMANI MEVAZOR MFY NAVRUZ QURG’ONI SHAHARCHASI 67/1 UY </t>
        </is>
      </c>
      <c r="H264" s="102">
        <v>3.0</v>
      </c>
      <c r="I264" s="102">
        <v>0.0</v>
      </c>
      <c r="K264" s="101" t="inlineStr">
        <is>
          <t xml:space="preserve">og'I uyga borsam ayamga aytaman ddi | 687 | 2111188.78</t>
        </is>
      </c>
    </row>
    <row r="265">
      <c r="A265" s="101" t="inlineStr">
        <is>
          <t xml:space="preserve">КАШКАДАРЁ ВИЛОЯТИ</t>
        </is>
      </c>
      <c r="B265" s="101" t="inlineStr">
        <is>
          <t xml:space="preserve">SUPER BRANCH</t>
        </is>
      </c>
      <c r="C265" s="101" t="inlineStr">
        <is>
          <t xml:space="preserve">Ko'tardi</t>
        </is>
      </c>
      <c r="D265" s="101" t="inlineStr">
        <is>
          <t xml:space="preserve">Кр-99037284-2</t>
        </is>
      </c>
      <c r="E265" s="101" t="inlineStr">
        <is>
          <t xml:space="preserve">XUDOYBERDIYEV SOBIRJON SODIQ O‘G‘LI</t>
        </is>
      </c>
      <c r="F265" s="101" t="inlineStr">
        <is>
          <t xml:space="preserve">998977999498 SMS OZI бегона бич , 998912257806 SMS UKASI, 998906788694 SMS OILASI, 998914585278 SMS AKASI, +998914585278 Primary phone from road24,</t>
        </is>
      </c>
      <c r="G265" s="101" t="inlineStr">
        <is>
          <t xml:space="preserve">Кашкадарьинская область, Шахрисабзский район, Мироқи МФЙ, ул. Х Шукуров, дом 39</t>
        </is>
      </c>
      <c r="H265" s="102">
        <v>3.0</v>
      </c>
      <c r="I265" s="102">
        <v>0.0</v>
      </c>
      <c r="K265" s="101" t="inlineStr">
        <is>
          <t xml:space="preserve">706 | 4363681.93</t>
        </is>
      </c>
    </row>
    <row r="266">
      <c r="A266" s="101" t="inlineStr">
        <is>
          <t xml:space="preserve">КАШКАДАРЁ ВИЛОЯТИ</t>
        </is>
      </c>
      <c r="B266" s="101" t="inlineStr">
        <is>
          <t xml:space="preserve">SUPER BRANCH</t>
        </is>
      </c>
      <c r="C266" s="101" t="inlineStr">
        <is>
          <t xml:space="preserve">Обещали</t>
        </is>
      </c>
      <c r="D266" s="101" t="inlineStr">
        <is>
          <t xml:space="preserve">Кр-99037597-3</t>
        </is>
      </c>
      <c r="E266" s="101" t="inlineStr">
        <is>
          <t xml:space="preserve">OTAMURODOV SALOXIDDIN TURA O’G’LI</t>
        </is>
      </c>
      <c r="F266" s="101" t="inlineStr">
        <is>
          <t xml:space="preserve">998938839097 SMS OZI, 998972222957 SMS AYOLI, 998974440277 SMS AKASI, 998972644555 SMS UKASI, 998878357171 UZI NEW,</t>
        </is>
      </c>
      <c r="G266" s="101" t="inlineStr">
        <is>
          <t xml:space="preserve">КАШКАДАРЁ ВИЛОЯТИ КОСОН ТУМАНИ ПИСТАЛИ МФЙ, ПИСТАЛИ,  uy:Р/С 119</t>
        </is>
      </c>
      <c r="H266" s="102">
        <v>3.0</v>
      </c>
      <c r="I266" s="102">
        <v>0.0</v>
      </c>
      <c r="K266" s="101" t="inlineStr">
        <is>
          <t xml:space="preserve">15:00 gacha kartadan yopaman ddi 7171 | 728 | 700358.13</t>
        </is>
      </c>
    </row>
    <row r="267">
      <c r="A267" s="101" t="inlineStr">
        <is>
          <t xml:space="preserve">КАШКАДАРЁ ВИЛОЯТИ</t>
        </is>
      </c>
      <c r="B267" s="101" t="inlineStr">
        <is>
          <t xml:space="preserve">SUPER BRANCH</t>
        </is>
      </c>
      <c r="C267" s="101" t="inlineStr">
        <is>
          <t xml:space="preserve">Обещали</t>
        </is>
      </c>
      <c r="D267" s="101" t="inlineStr">
        <is>
          <t xml:space="preserve">Кр-99038002-1</t>
        </is>
      </c>
      <c r="E267" s="101" t="inlineStr">
        <is>
          <t xml:space="preserve">BOYMAXMADOV BAXTOVAR DADAJONZODA</t>
        </is>
      </c>
      <c r="F267" s="101" t="inlineStr">
        <is>
          <t xml:space="preserve">998912155553 SMS OZI, 998906760702 SMS DOSTI, 998904435652 SMS DOSTI, 998913200065 SMS UKASI, +998912155553 Primary phone from road24,</t>
        </is>
      </c>
      <c r="G267" s="101" t="inlineStr">
        <is>
          <t xml:space="preserve">КУЙИОКБОЙ КФЙ, ДЕНОВ,  uy:Р/З</t>
        </is>
      </c>
      <c r="H267" s="102">
        <v>1.0</v>
      </c>
      <c r="I267" s="102">
        <v>0.0</v>
      </c>
      <c r="K267" s="101" t="inlineStr">
        <is>
          <t xml:space="preserve">juma kuni aniq yopaman pul kelishi kk ddi | 747 | 1883846.34</t>
        </is>
      </c>
    </row>
    <row r="268">
      <c r="A268" s="101" t="inlineStr">
        <is>
          <t xml:space="preserve">КАШКАДАРЁ ВИЛОЯТИ</t>
        </is>
      </c>
      <c r="B268" s="101" t="inlineStr">
        <is>
          <t xml:space="preserve">SUPER BRANCH</t>
        </is>
      </c>
      <c r="C268" s="101" t="inlineStr">
        <is>
          <t xml:space="preserve">Ko'tardi</t>
        </is>
      </c>
      <c r="D268" s="101" t="inlineStr">
        <is>
          <t xml:space="preserve">Кр-99038004-1</t>
        </is>
      </c>
      <c r="E268" s="101" t="inlineStr">
        <is>
          <t xml:space="preserve">RAXMONOVA NILUFAR RAXMIDDIN QIZI</t>
        </is>
      </c>
      <c r="F268" s="101" t="inlineStr">
        <is>
          <t xml:space="preserve">998889543030 SMS OZI, 998882070694 SMS OILASI, 998979537171 SMS AKASI, 998991689400 SMS AKASI, 998974380089 SMS TO'LOVCHI,</t>
        </is>
      </c>
      <c r="G268" s="101" t="inlineStr">
        <is>
          <t xml:space="preserve">КАШКАДАРЁ ВИЛОЯТИ КОСОН ТУМАНИ Эсабой МФЙ Эсабой кучаси 31-уй</t>
        </is>
      </c>
      <c r="H268" s="102">
        <v>1.0</v>
      </c>
      <c r="I268" s="102">
        <v>0.0</v>
      </c>
      <c r="K268" s="101" t="inlineStr">
        <is>
          <t xml:space="preserve">oyni 15 ga yopaman ddi 0089 | 748 | 1232918.75</t>
        </is>
      </c>
    </row>
    <row r="269">
      <c r="A269" s="101" t="inlineStr">
        <is>
          <t xml:space="preserve">КАШКАДАРЁ ВИЛОЯТИ</t>
        </is>
      </c>
      <c r="B269" s="101" t="inlineStr">
        <is>
          <t xml:space="preserve">SUPER BRANCH</t>
        </is>
      </c>
      <c r="C269" s="101" t="inlineStr">
        <is>
          <t xml:space="preserve">Ko'tardi</t>
        </is>
      </c>
      <c r="D269" s="101" t="inlineStr">
        <is>
          <t xml:space="preserve">Кр-99039079-2</t>
        </is>
      </c>
      <c r="E269" s="101" t="inlineStr">
        <is>
          <t xml:space="preserve">ABDULLAYEVA SAYYORA HASAN QIZI</t>
        </is>
      </c>
      <c r="F269" s="101" t="inlineStr">
        <is>
          <t xml:space="preserve">998887139204 SMS OZI, 998979000706 SMS OZI, 998886080562 SMS QAYNOTASI, 998977388434 SMS QAYNONASI,</t>
        </is>
      </c>
      <c r="G269" s="101" t="inlineStr">
        <is>
          <t xml:space="preserve">QASHQADARYO VILOYATI G’UZOR TUMANI SANGISHKON MFY, IBRAT KO’CHASI 54-UY</t>
        </is>
      </c>
      <c r="H269" s="102">
        <v>3.0</v>
      </c>
      <c r="I269" s="102">
        <v>0.0</v>
      </c>
      <c r="K269" s="101" t="inlineStr">
        <is>
          <t xml:space="preserve">kechgacha yopadi | 815 | 136727.24 | bugun yopadi bu</t>
        </is>
      </c>
    </row>
    <row r="270">
      <c r="A270" s="101" t="inlineStr">
        <is>
          <t xml:space="preserve">КАШКАДАРЁ ВИЛОЯТИ</t>
        </is>
      </c>
      <c r="B270" s="101" t="inlineStr">
        <is>
          <t xml:space="preserve">SUPER BRANCH</t>
        </is>
      </c>
      <c r="C270" s="101" t="inlineStr">
        <is>
          <t xml:space="preserve">Оплатил дозвон</t>
        </is>
      </c>
      <c r="D270" s="101" t="inlineStr">
        <is>
          <t xml:space="preserve">Кр-99039364-1</t>
        </is>
      </c>
      <c r="E270" s="101" t="inlineStr">
        <is>
          <t xml:space="preserve">AZIMOV TURG’UN TUFLIYEVICH</t>
        </is>
      </c>
      <c r="F270" s="101" t="inlineStr">
        <is>
          <t xml:space="preserve">998946868512 SMS OZI, 998786757278 SMS AYOLI, 998505792187 SMS DADSI, 998973168020 SMS ONASI,</t>
        </is>
      </c>
      <c r="G270" s="101" t="inlineStr">
        <is>
          <t xml:space="preserve">QASHQADARYO VILOYATI QAMASHI TUMANI JONBUZSOY MFY UMID NIXOLI KUCHASI 46-UY</t>
        </is>
      </c>
      <c r="H270" s="102">
        <v>2.0</v>
      </c>
      <c r="I270" s="102">
        <v>0.0</v>
      </c>
      <c r="K270" s="101" t="inlineStr">
        <is>
          <t xml:space="preserve">bugun kechgacha bittasi yopiladi bittasini hoz yopadi | 847 | 3113172.12</t>
        </is>
      </c>
    </row>
    <row r="271">
      <c r="A271" s="101" t="inlineStr">
        <is>
          <t xml:space="preserve">КАШКАДАРЁ ВИЛОЯТИ</t>
        </is>
      </c>
      <c r="B271" s="101" t="inlineStr">
        <is>
          <t xml:space="preserve">SUPER BRANCH</t>
        </is>
      </c>
      <c r="C271" s="101" t="inlineStr">
        <is>
          <t xml:space="preserve">Обещали</t>
        </is>
      </c>
      <c r="D271" s="101" t="inlineStr">
        <is>
          <t xml:space="preserve">Кр-99039701-1</t>
        </is>
      </c>
      <c r="E271" s="101" t="inlineStr">
        <is>
          <t xml:space="preserve">AXMADOV RAXMATJON ISKANDAR O’G’LI</t>
        </is>
      </c>
      <c r="F271" s="101" t="inlineStr">
        <is>
          <t xml:space="preserve">999886758088 SMS OZI, 998973140057 SMS AKASI, 998973160057 SMS AKASI 2, 998886788088 SMS UZI NEW  TO'LOVCHI , 998992130365 SMS AKASI Shahriyor,</t>
        </is>
      </c>
      <c r="G271" s="101" t="inlineStr">
        <is>
          <t xml:space="preserve">QASHQADARYO VILOYATI MIRISHKOR TUMANI GULISTON MFY XAMZA KUCHASI 34-UY</t>
        </is>
      </c>
      <c r="H271" s="102">
        <v>3.0</v>
      </c>
      <c r="I271" s="102">
        <v>0.0</v>
      </c>
      <c r="K271" s="101" t="inlineStr">
        <is>
          <t xml:space="preserve">bugun kechgacha ilojini qilaman bolmasa 15 gacha yopaman ddi | 877 | 5278548.67</t>
        </is>
      </c>
    </row>
    <row r="272">
      <c r="A272" s="101" t="inlineStr">
        <is>
          <t xml:space="preserve">КАШКАДАРЁ ВИЛОЯТИ</t>
        </is>
      </c>
      <c r="B272" s="101" t="inlineStr">
        <is>
          <t xml:space="preserve">SUPER BRANCH</t>
        </is>
      </c>
      <c r="C272" s="101" t="inlineStr">
        <is>
          <t xml:space="preserve">Обещали</t>
        </is>
      </c>
      <c r="D272" s="101" t="inlineStr">
        <is>
          <t xml:space="preserve">Кр-99040100-1</t>
        </is>
      </c>
      <c r="E272" s="101" t="inlineStr">
        <is>
          <t xml:space="preserve">KUDRATOV SANJAR DJURAYEVICH </t>
        </is>
      </c>
      <c r="F272" s="101" t="inlineStr">
        <is>
          <t xml:space="preserve">998880634212 SMS OZI, 998970700407 SMS OILASI  (BEGONA), 998972000300 SMS UKASI, 998996750200 SMS AKASI, 998972000300 uzi,</t>
        </is>
      </c>
      <c r="G272" s="101" t="inlineStr">
        <is>
          <t xml:space="preserve">QASHQADARYO VILOYATI QARSHI TUMANI TINCHLIK MFY, PARMITON QISHLOG’I 33-UY</t>
        </is>
      </c>
      <c r="H272" s="102">
        <v>3.0</v>
      </c>
      <c r="I272" s="102">
        <v>0.0</v>
      </c>
      <c r="K272" s="101" t="inlineStr">
        <is>
          <t xml:space="preserve">dushanba kuni polni yopaman ddi | 946 | 10231700.83</t>
        </is>
      </c>
    </row>
    <row r="273">
      <c r="A273" s="101" t="inlineStr">
        <is>
          <t xml:space="preserve">КАШКАДАРЁ ВИЛОЯТИ</t>
        </is>
      </c>
      <c r="B273" s="101" t="inlineStr">
        <is>
          <t xml:space="preserve">SUPER BRANCH</t>
        </is>
      </c>
      <c r="C273" s="101" t="inlineStr">
        <is>
          <t xml:space="preserve">Ko'tardi</t>
        </is>
      </c>
      <c r="D273" s="101" t="inlineStr">
        <is>
          <t xml:space="preserve">Кр-99040130-1</t>
        </is>
      </c>
      <c r="E273" s="101" t="inlineStr">
        <is>
          <t xml:space="preserve">XUSAYNOVA SHOIRA SHODIYEVNA</t>
        </is>
      </c>
      <c r="F273" s="101" t="inlineStr">
        <is>
          <t xml:space="preserve">998914649348 SMS OZI, 998910720440 SMS ONASI TO'LOVCHI , 998952212310 SMS UKASI,</t>
        </is>
      </c>
      <c r="G273" s="101" t="inlineStr">
        <is>
          <t xml:space="preserve">QASHQADARYO VILOYATI QARSHI SHAHRI GEOLOG MFY GEOLOGLAR KUCHASI 11-UY 2-XONADON</t>
        </is>
      </c>
      <c r="H273" s="102">
        <v>3.0</v>
      </c>
      <c r="I273" s="102">
        <v>0.0</v>
      </c>
      <c r="K273" s="101" t="inlineStr">
        <is>
          <t xml:space="preserve">bugun kechgacha yoki ertaga yopaman pul keladigan joyi bor ddi 0440 | 953 | 793137.07</t>
        </is>
      </c>
    </row>
    <row r="274">
      <c r="A274" s="101" t="inlineStr">
        <is>
          <t xml:space="preserve">КАШКАДАРЁ ВИЛОЯТИ</t>
        </is>
      </c>
      <c r="B274" s="101" t="inlineStr">
        <is>
          <t xml:space="preserve">SUPER BRANCH</t>
        </is>
      </c>
      <c r="C274" s="101" t="inlineStr">
        <is>
          <t xml:space="preserve">Ko'tardi</t>
        </is>
      </c>
      <c r="D274" s="101" t="inlineStr">
        <is>
          <t xml:space="preserve">Кр-99040142-1</t>
        </is>
      </c>
      <c r="E274" s="101" t="inlineStr">
        <is>
          <t xml:space="preserve">BARATOV ESHMAMAT G’AYRAT O’G’LI</t>
        </is>
      </c>
      <c r="F274" s="101" t="inlineStr">
        <is>
          <t xml:space="preserve">+998939360572 SMS OZI, 998900278116 SMS ONASI, 998995114507 SMS AKASI,</t>
        </is>
      </c>
      <c r="G274" s="101" t="inlineStr">
        <is>
          <t xml:space="preserve">БАТОШ МФЙ, БАТОШ КИШЛОГИ,  uy:Р/С</t>
        </is>
      </c>
      <c r="H274" s="102">
        <v>3.0</v>
      </c>
      <c r="I274" s="102">
        <v>0.0</v>
      </c>
      <c r="K274" s="101" t="inlineStr">
        <is>
          <t xml:space="preserve">bugun kechgacha ilojini qilaman bolmasa  20 gacha yopaman ddi 0572 | 960 | 1878557.59</t>
        </is>
      </c>
    </row>
    <row r="275">
      <c r="A275" s="101" t="inlineStr">
        <is>
          <t xml:space="preserve">КАШКАДАРЁ ВИЛОЯТИ</t>
        </is>
      </c>
      <c r="B275" s="101" t="inlineStr">
        <is>
          <t xml:space="preserve">SUPER BRANCH</t>
        </is>
      </c>
      <c r="C275" s="101" t="inlineStr">
        <is>
          <t xml:space="preserve">Ko'tardi</t>
        </is>
      </c>
      <c r="D275" s="101" t="inlineStr">
        <is>
          <t xml:space="preserve">Кр-99040202-1</t>
        </is>
      </c>
      <c r="E275" s="101" t="inlineStr">
        <is>
          <t xml:space="preserve">AMIROV AKTAMALI ISOMIDDINOVICH</t>
        </is>
      </c>
      <c r="F275" s="101" t="inlineStr">
        <is>
          <t xml:space="preserve">+998952428103 SMS OZI, 998770424502 SMS  ERI, 998914594502 SMS ERI 2,</t>
        </is>
      </c>
      <c r="G275" s="101" t="inlineStr">
        <is>
          <t xml:space="preserve">ТОШБУЛОҚ МФЙ, ҚИЁҚИ ҚИШЛОҒИ,  uy:Р\З</t>
        </is>
      </c>
      <c r="H275" s="102">
        <v>3.0</v>
      </c>
      <c r="I275" s="102">
        <v>0.0</v>
      </c>
      <c r="K275" s="101" t="inlineStr">
        <is>
          <t xml:space="preserve">kartadan yechgan ddi hali korinmagan | 969 | 2531621.76</t>
        </is>
      </c>
    </row>
    <row r="276">
      <c r="A276" s="101" t="inlineStr">
        <is>
          <t xml:space="preserve">КАШКАДАРЁ ВИЛОЯТИ</t>
        </is>
      </c>
      <c r="B276" s="101" t="inlineStr">
        <is>
          <t xml:space="preserve">SUPER BRANCH</t>
        </is>
      </c>
      <c r="C276" s="101" t="inlineStr">
        <is>
          <t xml:space="preserve">Оплатил дозвон</t>
        </is>
      </c>
      <c r="D276" s="101" t="inlineStr">
        <is>
          <t xml:space="preserve">Кр-99040370-1</t>
        </is>
      </c>
      <c r="E276" s="101" t="inlineStr">
        <is>
          <t xml:space="preserve">AZIMOV HASAN G’AYRAT O’G’LI</t>
        </is>
      </c>
      <c r="F276" s="101" t="inlineStr">
        <is>
          <t xml:space="preserve">998979514900 SMS OZI (BEGONA))), 998880073012 SMS AKASI (HAMKASBI), 998973863606 SMS DADASI (BEGONA), 998973183000 SMS DADASI  UZIIII,</t>
        </is>
      </c>
      <c r="G276" s="101" t="inlineStr">
        <is>
          <t xml:space="preserve">QASHQADARYO VILOYATI SHAXRISABZ TUMANI LOLISTON MFY PAXTAKOR QISHLOG’I XISOR KUCHASI 45-UY</t>
        </is>
      </c>
      <c r="H276" s="102">
        <v>3.0</v>
      </c>
      <c r="I276" s="102">
        <v>0.0</v>
      </c>
      <c r="K276" s="101" t="inlineStr">
        <is>
          <t xml:space="preserve">bankdan kirim qildi kechga korinadi 3000 | 1001 | 3207080.8</t>
        </is>
      </c>
    </row>
    <row r="277">
      <c r="A277" s="101" t="inlineStr">
        <is>
          <t xml:space="preserve">КАШКАДАРЁ ВИЛОЯТИ</t>
        </is>
      </c>
      <c r="B277" s="101" t="inlineStr">
        <is>
          <t xml:space="preserve">SUPER BRANCH</t>
        </is>
      </c>
      <c r="C277" s="101" t="inlineStr">
        <is>
          <t xml:space="preserve">Ko'tardi</t>
        </is>
      </c>
      <c r="D277" s="101" t="inlineStr">
        <is>
          <t xml:space="preserve">Кр-99040626-1</t>
        </is>
      </c>
      <c r="E277" s="101" t="inlineStr">
        <is>
          <t xml:space="preserve">TILOVOVA NAFISA TOSHPULATOVNA</t>
        </is>
      </c>
      <c r="F277" s="101" t="inlineStr">
        <is>
          <t xml:space="preserve">998942956565 SMS OZI, 998944487071 SMS ONASI, 998500768225 ERIII, 998931242500 SMS AKASI,</t>
        </is>
      </c>
      <c r="G277" s="101" t="inlineStr">
        <is>
          <t xml:space="preserve">QASHQADARYO VILOYATI DEHQONOBOD TUMANI O’ZBEKISTON MFY MUNAVVAR KO’CHASI 3-UY</t>
        </is>
      </c>
      <c r="H277" s="102">
        <v>3.0</v>
      </c>
      <c r="I277" s="102">
        <v>0.0</v>
      </c>
      <c r="K277" s="101" t="inlineStr">
        <is>
          <t xml:space="preserve">bugun kechgacha ilojini qiilaman ddi | 1051 | 2524743.13</t>
        </is>
      </c>
    </row>
    <row r="278">
      <c r="A278" s="103" t="inlineStr">
        <is>
          <t xml:space="preserve">КАШКАДАРЁ ВИЛОЯТИ</t>
        </is>
      </c>
      <c r="B278" s="103" t="inlineStr">
        <is>
          <t xml:space="preserve">Қарши филиали</t>
        </is>
      </c>
      <c r="C278" s="103" t="inlineStr">
        <is>
          <t xml:space="preserve">Обещали</t>
        </is>
      </c>
      <c r="D278" s="103" t="inlineStr">
        <is>
          <t xml:space="preserve">Кр-99063288-3</t>
        </is>
      </c>
      <c r="E278" s="103" t="inlineStr">
        <is>
          <t xml:space="preserve">ODIROV BAHRON SADULLOYEVICH</t>
        </is>
      </c>
      <c r="F278" s="103" t="inlineStr">
        <is>
          <t xml:space="preserve">+998972948022 SMS O'ZI, 998951745628 SMS, 998979540008 SMS,</t>
        </is>
      </c>
      <c r="G278" s="103" t="inlineStr">
        <is>
          <t xml:space="preserve">КАШКАДАРЁ ВИЛОЯТИ КОСОН ТУМАНИ ЭСАБОЙ МФЙ ОБОД КУЧАСИ 11-УЙ</t>
        </is>
      </c>
      <c r="H278" s="104">
        <v>3.0</v>
      </c>
      <c r="I278" s="104">
        <v>196062.05</v>
      </c>
      <c r="K278" s="103" t="inlineStr">
        <is>
          <t xml:space="preserve">bugun to'lavoradi</t>
        </is>
      </c>
    </row>
    <row r="279">
      <c r="A279" s="103" t="inlineStr">
        <is>
          <t xml:space="preserve">КАШКАДАРЁ ВИЛОЯТИ</t>
        </is>
      </c>
      <c r="B279" s="103" t="inlineStr">
        <is>
          <t xml:space="preserve">Қарши филиали</t>
        </is>
      </c>
      <c r="C279" s="103" t="inlineStr">
        <is>
          <t xml:space="preserve">Обещали</t>
        </is>
      </c>
      <c r="D279" s="103" t="inlineStr">
        <is>
          <t xml:space="preserve">Кр-99040917-2</t>
        </is>
      </c>
      <c r="E279" s="103" t="inlineStr">
        <is>
          <t xml:space="preserve">KAROMATOV OYBEK OBIDOVICH</t>
        </is>
      </c>
      <c r="F279" s="103" t="inlineStr">
        <is>
          <t xml:space="preserve">+998934232825 sms uzi, 998902444140 sms , 998919523244 sms,</t>
        </is>
      </c>
      <c r="G279" s="103" t="inlineStr">
        <is>
          <t xml:space="preserve">МАШЪАЛ МФЙ, НИЛУФАР КЎЧАСИ,  uy:Р/С</t>
        </is>
      </c>
      <c r="I279" s="104">
        <v>149805.0</v>
      </c>
      <c r="K279" s="103" t="inlineStr">
        <is>
          <t xml:space="preserve">bugun to'latamn</t>
        </is>
      </c>
    </row>
    <row r="280">
      <c r="A280" s="103" t="inlineStr">
        <is>
          <t xml:space="preserve">КАШКАДАРЁ ВИЛОЯТИ</t>
        </is>
      </c>
      <c r="B280" s="103" t="inlineStr">
        <is>
          <t xml:space="preserve">Қарши филиали</t>
        </is>
      </c>
      <c r="C280" s="103" t="inlineStr">
        <is>
          <t xml:space="preserve">Обещали</t>
        </is>
      </c>
      <c r="D280" s="103" t="inlineStr">
        <is>
          <t xml:space="preserve">Кр-99016127-6</t>
        </is>
      </c>
      <c r="E280" s="103" t="inlineStr">
        <is>
          <t xml:space="preserve">MURODOV BEKZOD ZIYADULLAYEVICH</t>
        </is>
      </c>
      <c r="F280" s="103" t="inlineStr">
        <is>
          <t xml:space="preserve">912161309 SMS UZI, 974494979 SMS AKASU, 919543908 SMS OILASI, 972001104 SMS DADASI, 998917239933 new uz,</t>
        </is>
      </c>
      <c r="G280" s="103" t="inlineStr">
        <is>
          <t xml:space="preserve">КАШКАДАРЁ ВИЛОЯТИ КАРШИ ШАХРИ Хужа-хиёл MFY QO’RG’ON KUCHASI 57-UY</t>
        </is>
      </c>
      <c r="H280" s="104">
        <v>3.0</v>
      </c>
      <c r="I280" s="104">
        <v>0.0</v>
      </c>
      <c r="K280" s="103" t="inlineStr">
        <is>
          <t xml:space="preserve">BUGUN YOPADII | 80 | 126744.46 | yopadi bugun</t>
        </is>
      </c>
    </row>
    <row r="281">
      <c r="A281" s="103" t="inlineStr">
        <is>
          <t xml:space="preserve">КАШКАДАРЁ ВИЛОЯТИ</t>
        </is>
      </c>
      <c r="B281" s="103" t="inlineStr">
        <is>
          <t xml:space="preserve">Қарши филиали</t>
        </is>
      </c>
      <c r="C281" s="103" t="inlineStr">
        <is>
          <t xml:space="preserve">Обещали</t>
        </is>
      </c>
      <c r="D281" s="103" t="inlineStr">
        <is>
          <t xml:space="preserve">Кр-99020517-12</t>
        </is>
      </c>
      <c r="E281" s="103" t="inlineStr">
        <is>
          <t xml:space="preserve">PRIMOV TOLMASBEK SHERMATOVICH</t>
        </is>
      </c>
      <c r="F281" s="103" t="inlineStr">
        <is>
          <t xml:space="preserve">97-229-20-44 SMS ruslan ukasi , 97-311-44-40 SMS BEGONA EKAN, 97-001-20-44 SMS OGLI, 88-200-20-78 SMS TULOVCHI TOLMASBEK,</t>
        </is>
      </c>
      <c r="G281" s="103" t="inlineStr">
        <is>
          <t xml:space="preserve">QASHQADARYO VILOYATI KOSON TUMANI DARCHA MFY PO’LATI QISHLOG’I 5-UY</t>
        </is>
      </c>
      <c r="H281" s="104">
        <v>3.0</v>
      </c>
      <c r="I281" s="104">
        <v>0.0</v>
      </c>
      <c r="K281" s="103" t="inlineStr">
        <is>
          <t xml:space="preserve">BUGUN ABETTAN KEN BITTASINI HAL QILIAMAN DDI IILOIJI BORICHA 2078 | 116 | 1151107.14</t>
        </is>
      </c>
    </row>
    <row r="282">
      <c r="A282" s="103" t="inlineStr">
        <is>
          <t xml:space="preserve">КАШКАДАРЁ ВИЛОЯТИ</t>
        </is>
      </c>
      <c r="B282" s="103" t="inlineStr">
        <is>
          <t xml:space="preserve">Қарши филиали</t>
        </is>
      </c>
      <c r="C282" s="103" t="inlineStr">
        <is>
          <t xml:space="preserve">Обещали</t>
        </is>
      </c>
      <c r="D282" s="103" t="inlineStr">
        <is>
          <t xml:space="preserve">Кр-99020544-2</t>
        </is>
      </c>
      <c r="E282" s="103" t="inlineStr">
        <is>
          <t xml:space="preserve">TOJIYEV TO’XTAMUROD AMIRKULOVICH</t>
        </is>
      </c>
      <c r="F282" s="103" t="inlineStr">
        <is>
          <t xml:space="preserve">88-677-12-52  SMS UZI, 998885881999 SMS O’GLI, 88-316-76-80  SMS OILASI, 77-777-28-40  SMS O’G’LI begana , 998885881999 katta ug`li ,</t>
        </is>
      </c>
      <c r="G282" s="103" t="inlineStr">
        <is>
          <t xml:space="preserve">QASHQADARYO VILOYATI NISHON TUMANI OQOLTIN MFY TINCHLIK KO’CHASI 12-UY</t>
        </is>
      </c>
      <c r="H282" s="104">
        <v>3.0</v>
      </c>
      <c r="I282" s="104">
        <v>0.0</v>
      </c>
      <c r="K282" s="103" t="inlineStr">
        <is>
          <t xml:space="preserve">JUMA JUNI ANIQ YOPAMAN DDI | 117 | 3656584.91 | ertaga to'lo bo'ladi</t>
        </is>
      </c>
    </row>
    <row r="283">
      <c r="A283" s="103" t="inlineStr">
        <is>
          <t xml:space="preserve">КАШКАДАРЁ ВИЛОЯТИ</t>
        </is>
      </c>
      <c r="B283" s="103" t="inlineStr">
        <is>
          <t xml:space="preserve">Қарши филиали</t>
        </is>
      </c>
      <c r="C283" s="103" t="inlineStr">
        <is>
          <t xml:space="preserve">Ko'tardi</t>
        </is>
      </c>
      <c r="D283" s="103" t="inlineStr">
        <is>
          <t xml:space="preserve">Кр-99035175-4</t>
        </is>
      </c>
      <c r="E283" s="103" t="inlineStr">
        <is>
          <t xml:space="preserve">HOJIYEV SUNNATILLO TOJIDDIN O’G’LI</t>
        </is>
      </c>
      <c r="F283" s="103" t="inlineStr">
        <is>
          <t xml:space="preserve">998945240302 SMS O’ZI, 998000908512 SMS O’ZI 2, 998908777898 O’ROG’I, 998948459700 AMMASI, +998945240302 Primary phone from road24, 998773097300 AYASI, 998948280073 DADASI,</t>
        </is>
      </c>
      <c r="G283" s="103" t="inlineStr">
        <is>
          <t xml:space="preserve">ХУЖАКАСБИ МФЙ, ХУЖА-КАСБИ КИШЛОГИ,  uy:Р/С</t>
        </is>
      </c>
      <c r="H283" s="104">
        <v>3.0</v>
      </c>
      <c r="I283" s="104">
        <v>0.0</v>
      </c>
      <c r="K283" s="103" t="inlineStr">
        <is>
          <t xml:space="preserve">zanazada ekan tel qilaman kenroq | 569 | 1657729.07</t>
        </is>
      </c>
    </row>
    <row r="284">
      <c r="A284" s="103" t="inlineStr">
        <is>
          <t xml:space="preserve">КАШКАДАРЁ ВИЛОЯТИ</t>
        </is>
      </c>
      <c r="B284" s="103" t="inlineStr">
        <is>
          <t xml:space="preserve">Қарши филиали</t>
        </is>
      </c>
      <c r="C284" s="103" t="inlineStr">
        <is>
          <t xml:space="preserve">Оплатил дозвон</t>
        </is>
      </c>
      <c r="D284" s="103" t="inlineStr">
        <is>
          <t xml:space="preserve">Кр-99036280-2</t>
        </is>
      </c>
      <c r="E284" s="103" t="inlineStr">
        <is>
          <t xml:space="preserve">DJURAYEV URAL NORTULAYEVICH</t>
        </is>
      </c>
      <c r="F284" s="103" t="inlineStr">
        <is>
          <t xml:space="preserve">998973133705 SMS OZI, 998886389305 SMS AYOLI, 998882214343 SMS AKASI, 998970706311 SMS UKASI,</t>
        </is>
      </c>
      <c r="G284" s="103" t="inlineStr">
        <is>
          <t xml:space="preserve">КАШКАДАРЁ ВИЛОЯТИ КОСОН ТУМАНИ Эсабой МФЙ Эсабой кучаси 11 уй</t>
        </is>
      </c>
      <c r="H284" s="104">
        <v>3.0</v>
      </c>
      <c r="I284" s="104">
        <v>0.0</v>
      </c>
      <c r="K284" s="103" t="inlineStr">
        <is>
          <t xml:space="preserve">bugun abetgacha yopaman hammasini ddi | 640 | 1399498.04</t>
        </is>
      </c>
    </row>
    <row r="285">
      <c r="A285" s="103" t="inlineStr">
        <is>
          <t xml:space="preserve">КАШКАДАРЁ ВИЛОЯТИ</t>
        </is>
      </c>
      <c r="B285" s="103" t="inlineStr">
        <is>
          <t xml:space="preserve">Қарши филиали</t>
        </is>
      </c>
      <c r="C285" s="103" t="inlineStr">
        <is>
          <t xml:space="preserve">Оплатил дозвон</t>
        </is>
      </c>
      <c r="D285" s="103" t="inlineStr">
        <is>
          <t xml:space="preserve">Кр-99036280-4</t>
        </is>
      </c>
      <c r="E285" s="103" t="inlineStr">
        <is>
          <t xml:space="preserve">DJURAYEV URAL NORTULAYEVICH</t>
        </is>
      </c>
      <c r="F285" s="103" t="inlineStr">
        <is>
          <t xml:space="preserve">998973133705 SMS OZI, 998886389305 SMS AYOLI, 998882214343 SMS AKASI, 998970706311 SMS UKASI,</t>
        </is>
      </c>
      <c r="G285" s="103" t="inlineStr">
        <is>
          <t xml:space="preserve">КАШКАДАРЁ ВИЛОЯТИ КОСОН ТУМАНИ Эсабой МФЙ Эсабой кучаси 11 уй</t>
        </is>
      </c>
      <c r="H285" s="104">
        <v>3.0</v>
      </c>
      <c r="I285" s="104">
        <v>0.0</v>
      </c>
      <c r="K285" s="103" t="inlineStr">
        <is>
          <t xml:space="preserve">bugun abetgacha yopaman hammasini ddi | 642 | 3152875.11</t>
        </is>
      </c>
    </row>
    <row r="286">
      <c r="A286" s="103" t="inlineStr">
        <is>
          <t xml:space="preserve">КАШКАДАРЁ ВИЛОЯТИ</t>
        </is>
      </c>
      <c r="B286" s="103" t="inlineStr">
        <is>
          <t xml:space="preserve">Қарши филиали</t>
        </is>
      </c>
      <c r="C286" s="103" t="inlineStr">
        <is>
          <t xml:space="preserve">Обещали</t>
        </is>
      </c>
      <c r="D286" s="103" t="inlineStr">
        <is>
          <t xml:space="preserve">Кр-99036611-1</t>
        </is>
      </c>
      <c r="E286" s="103" t="inlineStr">
        <is>
          <t xml:space="preserve">NAZAROV DILSHOD SHAMSHODOVICH</t>
        </is>
      </c>
      <c r="G286" s="103" t="inlineStr">
        <is>
          <t xml:space="preserve">КАШКАДАРЁ ВИЛОЯТИ КОСОН ТУМАНИ АРАЛИК МФЙ ЭСКИ ШАХАР КУЧАСИ 11-УЙ</t>
        </is>
      </c>
      <c r="H286" s="104">
        <v>3.0</v>
      </c>
      <c r="I286" s="104">
        <v>0.0</v>
      </c>
      <c r="K286" s="103" t="inlineStr">
        <is>
          <t xml:space="preserve">bugun kechgacha harakat qiladiiloji boricha yopadi bolmasa dushanba kuni yopaman ddi  88 883 5600 | 667 | 7080395</t>
        </is>
      </c>
    </row>
    <row r="287">
      <c r="A287" s="103" t="inlineStr">
        <is>
          <t xml:space="preserve">КАШКАДАРЁ ВИЛОЯТИ</t>
        </is>
      </c>
      <c r="B287" s="103" t="inlineStr">
        <is>
          <t xml:space="preserve">Қарши филиали</t>
        </is>
      </c>
      <c r="C287" s="103" t="inlineStr">
        <is>
          <t xml:space="preserve">Оплатил дозвон</t>
        </is>
      </c>
      <c r="D287" s="103" t="inlineStr">
        <is>
          <t xml:space="preserve">Кр-99036962-2</t>
        </is>
      </c>
      <c r="E287" s="103" t="inlineStr">
        <is>
          <t xml:space="preserve">SALOMOV ILYOS SODIKOVICH</t>
        </is>
      </c>
      <c r="F287" s="103" t="inlineStr">
        <is>
          <t xml:space="preserve">998335456770 SMS OZI, 998908970677 SMS OILASI, 998996361855 SMS UKASI, 998916361855 SMS AKASI  UZIII,</t>
        </is>
      </c>
      <c r="G287" s="103" t="inlineStr">
        <is>
          <t xml:space="preserve">КАШКАДАРЁ ВИЛОЯТИ КАРШИ ШАХРИ КАВАЛИ МФЙ ЧОРСУ КУЧАСИ 26-УЙ</t>
        </is>
      </c>
      <c r="H287" s="104">
        <v>3.0</v>
      </c>
      <c r="I287" s="104">
        <v>0.0</v>
      </c>
      <c r="K287" s="103" t="inlineStr">
        <is>
          <t xml:space="preserve">BUGUN YOPADII | 679 | 694811.8</t>
        </is>
      </c>
    </row>
    <row r="288">
      <c r="A288" s="103" t="inlineStr">
        <is>
          <t xml:space="preserve">КАШКАДАРЁ ВИЛОЯТИ</t>
        </is>
      </c>
      <c r="B288" s="103" t="inlineStr">
        <is>
          <t xml:space="preserve">Қарши филиали</t>
        </is>
      </c>
      <c r="C288" s="103" t="inlineStr">
        <is>
          <t xml:space="preserve">Обещали</t>
        </is>
      </c>
      <c r="D288" s="103" t="inlineStr">
        <is>
          <t xml:space="preserve">Кр-99037597-2</t>
        </is>
      </c>
      <c r="E288" s="103" t="inlineStr">
        <is>
          <t xml:space="preserve">OTAMURODOV SALOXIDDIN TURA O’G’LI</t>
        </is>
      </c>
      <c r="F288" s="103" t="inlineStr">
        <is>
          <t xml:space="preserve">998938839097 SMS OZI, 998972222957 SMS AYOLI, 998974440277 SMS AKASI, 998972644555 SMS UKASI, 998878357171 UZI NEW,</t>
        </is>
      </c>
      <c r="G288" s="103" t="inlineStr">
        <is>
          <t xml:space="preserve">КАШКАДАРЁ ВИЛОЯТИ КОСОН ТУМАНИ ПИСТАЛИ МФЙ, ПИСТАЛИ,  uy:Р/С 119</t>
        </is>
      </c>
      <c r="H288" s="104">
        <v>3.0</v>
      </c>
      <c r="I288" s="104">
        <v>0.0</v>
      </c>
      <c r="K288" s="103" t="inlineStr">
        <is>
          <t xml:space="preserve">15:00 gacha kartadan yopaman ddi 7171 | 727 | 932357.73</t>
        </is>
      </c>
    </row>
    <row r="289">
      <c r="A289" s="103" t="inlineStr">
        <is>
          <t xml:space="preserve">КАШКАДАРЁ ВИЛОЯТИ</t>
        </is>
      </c>
      <c r="B289" s="103" t="inlineStr">
        <is>
          <t xml:space="preserve">Қарши филиали</t>
        </is>
      </c>
      <c r="C289" s="103" t="inlineStr">
        <is>
          <t xml:space="preserve">Ko'tardi</t>
        </is>
      </c>
      <c r="D289" s="103" t="inlineStr">
        <is>
          <t xml:space="preserve">Кр-99038004-2</t>
        </is>
      </c>
      <c r="E289" s="103" t="inlineStr">
        <is>
          <t xml:space="preserve">RAXMONOVA NILUFAR RAXMIDDIN QIZI</t>
        </is>
      </c>
      <c r="F289" s="103" t="inlineStr">
        <is>
          <t xml:space="preserve">998889543030 SMS OZI, 998882070694 SMS OILASI, 998979537171 SMS AKASI, 998991689400 SMS AKASI, 998974380089 SMS TO'LOVCHI,</t>
        </is>
      </c>
      <c r="G289" s="103" t="inlineStr">
        <is>
          <t xml:space="preserve">КАШКАДАРЁ ВИЛОЯТИ КОСОН ТУМАНИ Эсабой МФЙ Эсабой кучаси 31-уй</t>
        </is>
      </c>
      <c r="H289" s="104">
        <v>3.0</v>
      </c>
      <c r="I289" s="104">
        <v>0.0</v>
      </c>
      <c r="K289" s="103" t="inlineStr">
        <is>
          <t xml:space="preserve">oyni 15 ga yopaman ddi 0089 | 749 | 1927237.14</t>
        </is>
      </c>
    </row>
    <row r="290">
      <c r="A290" s="103" t="inlineStr">
        <is>
          <t xml:space="preserve">КАШКАДАРЁ ВИЛОЯТИ</t>
        </is>
      </c>
      <c r="B290" s="103" t="inlineStr">
        <is>
          <t xml:space="preserve">Қарши филиали</t>
        </is>
      </c>
      <c r="C290" s="103" t="inlineStr">
        <is>
          <t xml:space="preserve">Ko'tardi</t>
        </is>
      </c>
      <c r="D290" s="103" t="inlineStr">
        <is>
          <t xml:space="preserve">Кр-99038978-3</t>
        </is>
      </c>
      <c r="E290" s="103" t="inlineStr">
        <is>
          <t xml:space="preserve">ATAQULOV FERUZ JURABEK O’G’LI</t>
        </is>
      </c>
      <c r="F290" s="103" t="inlineStr">
        <is>
          <t xml:space="preserve">998953853414 SMS OZI, 998990155371 SMS AYOLI BEGONA, 998991020088 SMS UYI, 998992381515 SMS AKASI, 998880003026 SMS OZI, 998951470012 UZI,</t>
        </is>
      </c>
      <c r="G290" s="103" t="inlineStr">
        <is>
          <t xml:space="preserve">Кашкадарьинская область, г. Карши, Арабхона МФЙ, ул. Мугжагул, дом 49</t>
        </is>
      </c>
      <c r="H290" s="104">
        <v>3.0</v>
      </c>
      <c r="I290" s="104">
        <v>0.0</v>
      </c>
      <c r="K290" s="103" t="inlineStr">
        <is>
          <t xml:space="preserve">uzi qaytib chiqadi | 807 | 944990.16</t>
        </is>
      </c>
    </row>
    <row r="291">
      <c r="A291" s="103" t="inlineStr">
        <is>
          <t xml:space="preserve">КАШКАДАРЁ ВИЛОЯТИ</t>
        </is>
      </c>
      <c r="B291" s="103" t="inlineStr">
        <is>
          <t xml:space="preserve">Қарши филиали</t>
        </is>
      </c>
      <c r="C291" s="103" t="inlineStr">
        <is>
          <t xml:space="preserve">Ko'tardi</t>
        </is>
      </c>
      <c r="D291" s="103" t="inlineStr">
        <is>
          <t xml:space="preserve">Кр-99040130-2</t>
        </is>
      </c>
      <c r="E291" s="103" t="inlineStr">
        <is>
          <t xml:space="preserve">XUSAYNOVA SHOIRA SHODIYEVNA</t>
        </is>
      </c>
      <c r="F291" s="103" t="inlineStr">
        <is>
          <t xml:space="preserve">998914649348 SMS OZI, 998910720440 SMS ONASI TO'LOVCHI , 998952212310 SMS UKASI,</t>
        </is>
      </c>
      <c r="G291" s="103" t="inlineStr">
        <is>
          <t xml:space="preserve">QASHQADARYO VILOYATI QARSHI SHAHRI GEOLOG MFY GEOLOGLAR KUCHASI 11-UY 2-XONADON</t>
        </is>
      </c>
      <c r="H291" s="104">
        <v>3.0</v>
      </c>
      <c r="I291" s="104">
        <v>0.0</v>
      </c>
      <c r="K291" s="103" t="inlineStr">
        <is>
          <t xml:space="preserve">bugun kechgacha yoki ertaga yopaman pul keladigan joyi bor ddi 0440 | 954 | 2100186.14</t>
        </is>
      </c>
    </row>
    <row r="292">
      <c r="A292" s="103" t="inlineStr">
        <is>
          <t xml:space="preserve">КАШКАДАРЁ ВИЛОЯТИ</t>
        </is>
      </c>
      <c r="B292" s="103" t="inlineStr">
        <is>
          <t xml:space="preserve">Қарши филиали</t>
        </is>
      </c>
      <c r="C292" s="103" t="inlineStr">
        <is>
          <t xml:space="preserve">Ko'tardi</t>
        </is>
      </c>
      <c r="D292" s="103" t="inlineStr">
        <is>
          <t xml:space="preserve">Кр-99040427-3</t>
        </is>
      </c>
      <c r="E292" s="103" t="inlineStr">
        <is>
          <t xml:space="preserve">TO’XTAYEV ABROR G’AFUROVICH</t>
        </is>
      </c>
      <c r="F292" s="103" t="inlineStr">
        <is>
          <t xml:space="preserve">+998880710090 SMS OZI, 998880055010 OILASI, 998912272717 UKASI,</t>
        </is>
      </c>
      <c r="G292" s="103" t="inlineStr">
        <is>
          <t xml:space="preserve">САНАМ МФЙ, САНАМ МФЙ, М.БОБОЕВ КУЧ.,  uy:Р/С</t>
        </is>
      </c>
      <c r="H292" s="104">
        <v>3.0</v>
      </c>
      <c r="I292" s="104">
        <v>0.0</v>
      </c>
      <c r="K292" s="103" t="inlineStr">
        <is>
          <t xml:space="preserve">iloji boricha harakat  qilayapti | 1017 | 1248343.42</t>
        </is>
      </c>
    </row>
    <row r="293">
      <c r="A293" s="103" t="inlineStr">
        <is>
          <t xml:space="preserve">КАШКАДАРЁ ВИЛОЯТИ</t>
        </is>
      </c>
      <c r="B293" s="103" t="inlineStr">
        <is>
          <t xml:space="preserve">Қарши филиали</t>
        </is>
      </c>
      <c r="C293" s="103" t="inlineStr">
        <is>
          <t xml:space="preserve">Ko'tardi</t>
        </is>
      </c>
      <c r="D293" s="103" t="inlineStr">
        <is>
          <t xml:space="preserve">Кр-99040558-4</t>
        </is>
      </c>
      <c r="E293" s="103" t="inlineStr">
        <is>
          <t xml:space="preserve">PO’LATOVA HOSILA SHERZOD QIZI</t>
        </is>
      </c>
      <c r="F293" s="103" t="inlineStr">
        <is>
          <t xml:space="preserve">+998881645858 sms eri, 998876701994 tulovchi, 998981169494 ukasi begona, 998953900062 sms to'lovchi,</t>
        </is>
      </c>
      <c r="G293" s="103" t="inlineStr">
        <is>
          <t xml:space="preserve">Кашкадарьинская область, Касанский район, Қунғиртоғ МСГ, Насаф, дом 1-14</t>
        </is>
      </c>
      <c r="H293" s="104">
        <v>3.0</v>
      </c>
      <c r="I293" s="104">
        <v>0.0</v>
      </c>
      <c r="K293" s="103" t="inlineStr">
        <is>
          <t xml:space="preserve">iloji boricha bugun harakat qilaman ddi | 1045 | 1086858 | 10- da to'lov qiladi</t>
        </is>
      </c>
    </row>
    <row r="294">
      <c r="A294" s="103" t="inlineStr">
        <is>
          <t xml:space="preserve">КАШКАДАРЁ ВИЛОЯТИ</t>
        </is>
      </c>
      <c r="B294" s="103" t="inlineStr">
        <is>
          <t xml:space="preserve">Қарши филиали</t>
        </is>
      </c>
      <c r="C294" s="103" t="inlineStr">
        <is>
          <t xml:space="preserve">Оплатил дозвон</t>
        </is>
      </c>
      <c r="D294" s="103" t="inlineStr">
        <is>
          <t xml:space="preserve">Кр-99063749-1</t>
        </is>
      </c>
      <c r="E294" s="103" t="inlineStr">
        <is>
          <t xml:space="preserve">HAYITOV NOSIRBEK ILHOMOVICH</t>
        </is>
      </c>
      <c r="G294" s="103" t="inlineStr">
        <is>
          <t xml:space="preserve">КАШКАДАРЁ ВИЛОЯТИ КАСБИ ТУМАНИ ОКТЕПА МФЙ ДЕНОВ КИШЛОГИ</t>
        </is>
      </c>
      <c r="I294" s="104">
        <v>0.0</v>
      </c>
      <c r="K294" s="103" t="inlineStr">
        <is>
          <t xml:space="preserve">bugun yopaman ddi | 2174 | 216610.95</t>
        </is>
      </c>
    </row>
    <row r="295">
      <c r="A295" s="103" t="inlineStr">
        <is>
          <t xml:space="preserve">КАШКАДАРЁ ВИЛОЯТИ</t>
        </is>
      </c>
      <c r="B295" s="103" t="inlineStr">
        <is>
          <t xml:space="preserve">Қарши филиали</t>
        </is>
      </c>
      <c r="C295" s="103" t="inlineStr">
        <is>
          <t xml:space="preserve">Ko'tardi</t>
        </is>
      </c>
      <c r="D295" s="103" t="inlineStr">
        <is>
          <t xml:space="preserve">Кр+D12:E770-99038371-3</t>
        </is>
      </c>
      <c r="E295" s="103" t="inlineStr">
        <is>
          <t xml:space="preserve">NAMOZOVA SOHIBA SAYFULLAYEVNA</t>
        </is>
      </c>
      <c r="F295" s="103" t="inlineStr">
        <is>
          <t xml:space="preserve">998889498189 SMS OZI, 998767391002 SMS OZI 2, 998888029100 SMS AYOLI, 998770306991 uzi neww,</t>
        </is>
      </c>
      <c r="G295" s="103" t="inlineStr">
        <is>
          <t xml:space="preserve">QASHQADARYO VILOYATI KOSON TUMANI BOYGUNDI MFY BOYGUNDI QISHLOGI</t>
        </is>
      </c>
      <c r="H295" s="104">
        <v>3.0</v>
      </c>
      <c r="I295" s="104">
        <v>0.0</v>
      </c>
      <c r="K295" s="103" t="inlineStr">
        <is>
          <t xml:space="preserve">bir ikki kunda yopaman ddi boshqaga obergan uzi tolayapti 6991 | 766 | 3769230.16</t>
        </is>
      </c>
    </row>
    <row r="296">
      <c r="A296" s="105" t="inlineStr">
        <is>
          <t xml:space="preserve">КОРАКАЛПОГИСТОН РЕСПУБЛИКАСИ</t>
        </is>
      </c>
      <c r="B296" s="105" t="inlineStr">
        <is>
          <t xml:space="preserve">BOSH OFIS</t>
        </is>
      </c>
      <c r="C296" s="105" t="inlineStr">
        <is>
          <t xml:space="preserve">Обещали</t>
        </is>
      </c>
      <c r="D296" s="105" t="inlineStr">
        <is>
          <t xml:space="preserve">Кр-99041431-1</t>
        </is>
      </c>
      <c r="E296" s="105" t="inlineStr">
        <is>
          <t xml:space="preserve">BAYNAZAROVA AMANGUL KALIBAYEVNA</t>
        </is>
      </c>
      <c r="F296" s="105" t="inlineStr">
        <is>
          <t xml:space="preserve">998906536610 SMS OZI, 998919359599 SMS QIZI, 998913918821 SMS OGLI, 998913810499 SMS KELINI, 998933029514 SMS UKASI WU RAQAM ISHLAYDI,</t>
        </is>
      </c>
      <c r="G296" s="105" t="inlineStr">
        <is>
          <t xml:space="preserve">QARAQALPOGISTON RES NUKUS SHAHAR XAUA JOLI MFY DAWLET BAQSI KUSHASI 21 UY </t>
        </is>
      </c>
      <c r="H296" s="106">
        <v>3.0</v>
      </c>
      <c r="I296" s="106">
        <v>3206455.34</v>
      </c>
      <c r="K296" s="105" t="inlineStr">
        <is>
          <t xml:space="preserve">16chida yopadi</t>
        </is>
      </c>
    </row>
    <row r="297">
      <c r="A297" s="107" t="inlineStr">
        <is>
          <t xml:space="preserve">КОРАКАЛПОГИСТОН РЕСПУБЛИКАСИ</t>
        </is>
      </c>
      <c r="B297" s="107" t="inlineStr">
        <is>
          <t xml:space="preserve">SUPER BRANCH</t>
        </is>
      </c>
      <c r="C297" s="107" t="inlineStr">
        <is>
          <t xml:space="preserve">Обещали</t>
        </is>
      </c>
      <c r="D297" s="107" t="inlineStr">
        <is>
          <t xml:space="preserve">Кр-99063846-2</t>
        </is>
      </c>
      <c r="E297" s="107" t="inlineStr">
        <is>
          <t xml:space="preserve">SABUROV OG’ABEK RAXAT O’G’LI</t>
        </is>
      </c>
      <c r="F297" s="107" t="inlineStr">
        <is>
          <t xml:space="preserve">998500878236 SMS UZI, 998919397304 SMS DOSTI, 998930479829 SMS KELINI, 998933932316 SMS OPASI,</t>
        </is>
      </c>
      <c r="G297" s="107" t="inlineStr">
        <is>
          <t xml:space="preserve">Республика Каракалпакстан, Берунийский район, Найман ССГ, ул. Дахо, дом 5</t>
        </is>
      </c>
      <c r="H297" s="108">
        <v>3.0</v>
      </c>
      <c r="I297" s="108">
        <v>5170842.0</v>
      </c>
      <c r="K297" s="107" t="inlineStr">
        <is>
          <t xml:space="preserve">SHANBI TO'LIDI</t>
        </is>
      </c>
    </row>
    <row r="298">
      <c r="A298" s="107" t="inlineStr">
        <is>
          <t xml:space="preserve">КОРАКАЛПОГИСТОН РЕСПУБЛИКАСИ</t>
        </is>
      </c>
      <c r="B298" s="107" t="inlineStr">
        <is>
          <t xml:space="preserve">SUPER BRANCH</t>
        </is>
      </c>
      <c r="C298" s="107" t="inlineStr">
        <is>
          <t xml:space="preserve">Оплатил дозвон</t>
        </is>
      </c>
      <c r="D298" s="107" t="inlineStr">
        <is>
          <t xml:space="preserve">Кр-99040984-1</t>
        </is>
      </c>
      <c r="E298" s="107" t="inlineStr">
        <is>
          <t xml:space="preserve">UTAROV JAKSILIK DJITESOVICH</t>
        </is>
      </c>
      <c r="F298" s="107" t="inlineStr">
        <is>
          <t xml:space="preserve">998913033891 SMS OZI, 998913917972 SMS AYOLI, 998991941402 SMS OGLI,</t>
        </is>
      </c>
      <c r="G298" s="107" t="inlineStr">
        <is>
          <t xml:space="preserve">NUKUS SHAHRI</t>
        </is>
      </c>
      <c r="H298" s="108">
        <v>3.0</v>
      </c>
      <c r="I298" s="108">
        <v>4465307.94</v>
      </c>
      <c r="J298" s="108">
        <v>4465307.94</v>
      </c>
    </row>
    <row r="299">
      <c r="A299" s="107" t="inlineStr">
        <is>
          <t xml:space="preserve">КОРАКАЛПОГИСТОН РЕСПУБЛИКАСИ</t>
        </is>
      </c>
      <c r="B299" s="107" t="inlineStr">
        <is>
          <t xml:space="preserve">SUPER BRANCH</t>
        </is>
      </c>
      <c r="C299" s="107" t="inlineStr">
        <is>
          <t xml:space="preserve">Оплатил дозвон</t>
        </is>
      </c>
      <c r="D299" s="107" t="inlineStr">
        <is>
          <t xml:space="preserve">Кр-99060436-1</t>
        </is>
      </c>
      <c r="E299" s="107" t="inlineStr">
        <is>
          <t xml:space="preserve">DJALIMBETOVA KALIXAN SHUKURBAEVNA</t>
        </is>
      </c>
      <c r="F299" s="107" t="inlineStr">
        <is>
          <t xml:space="preserve">998913008425 узи, 998902628687 кизи, 998913738425 угли, 998973650906 угли,</t>
        </is>
      </c>
      <c r="G299" s="107" t="inlineStr">
        <is>
          <t xml:space="preserve">QORAQALPOGISTON RES NUKUS SHAHAR KATTAGAR MFY SHARSHARA KUSHASI 11 UY </t>
        </is>
      </c>
      <c r="H299" s="108">
        <v>3.0</v>
      </c>
      <c r="I299" s="108">
        <v>4363232.18</v>
      </c>
      <c r="J299" s="108">
        <v>4363232.18</v>
      </c>
    </row>
    <row r="300">
      <c r="A300" s="107" t="inlineStr">
        <is>
          <t xml:space="preserve">КОРАКАЛПОГИСТОН РЕСПУБЛИКАСИ</t>
        </is>
      </c>
      <c r="B300" s="107" t="inlineStr">
        <is>
          <t xml:space="preserve">SUPER BRANCH</t>
        </is>
      </c>
      <c r="C300" s="107" t="inlineStr">
        <is>
          <t xml:space="preserve">Оплатил дозвон</t>
        </is>
      </c>
      <c r="D300" s="107" t="inlineStr">
        <is>
          <t xml:space="preserve">Кр-99064541-1</t>
        </is>
      </c>
      <c r="E300" s="107" t="inlineStr">
        <is>
          <t xml:space="preserve">MADAMINOV RASUL FAXRIDDIN O’G’LI</t>
        </is>
      </c>
      <c r="F300" s="107" t="inlineStr">
        <is>
          <t xml:space="preserve">998934215520 SMS UKASI, 998937435525 SMS AYOLI, 998937705522 SMS UZI,</t>
        </is>
      </c>
      <c r="G300" s="107" t="inlineStr">
        <is>
          <t xml:space="preserve">ЧОЙКУЛ ҚФЙ, БОСУВ МФЙ,  uy:Р/З</t>
        </is>
      </c>
      <c r="H300" s="108">
        <v>3.0</v>
      </c>
      <c r="I300" s="108">
        <v>3874563.0</v>
      </c>
      <c r="J300" s="108">
        <v>3874563.0</v>
      </c>
    </row>
    <row r="301">
      <c r="A301" s="107" t="inlineStr">
        <is>
          <t xml:space="preserve">КОРАКАЛПОГИСТОН РЕСПУБЛИКАСИ</t>
        </is>
      </c>
      <c r="B301" s="107" t="inlineStr">
        <is>
          <t xml:space="preserve">SUPER BRANCH</t>
        </is>
      </c>
      <c r="C301" s="107" t="inlineStr">
        <is>
          <t xml:space="preserve">Обещали</t>
        </is>
      </c>
      <c r="D301" s="107" t="inlineStr">
        <is>
          <t xml:space="preserve">Кр-99048733-1</t>
        </is>
      </c>
      <c r="E301" s="107" t="inlineStr">
        <is>
          <t xml:space="preserve">MAMBETNAZAROV ILXAMBEK BEKMURZAEVICH</t>
        </is>
      </c>
      <c r="F301" s="107" t="inlineStr">
        <is>
          <t xml:space="preserve">998907070002 SMS UZI, 998912670007 SMS UZI 2 BEGONA , 998907090003 xotini newww,</t>
        </is>
      </c>
      <c r="G301" s="107" t="inlineStr">
        <is>
          <t xml:space="preserve">NUKUS SHAHAR</t>
        </is>
      </c>
      <c r="H301" s="108">
        <v>3.0</v>
      </c>
      <c r="I301" s="108">
        <v>3148072.14</v>
      </c>
      <c r="K301" s="107" t="inlineStr">
        <is>
          <t xml:space="preserve">15chida bolib bolib to'lidi</t>
        </is>
      </c>
    </row>
    <row r="302">
      <c r="A302" s="107" t="inlineStr">
        <is>
          <t xml:space="preserve">КОРАКАЛПОГИСТОН РЕСПУБЛИКАСИ</t>
        </is>
      </c>
      <c r="B302" s="107" t="inlineStr">
        <is>
          <t xml:space="preserve">SUPER BRANCH</t>
        </is>
      </c>
      <c r="C302" s="107" t="inlineStr">
        <is>
          <t xml:space="preserve">Оплатил дозвон</t>
        </is>
      </c>
      <c r="D302" s="107" t="inlineStr">
        <is>
          <t xml:space="preserve">Кр-99041583-1</t>
        </is>
      </c>
      <c r="E302" s="107" t="inlineStr">
        <is>
          <t xml:space="preserve">ATAMURATOVA ZAURE KENESBAEVNA</t>
        </is>
      </c>
      <c r="F302" s="107" t="inlineStr">
        <is>
          <t xml:space="preserve">+998913926462 OZI,</t>
        </is>
      </c>
      <c r="G302" s="107" t="inlineStr">
        <is>
          <t xml:space="preserve">Моншаклы МФЙ, Улугбек кучаси, 34-уй</t>
        </is>
      </c>
      <c r="H302" s="108">
        <v>3.0</v>
      </c>
      <c r="I302" s="108">
        <v>3106671.42</v>
      </c>
      <c r="J302" s="108">
        <v>3106671.42</v>
      </c>
      <c r="K302" s="107" t="inlineStr">
        <is>
          <t xml:space="preserve">QISMAN</t>
        </is>
      </c>
    </row>
    <row r="303">
      <c r="A303" s="107" t="inlineStr">
        <is>
          <t xml:space="preserve">КОРАКАЛПОГИСТОН РЕСПУБЛИКАСИ</t>
        </is>
      </c>
      <c r="B303" s="107" t="inlineStr">
        <is>
          <t xml:space="preserve">SUPER BRANCH</t>
        </is>
      </c>
      <c r="C303" s="107" t="inlineStr">
        <is>
          <t xml:space="preserve">Оплатил дозвон</t>
        </is>
      </c>
      <c r="D303" s="107" t="inlineStr">
        <is>
          <t xml:space="preserve">Кр-99054949-1</t>
        </is>
      </c>
      <c r="E303" s="107" t="inlineStr">
        <is>
          <t xml:space="preserve">NIYETBAYEVA AINUR NIYETULLAYEVNA</t>
        </is>
      </c>
      <c r="F303" s="107" t="inlineStr">
        <is>
          <t xml:space="preserve">998886580422 SMS OZI, 998883384007 SMS QIZI, 998888921002 SMS QIZI, 998881378382 SMS ERI ,</t>
        </is>
      </c>
      <c r="G303" s="107" t="inlineStr">
        <is>
          <t xml:space="preserve">QARAQALPOGISTON RES NUKUS TUMANI DIYXAN ARNA MFY  SHADLI EL KUSHASI 23A-UY</t>
        </is>
      </c>
      <c r="H303" s="108">
        <v>3.0</v>
      </c>
      <c r="I303" s="108">
        <v>2646783.44</v>
      </c>
      <c r="J303" s="108">
        <v>2646783.44</v>
      </c>
    </row>
    <row r="304">
      <c r="A304" s="107" t="inlineStr">
        <is>
          <t xml:space="preserve">КОРАКАЛПОГИСТОН РЕСПУБЛИКАСИ</t>
        </is>
      </c>
      <c r="B304" s="107" t="inlineStr">
        <is>
          <t xml:space="preserve">SUPER BRANCH</t>
        </is>
      </c>
      <c r="C304" s="107" t="inlineStr">
        <is>
          <t xml:space="preserve">Оплатил дозвон</t>
        </is>
      </c>
      <c r="D304" s="107" t="inlineStr">
        <is>
          <t xml:space="preserve">Кр-99062824-1</t>
        </is>
      </c>
      <c r="E304" s="107" t="inlineStr">
        <is>
          <t xml:space="preserve">ALIYEV KUDIYAR ALLIYAROVICH</t>
        </is>
      </c>
      <c r="F304" s="107" t="inlineStr">
        <is>
          <t xml:space="preserve">998933611148 SMS OANSI, 998972904286 SMS OZI, 998991623511 SMS AYOLI, 998991633511 SMS QIZI,</t>
        </is>
      </c>
      <c r="G304" s="107" t="inlineStr">
        <is>
          <t xml:space="preserve">QORAQOLPAGISTON RESPUBLIKASI NUKUS AMUDARYA MFY ELIM BAR KOCHASI 35-UY</t>
        </is>
      </c>
      <c r="H304" s="108">
        <v>3.0</v>
      </c>
      <c r="I304" s="108">
        <v>2471223.6</v>
      </c>
      <c r="J304" s="108">
        <v>2471223.6</v>
      </c>
      <c r="K304" s="107" t="inlineStr">
        <is>
          <t xml:space="preserve">qisman</t>
        </is>
      </c>
    </row>
    <row r="305">
      <c r="A305" s="107" t="inlineStr">
        <is>
          <t xml:space="preserve">КОРАКАЛПОГИСТОН РЕСПУБЛИКАСИ</t>
        </is>
      </c>
      <c r="B305" s="107" t="inlineStr">
        <is>
          <t xml:space="preserve">SUPER BRANCH</t>
        </is>
      </c>
      <c r="C305" s="107" t="inlineStr">
        <is>
          <t xml:space="preserve">Оплатил дозвон</t>
        </is>
      </c>
      <c r="D305" s="107" t="inlineStr">
        <is>
          <t xml:space="preserve">Кр-99061977-1</t>
        </is>
      </c>
      <c r="E305" s="107" t="inlineStr">
        <is>
          <t xml:space="preserve">DJUMAMBETOV ADILBAY DJIYLISBAEVICH</t>
        </is>
      </c>
      <c r="F305" s="107" t="inlineStr">
        <is>
          <t xml:space="preserve">998935690685 SMS OZI, 998938712409 SMS AYOLI, 998333252268 SMS OPASI, 998945833936 SMS OPASI2,</t>
        </is>
      </c>
      <c r="G305" s="107" t="inlineStr">
        <is>
          <t xml:space="preserve">QORAQALPOGISTON RES SHUMANAY TUMANI MAMIY OFY ABAT JURT KUSHASI 4 UY </t>
        </is>
      </c>
      <c r="H305" s="108">
        <v>3.0</v>
      </c>
      <c r="I305" s="108">
        <v>2439603.37</v>
      </c>
      <c r="J305" s="108">
        <v>2439603.37</v>
      </c>
    </row>
    <row r="306">
      <c r="A306" s="107" t="inlineStr">
        <is>
          <t xml:space="preserve">КОРАКАЛПОГИСТОН РЕСПУБЛИКАСИ</t>
        </is>
      </c>
      <c r="B306" s="107" t="inlineStr">
        <is>
          <t xml:space="preserve">SUPER BRANCH</t>
        </is>
      </c>
      <c r="C306" s="107" t="inlineStr">
        <is>
          <t xml:space="preserve">Обещали</t>
        </is>
      </c>
      <c r="D306" s="107" t="inlineStr">
        <is>
          <t xml:space="preserve">Кр-99020763-4</t>
        </is>
      </c>
      <c r="E306" s="107" t="inlineStr">
        <is>
          <t xml:space="preserve">IBROHIMOV ISLOM GULMIRZA O‘G‘LI</t>
        </is>
      </c>
      <c r="F306" s="107" t="inlineStr">
        <is>
          <t xml:space="preserve">998997409800 SMS tolovchi, 88-500-38-03 SMS AKASI, 97-358-01-99 SMS AYOLI, 998976593110 uzi (iwlamidi), 998336593110 Uzi NEW, +998959693100 Primary phone from road24, 998959693100 Primary phone from road24, 998959693100 ozi newww,</t>
        </is>
      </c>
      <c r="G306" s="107" t="inlineStr">
        <is>
          <t xml:space="preserve">БОБУР ҚФЙ, ЖУМУР ОВУЛ МФЙ,  uy:Р/С</t>
        </is>
      </c>
      <c r="H306" s="108">
        <v>3.0</v>
      </c>
      <c r="I306" s="108">
        <v>2073439.04</v>
      </c>
      <c r="K306" s="107" t="inlineStr">
        <is>
          <t xml:space="preserve">11chida yopadi</t>
        </is>
      </c>
    </row>
    <row r="307">
      <c r="A307" s="109" t="inlineStr">
        <is>
          <t xml:space="preserve">КОРАКАЛПОГИСТОН РЕСПУБЛИКАСИ</t>
        </is>
      </c>
      <c r="B307" s="109" t="inlineStr">
        <is>
          <t xml:space="preserve">Нукус филиали</t>
        </is>
      </c>
      <c r="C307" s="109" t="inlineStr">
        <is>
          <t xml:space="preserve">Оплатил дозвон</t>
        </is>
      </c>
      <c r="D307" s="109" t="inlineStr">
        <is>
          <t xml:space="preserve">Кр-99064163-3</t>
        </is>
      </c>
      <c r="E307" s="109" t="inlineStr">
        <is>
          <t xml:space="preserve">KURBANBAEV JANDULLA KOSHKINBAEVICH</t>
        </is>
      </c>
      <c r="F307" s="109" t="inlineStr">
        <is>
          <t xml:space="preserve">998501579573 OZI, 998930953883 OGLI, 998933633239 OYALI,</t>
        </is>
      </c>
      <c r="G307" s="109" t="inlineStr">
        <is>
          <t xml:space="preserve">Коркалпогистон Рес Нукус шахар Наубахар МФЙ Ак тау кучаси 61 уй</t>
        </is>
      </c>
      <c r="H307" s="110">
        <v>3.0</v>
      </c>
      <c r="I307" s="110">
        <v>7796351.5</v>
      </c>
      <c r="J307" s="110">
        <v>7796351.5</v>
      </c>
      <c r="K307" s="109" t="inlineStr">
        <is>
          <t xml:space="preserve">qisman</t>
        </is>
      </c>
    </row>
    <row r="308">
      <c r="A308" s="109" t="inlineStr">
        <is>
          <t xml:space="preserve">КОРАКАЛПОГИСТОН РЕСПУБЛИКАСИ</t>
        </is>
      </c>
      <c r="B308" s="109" t="inlineStr">
        <is>
          <t xml:space="preserve">Нукус филиали</t>
        </is>
      </c>
      <c r="C308" s="109" t="inlineStr">
        <is>
          <t xml:space="preserve">Обещали</t>
        </is>
      </c>
      <c r="D308" s="109" t="inlineStr">
        <is>
          <t xml:space="preserve">Кр-99042377-1</t>
        </is>
      </c>
      <c r="E308" s="109" t="inlineStr">
        <is>
          <t xml:space="preserve">DJEKSENBAEVA IRINA DJANBIRAEVNA</t>
        </is>
      </c>
      <c r="F308" s="109" t="inlineStr">
        <is>
          <t xml:space="preserve">998882145959 OZI, 998904244011 OGLI, 998919332729 QIZI,</t>
        </is>
      </c>
      <c r="G308" s="109" t="inlineStr">
        <is>
          <t xml:space="preserve">QARAQALPOGISTON RESPUBLIKASI NUKUS SHAHAR  Nauriz MFY, Minar ko’chasi, 8-uy</t>
        </is>
      </c>
      <c r="H308" s="110">
        <v>3.0</v>
      </c>
      <c r="I308" s="110">
        <v>6311148.0</v>
      </c>
      <c r="K308" s="109" t="inlineStr">
        <is>
          <t xml:space="preserve">bo'lib bo'lib to'lidi</t>
        </is>
      </c>
    </row>
    <row r="309">
      <c r="A309" s="109" t="inlineStr">
        <is>
          <t xml:space="preserve">КОРАКАЛПОГИСТОН РЕСПУБЛИКАСИ</t>
        </is>
      </c>
      <c r="B309" s="109" t="inlineStr">
        <is>
          <t xml:space="preserve">Нукус филиали</t>
        </is>
      </c>
      <c r="C309" s="109" t="inlineStr">
        <is>
          <t xml:space="preserve">Оплатил дозвон</t>
        </is>
      </c>
      <c r="D309" s="109" t="inlineStr">
        <is>
          <t xml:space="preserve">Кр-99064151-1</t>
        </is>
      </c>
      <c r="E309" s="109" t="inlineStr">
        <is>
          <t xml:space="preserve">DOSIMBETOV KUAT NAZARBEKOVICH</t>
        </is>
      </c>
      <c r="F309" s="109" t="inlineStr">
        <is>
          <t xml:space="preserve">998941117577 OZI, 998944581211 UKASI, 998996530048 OYALI,</t>
        </is>
      </c>
      <c r="G309" s="109" t="inlineStr">
        <is>
          <t xml:space="preserve">КОРКАЛПОГИСТОН  РЕС ЧИМБОЙ ТУМАНИ ТАГЖАП ССГ, АННА РОЗЫМ АХОЛИ ПУНКТИ,  uy:Р/У</t>
        </is>
      </c>
      <c r="H309" s="110">
        <v>3.0</v>
      </c>
      <c r="I309" s="110">
        <v>5169425.83</v>
      </c>
      <c r="J309" s="110">
        <v>5169425.83</v>
      </c>
    </row>
    <row r="310">
      <c r="A310" s="109" t="inlineStr">
        <is>
          <t xml:space="preserve">КОРАКАЛПОГИСТОН РЕСПУБЛИКАСИ</t>
        </is>
      </c>
      <c r="B310" s="109" t="inlineStr">
        <is>
          <t xml:space="preserve">Нукус филиали</t>
        </is>
      </c>
      <c r="C310" s="109" t="inlineStr">
        <is>
          <t xml:space="preserve">Обещали</t>
        </is>
      </c>
      <c r="D310" s="109" t="inlineStr">
        <is>
          <t xml:space="preserve">Кр-99042637-1</t>
        </is>
      </c>
      <c r="E310" s="109" t="inlineStr">
        <is>
          <t xml:space="preserve">ASKAROVA ULZADA DJAKSIMURATOVNA</t>
        </is>
      </c>
      <c r="F310" s="109" t="inlineStr">
        <is>
          <t xml:space="preserve">998332704595 KELINI, 998913068791 QIZI, 998913906944 OZI,</t>
        </is>
      </c>
      <c r="G310" s="109" t="inlineStr">
        <is>
          <t xml:space="preserve">Кун нуры МФЙ, Мархамат кучаси, 10-уй</t>
        </is>
      </c>
      <c r="H310" s="110">
        <v>3.0</v>
      </c>
      <c r="I310" s="110">
        <v>4496084.18</v>
      </c>
      <c r="K310" s="109" t="inlineStr">
        <is>
          <t xml:space="preserve">bo'lib bo'lib to'lidi</t>
        </is>
      </c>
    </row>
    <row r="311">
      <c r="A311" s="109" t="inlineStr">
        <is>
          <t xml:space="preserve">КОРАКАЛПОГИСТОН РЕСПУБЛИКАСИ</t>
        </is>
      </c>
      <c r="B311" s="109" t="inlineStr">
        <is>
          <t xml:space="preserve">Нукус филиали</t>
        </is>
      </c>
      <c r="C311" s="109" t="inlineStr">
        <is>
          <t xml:space="preserve">Ko'tardi</t>
        </is>
      </c>
      <c r="D311" s="109" t="inlineStr">
        <is>
          <t xml:space="preserve">Кр-99064007-1</t>
        </is>
      </c>
      <c r="E311" s="109" t="inlineStr">
        <is>
          <t xml:space="preserve">BAYMANOV JABBORBERGAN CHARSHAMBAYEVICH</t>
        </is>
      </c>
      <c r="F311" s="109" t="inlineStr">
        <is>
          <t xml:space="preserve">998775502106 OGLI, 998876700430 OGLI, 998887687400 OZI,</t>
        </is>
      </c>
      <c r="G311" s="109" t="inlineStr">
        <is>
          <t xml:space="preserve">QORAQALPOGISTON RES AMUDARYO TUMANI ORTA QALA OFY 12- KITOB KOSHASI 1 UY</t>
        </is>
      </c>
      <c r="H311" s="110">
        <v>3.0</v>
      </c>
      <c r="I311" s="110">
        <v>3761799.73</v>
      </c>
      <c r="K311" s="109" t="inlineStr">
        <is>
          <t xml:space="preserve">BUGUN</t>
        </is>
      </c>
    </row>
    <row r="312">
      <c r="A312" s="109" t="inlineStr">
        <is>
          <t xml:space="preserve">КОРАКАЛПОГИСТОН РЕСПУБЛИКАСИ</t>
        </is>
      </c>
      <c r="B312" s="109" t="inlineStr">
        <is>
          <t xml:space="preserve">Нукус филиали</t>
        </is>
      </c>
      <c r="C312" s="109" t="inlineStr">
        <is>
          <t xml:space="preserve">Ko'tardi</t>
        </is>
      </c>
      <c r="D312" s="109" t="inlineStr">
        <is>
          <t xml:space="preserve">Кр-99063667-1</t>
        </is>
      </c>
      <c r="E312" s="109" t="inlineStr">
        <is>
          <t xml:space="preserve">ZIYAUATDINOV MIRATDIN SALAMATDINOVICH</t>
        </is>
      </c>
      <c r="F312" s="109" t="inlineStr">
        <is>
          <t xml:space="preserve">998913939740 OYALI, 998933696464 OZI, 998979889777 UKASI,</t>
        </is>
      </c>
      <c r="G312" s="109" t="inlineStr">
        <is>
          <t xml:space="preserve">QORAQALPOGISTON RES  NUKUS SHAHAR SHIMBAY GUZARI MFY ALTIN BOSAGA KUSHASI 96 UY</t>
        </is>
      </c>
      <c r="H312" s="110">
        <v>3.0</v>
      </c>
      <c r="I312" s="110">
        <v>3721262.58</v>
      </c>
      <c r="K312" s="109" t="inlineStr">
        <is>
          <t xml:space="preserve">bugun</t>
        </is>
      </c>
    </row>
    <row r="313">
      <c r="A313" s="109" t="inlineStr">
        <is>
          <t xml:space="preserve">КОРАКАЛПОГИСТОН РЕСПУБЛИКАСИ</t>
        </is>
      </c>
      <c r="B313" s="109" t="inlineStr">
        <is>
          <t xml:space="preserve">Нукус филиали</t>
        </is>
      </c>
      <c r="C313" s="109" t="inlineStr">
        <is>
          <t xml:space="preserve">Оплатил дозвон</t>
        </is>
      </c>
      <c r="D313" s="109" t="inlineStr">
        <is>
          <t xml:space="preserve">Кр-99064262-2</t>
        </is>
      </c>
      <c r="E313" s="109" t="inlineStr">
        <is>
          <t xml:space="preserve">KOSIMOVA LUIZA BAXADIROVNA</t>
        </is>
      </c>
      <c r="F313" s="109" t="inlineStr">
        <is>
          <t xml:space="preserve">998875028884 OZI, 998970634141 ERI, 998973792012 QIZI,</t>
        </is>
      </c>
      <c r="G313" s="109" t="inlineStr">
        <is>
          <t xml:space="preserve">Коркалпогистон Рес Нукус шахар Гоне кала МФЙ, Каракалпакстан кучаси, 39-уй, 39-хонадон</t>
        </is>
      </c>
      <c r="H313" s="110">
        <v>3.0</v>
      </c>
      <c r="I313" s="110">
        <v>3050193.23</v>
      </c>
      <c r="J313" s="110">
        <v>3050193.23</v>
      </c>
      <c r="K313" s="109" t="inlineStr">
        <is>
          <t xml:space="preserve">qisman</t>
        </is>
      </c>
    </row>
    <row r="314">
      <c r="A314" s="109" t="inlineStr">
        <is>
          <t xml:space="preserve">КОРАКАЛПОГИСТОН РЕСПУБЛИКАСИ</t>
        </is>
      </c>
      <c r="B314" s="109" t="inlineStr">
        <is>
          <t xml:space="preserve">Нукус филиали</t>
        </is>
      </c>
      <c r="C314" s="109" t="inlineStr">
        <is>
          <t xml:space="preserve">Оплатил дозвон</t>
        </is>
      </c>
      <c r="D314" s="109" t="inlineStr">
        <is>
          <t xml:space="preserve">Кр-99063510-2</t>
        </is>
      </c>
      <c r="E314" s="109" t="inlineStr">
        <is>
          <t xml:space="preserve">DAULETBAEVA ANISA EREJEPBAEVNA</t>
        </is>
      </c>
      <c r="F314" s="109" t="inlineStr">
        <is>
          <t xml:space="preserve">998906541221 UKASI, 998913034700 OZI, 998939201001 ERI,</t>
        </is>
      </c>
      <c r="G314" s="109" t="inlineStr">
        <is>
          <t xml:space="preserve">QORAQALPOGISTON RES NUKUS SHAHAR QOS BULOQ MFY GUJIMLI KUSHASI 28 UY</t>
        </is>
      </c>
      <c r="H314" s="110">
        <v>3.0</v>
      </c>
      <c r="I314" s="110">
        <v>2918680.4</v>
      </c>
      <c r="J314" s="110">
        <v>2918680.4</v>
      </c>
    </row>
    <row r="315">
      <c r="A315" s="109" t="inlineStr">
        <is>
          <t xml:space="preserve">КОРАКАЛПОГИСТОН РЕСПУБЛИКАСИ</t>
        </is>
      </c>
      <c r="B315" s="109" t="inlineStr">
        <is>
          <t xml:space="preserve">Нукус филиали</t>
        </is>
      </c>
      <c r="C315" s="109" t="inlineStr">
        <is>
          <t xml:space="preserve">Ko'tardi</t>
        </is>
      </c>
      <c r="D315" s="109" t="inlineStr">
        <is>
          <t xml:space="preserve">Кр-99063657-3</t>
        </is>
      </c>
      <c r="E315" s="109" t="inlineStr">
        <is>
          <t xml:space="preserve">BEGJANOVA BAZARGUL KALJANOVNA</t>
        </is>
      </c>
      <c r="F315" s="109" t="inlineStr">
        <is>
          <t xml:space="preserve">998913018757 OZI, 998913852106 OGLI, 998919359290 KELINI,</t>
        </is>
      </c>
      <c r="G315" s="109" t="inlineStr">
        <is>
          <t xml:space="preserve">QORAQALPOGISTON RES NUKUS SHAHAR DARBENT MFY 22 MKR 15V UY 25 KVARTIRA</t>
        </is>
      </c>
      <c r="H315" s="110">
        <v>3.0</v>
      </c>
      <c r="I315" s="110">
        <v>2824487.5</v>
      </c>
      <c r="K315" s="109" t="inlineStr">
        <is>
          <t xml:space="preserve">bugun</t>
        </is>
      </c>
    </row>
    <row r="316">
      <c r="A316" s="109" t="inlineStr">
        <is>
          <t xml:space="preserve">КОРАКАЛПОГИСТОН РЕСПУБЛИКАСИ</t>
        </is>
      </c>
      <c r="B316" s="109" t="inlineStr">
        <is>
          <t xml:space="preserve">Нукус филиали</t>
        </is>
      </c>
      <c r="C316" s="109" t="inlineStr">
        <is>
          <t xml:space="preserve">Ko'tardi</t>
        </is>
      </c>
      <c r="D316" s="109" t="inlineStr">
        <is>
          <t xml:space="preserve">Кр-99064050-1</t>
        </is>
      </c>
      <c r="E316" s="109" t="inlineStr">
        <is>
          <t xml:space="preserve">ESHIMBETOV QUDAYBERGEN AYAPBERGENOVICH</t>
        </is>
      </c>
      <c r="F316" s="109" t="inlineStr">
        <is>
          <t xml:space="preserve">998877084162 OGLI, 998994004162 OZI, 998997484162 OYALI,</t>
        </is>
      </c>
      <c r="G316" s="109" t="inlineStr">
        <is>
          <t xml:space="preserve">QORAQLPOGISTON RES NUKUS SHAHAR  Kutli-konis MFY, Uvaysiy ko’chasi, 18-uy</t>
        </is>
      </c>
      <c r="H316" s="110">
        <v>3.0</v>
      </c>
      <c r="I316" s="110">
        <v>2809206.8</v>
      </c>
      <c r="K316" s="109" t="inlineStr">
        <is>
          <t xml:space="preserve">BUGUN</t>
        </is>
      </c>
    </row>
    <row r="317">
      <c r="A317" s="109" t="inlineStr">
        <is>
          <t xml:space="preserve">КОРАКАЛПОГИСТОН РЕСПУБЛИКАСИ</t>
        </is>
      </c>
      <c r="B317" s="109" t="inlineStr">
        <is>
          <t xml:space="preserve">Нукус филиали</t>
        </is>
      </c>
      <c r="C317" s="109" t="inlineStr">
        <is>
          <t xml:space="preserve">Обещали</t>
        </is>
      </c>
      <c r="D317" s="109" t="inlineStr">
        <is>
          <t xml:space="preserve">Кр-99064496-2</t>
        </is>
      </c>
      <c r="E317" s="109" t="inlineStr">
        <is>
          <t xml:space="preserve">KAYPNAZAROV TOLIBAY KALKNAZAROVICH</t>
        </is>
      </c>
      <c r="F317" s="109" t="inlineStr">
        <is>
          <t xml:space="preserve">998990981264 OZI, 998997340035 OGLI, 998998411898 KELINI,</t>
        </is>
      </c>
      <c r="G317" s="109" t="inlineStr">
        <is>
          <t xml:space="preserve">QORAQALPOGISTON RES KEGIYLI TUMANI ABAT MAKAN MFY BOZATAW JOLI KUSHASI 51 UY</t>
        </is>
      </c>
      <c r="H317" s="110">
        <v>3.0</v>
      </c>
      <c r="I317" s="110">
        <v>2722291.0</v>
      </c>
      <c r="K317" s="109" t="inlineStr">
        <is>
          <t xml:space="preserve">11sanada oylik op tolidi</t>
        </is>
      </c>
    </row>
    <row r="318">
      <c r="A318" s="109" t="inlineStr">
        <is>
          <t xml:space="preserve">КОРАКАЛПОГИСТОН РЕСПУБЛИКАСИ</t>
        </is>
      </c>
      <c r="B318" s="109" t="inlineStr">
        <is>
          <t xml:space="preserve">Нукус филиали</t>
        </is>
      </c>
      <c r="C318" s="109" t="inlineStr">
        <is>
          <t xml:space="preserve">Оплатил дозвон</t>
        </is>
      </c>
      <c r="D318" s="109" t="inlineStr">
        <is>
          <t xml:space="preserve">Кр-99049371-1</t>
        </is>
      </c>
      <c r="E318" s="109" t="inlineStr">
        <is>
          <t xml:space="preserve">TOREMURATOVA GULAYIM AYAPBERGENOVNA</t>
        </is>
      </c>
      <c r="F318" s="109" t="inlineStr">
        <is>
          <t xml:space="preserve">998907369948 OZI, 998913007873 OGLI, 998946853336 QIZI, 998913837073 ogli neww,</t>
        </is>
      </c>
      <c r="G318" s="109" t="inlineStr">
        <is>
          <t xml:space="preserve">Qaraqalpogiston Respublikasi Xojayli tumani Kulap OFY Shiraq kushasi 13 uy</t>
        </is>
      </c>
      <c r="H318" s="110">
        <v>3.0</v>
      </c>
      <c r="I318" s="110">
        <v>2436444.32</v>
      </c>
      <c r="J318" s="110">
        <v>2436444.32</v>
      </c>
      <c r="K318" s="109" t="inlineStr">
        <is>
          <t xml:space="preserve">qisman</t>
        </is>
      </c>
    </row>
    <row r="319">
      <c r="A319" s="109" t="inlineStr">
        <is>
          <t xml:space="preserve">КОРАКАЛПОГИСТОН РЕСПУБЛИКАСИ</t>
        </is>
      </c>
      <c r="B319" s="109" t="inlineStr">
        <is>
          <t xml:space="preserve">Нукус филиали</t>
        </is>
      </c>
      <c r="C319" s="109" t="inlineStr">
        <is>
          <t xml:space="preserve">Оплатил дозвон</t>
        </is>
      </c>
      <c r="D319" s="109" t="inlineStr">
        <is>
          <t xml:space="preserve">Кр-99064286-1</t>
        </is>
      </c>
      <c r="E319" s="109" t="inlineStr">
        <is>
          <t xml:space="preserve">ABILOV SAGINDIK MAXSETBAEVICH</t>
        </is>
      </c>
      <c r="F319" s="109" t="inlineStr">
        <is>
          <t xml:space="preserve">998913020929 OGLI, 998913024212 OZI, 998913802331 OYALI,</t>
        </is>
      </c>
      <c r="G319" s="109" t="inlineStr">
        <is>
          <t xml:space="preserve">Коркалпогистон Рес  Нукус щахар  Наубахар МФЙ, Мийрим-шапаат кучаси, 11-уй</t>
        </is>
      </c>
      <c r="H319" s="110">
        <v>3.0</v>
      </c>
      <c r="I319" s="110">
        <v>2420833.0</v>
      </c>
      <c r="J319" s="110">
        <v>2420833.0</v>
      </c>
    </row>
    <row r="320">
      <c r="A320" s="109" t="inlineStr">
        <is>
          <t xml:space="preserve">КОРАКАЛПОГИСТОН РЕСПУБЛИКАСИ</t>
        </is>
      </c>
      <c r="B320" s="109" t="inlineStr">
        <is>
          <t xml:space="preserve">Нукус филиали</t>
        </is>
      </c>
      <c r="C320" s="109" t="inlineStr">
        <is>
          <t xml:space="preserve">Обещали</t>
        </is>
      </c>
      <c r="D320" s="109" t="inlineStr">
        <is>
          <t xml:space="preserve">Кр-99033360-1</t>
        </is>
      </c>
      <c r="E320" s="109" t="inlineStr">
        <is>
          <t xml:space="preserve">ABDURAHIMOV ALIJON RUSTAM O’G’LI</t>
        </is>
      </c>
      <c r="F320" s="109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320" s="109" t="inlineStr">
        <is>
          <t xml:space="preserve">QARAQALPOGISTON RES AMUDARYO TUMANI TOLQIN OFY MARIFATSHILAR KUSHASI 27 UY</t>
        </is>
      </c>
      <c r="H320" s="110">
        <v>2.0</v>
      </c>
      <c r="I320" s="110">
        <v>1846947.13</v>
      </c>
      <c r="K320" s="109" t="inlineStr">
        <is>
          <t xml:space="preserve">1-2kunda to'lidi</t>
        </is>
      </c>
    </row>
    <row r="321">
      <c r="A321" s="109" t="inlineStr">
        <is>
          <t xml:space="preserve">КОРАКАЛПОГИСТОН РЕСПУБЛИКАСИ</t>
        </is>
      </c>
      <c r="B321" s="109" t="inlineStr">
        <is>
          <t xml:space="preserve">Нукус филиали</t>
        </is>
      </c>
      <c r="C321" s="109" t="inlineStr">
        <is>
          <t xml:space="preserve">Оплатил дозвон</t>
        </is>
      </c>
      <c r="D321" s="109" t="inlineStr">
        <is>
          <t xml:space="preserve">Кр-99029035-2</t>
        </is>
      </c>
      <c r="E321" s="109" t="inlineStr">
        <is>
          <t xml:space="preserve">AZATOV SHERZOD MUXTAR ULI</t>
        </is>
      </c>
      <c r="F321" s="109" t="inlineStr">
        <is>
          <t xml:space="preserve">91-266-77-70 SMS O'ZI, 91-381-77-43 SMS UKASI, 91-307-67-66 SMS AYOLI, 998913022574 SMS OTASI, 998913907744 SMS ONASI,</t>
        </is>
      </c>
      <c r="G321" s="109" t="inlineStr">
        <is>
          <t xml:space="preserve">QARAQALPOGISTON RESPUBLIKASI XOJELI TUMANI ALMAZAR 94-UY</t>
        </is>
      </c>
      <c r="H321" s="110">
        <v>1.0</v>
      </c>
      <c r="I321" s="110">
        <v>1745949.07</v>
      </c>
      <c r="J321" s="110">
        <v>1745949.07</v>
      </c>
      <c r="K321" s="109" t="inlineStr">
        <is>
          <t xml:space="preserve">qisman</t>
        </is>
      </c>
    </row>
    <row r="322">
      <c r="A322" s="109" t="inlineStr">
        <is>
          <t xml:space="preserve">КОРАКАЛПОГИСТОН РЕСПУБЛИКАСИ</t>
        </is>
      </c>
      <c r="B322" s="109" t="inlineStr">
        <is>
          <t xml:space="preserve">Нукус филиали</t>
        </is>
      </c>
      <c r="C322" s="109" t="inlineStr">
        <is>
          <t xml:space="preserve">Ko'tardi</t>
        </is>
      </c>
      <c r="D322" s="109" t="inlineStr">
        <is>
          <t xml:space="preserve">Кр-99063862-1</t>
        </is>
      </c>
      <c r="E322" s="109" t="inlineStr">
        <is>
          <t xml:space="preserve">AZIMOV SARDORBEK JANIBEKOVICH</t>
        </is>
      </c>
      <c r="F322" s="109" t="inlineStr">
        <is>
          <t xml:space="preserve">998882995958 ADASI, 998910980190 OZI, 998996829098 ONASI,</t>
        </is>
      </c>
      <c r="G322" s="109" t="inlineStr">
        <is>
          <t xml:space="preserve">QARAQALPOGISTON RES  NUKUS SHAHRI TURAN MFY TURAN OYPATI 34 UY</t>
        </is>
      </c>
      <c r="H322" s="110">
        <v>3.0</v>
      </c>
      <c r="I322" s="110">
        <v>1737341.84</v>
      </c>
      <c r="K322" s="109" t="inlineStr">
        <is>
          <t xml:space="preserve">BUGUN</t>
        </is>
      </c>
    </row>
    <row r="323">
      <c r="A323" s="109" t="inlineStr">
        <is>
          <t xml:space="preserve">КОРАКАЛПОГИСТОН РЕСПУБЛИКАСИ</t>
        </is>
      </c>
      <c r="B323" s="109" t="inlineStr">
        <is>
          <t xml:space="preserve">Нукус филиали</t>
        </is>
      </c>
      <c r="C323" s="109" t="inlineStr">
        <is>
          <t xml:space="preserve">Обещали</t>
        </is>
      </c>
      <c r="D323" s="109" t="inlineStr">
        <is>
          <t xml:space="preserve">Кр-99064376-1</t>
        </is>
      </c>
      <c r="E323" s="109" t="inlineStr">
        <is>
          <t xml:space="preserve">SAGIDULLAEVA SHARBANU ORALBAEVNA</t>
        </is>
      </c>
      <c r="F323" s="109" t="inlineStr">
        <is>
          <t xml:space="preserve">998507828856 QIZI, 998913904453 OZI, 998937104843 OGLI,</t>
        </is>
      </c>
      <c r="G323" s="109" t="inlineStr">
        <is>
          <t xml:space="preserve">КОРАКАЛПОГИСТОН РЕС КАНЛИКОЛ ТУМАНИ ДОСЛЫК МФЙ, ГАРЕЗСИЗЛИК КЎЧАСИ,  uy:8</t>
        </is>
      </c>
      <c r="H323" s="110">
        <v>3.0</v>
      </c>
      <c r="I323" s="110">
        <v>1626267.78</v>
      </c>
      <c r="K323" s="109" t="inlineStr">
        <is>
          <t xml:space="preserve">11sanada oylik op tolidi</t>
        </is>
      </c>
    </row>
    <row r="324">
      <c r="A324" s="109" t="inlineStr">
        <is>
          <t xml:space="preserve">КОРАКАЛПОГИСТОН РЕСПУБЛИКАСИ</t>
        </is>
      </c>
      <c r="B324" s="109" t="inlineStr">
        <is>
          <t xml:space="preserve">Нукус филиали</t>
        </is>
      </c>
      <c r="C324" s="109" t="inlineStr">
        <is>
          <t xml:space="preserve">Ko'tardi</t>
        </is>
      </c>
      <c r="D324" s="109" t="inlineStr">
        <is>
          <t xml:space="preserve">Кр-99064176-3</t>
        </is>
      </c>
      <c r="E324" s="109" t="inlineStr">
        <is>
          <t xml:space="preserve">YUSUPOV MURATBAY DAUEKOVICH</t>
        </is>
      </c>
      <c r="F324" s="109" t="inlineStr">
        <is>
          <t xml:space="preserve">998913713012 OZI, 998996822815 QIZI, 998997428662 OGLI,</t>
        </is>
      </c>
      <c r="G324" s="109" t="inlineStr">
        <is>
          <t xml:space="preserve">QORAQALPOGISTON RES NUKUS SHAHAR JAYXUN MFY AKADEMIK KUSHASI 14 UY</t>
        </is>
      </c>
      <c r="H324" s="110">
        <v>3.0</v>
      </c>
      <c r="I324" s="110">
        <v>1448455.0</v>
      </c>
      <c r="K324" s="109" t="inlineStr">
        <is>
          <t xml:space="preserve">BUGUN</t>
        </is>
      </c>
    </row>
    <row r="325">
      <c r="A325" s="109" t="inlineStr">
        <is>
          <t xml:space="preserve">КОРАКАЛПОГИСТОН РЕСПУБЛИКАСИ</t>
        </is>
      </c>
      <c r="B325" s="109" t="inlineStr">
        <is>
          <t xml:space="preserve">Нукус филиали</t>
        </is>
      </c>
      <c r="C325" s="109" t="inlineStr">
        <is>
          <t xml:space="preserve">Оплатил дозвон</t>
        </is>
      </c>
      <c r="D325" s="109" t="inlineStr">
        <is>
          <t xml:space="preserve">Кр-99064434-1</t>
        </is>
      </c>
      <c r="E325" s="109" t="inlineStr">
        <is>
          <t xml:space="preserve">JENGISBAEV RAXIM JENGISBAEVICH</t>
        </is>
      </c>
      <c r="F325" s="109" t="inlineStr">
        <is>
          <t xml:space="preserve">998907007556 UKASI, 998933693080 OZI, 998995831124 AKASI,</t>
        </is>
      </c>
      <c r="G325" s="109" t="inlineStr">
        <is>
          <t xml:space="preserve">Республика Каракалпакстан, Нукус г., ул. Бахытлы, дом 12</t>
        </is>
      </c>
      <c r="H325" s="110">
        <v>3.0</v>
      </c>
      <c r="I325" s="110">
        <v>1363570.0</v>
      </c>
      <c r="J325" s="110">
        <v>1363570.0</v>
      </c>
    </row>
    <row r="326">
      <c r="A326" s="109" t="inlineStr">
        <is>
          <t xml:space="preserve">КОРАКАЛПОГИСТОН РЕСПУБЛИКАСИ</t>
        </is>
      </c>
      <c r="B326" s="109" t="inlineStr">
        <is>
          <t xml:space="preserve">Нукус филиали</t>
        </is>
      </c>
      <c r="C326" s="109" t="inlineStr">
        <is>
          <t xml:space="preserve">Ko'tardi</t>
        </is>
      </c>
      <c r="D326" s="109" t="inlineStr">
        <is>
          <t xml:space="preserve">Кр-99064416-2</t>
        </is>
      </c>
      <c r="E326" s="109" t="inlineStr">
        <is>
          <t xml:space="preserve">ASMATDINOV SHARYAR JOLDAS-ULI</t>
        </is>
      </c>
      <c r="F326" s="109" t="inlineStr">
        <is>
          <t xml:space="preserve">998905762990 QIZI, 998907010462 OZI, 998951851962 OGLI,</t>
        </is>
      </c>
      <c r="G326" s="109" t="inlineStr">
        <is>
          <t xml:space="preserve">QORAQALPOGIOSTON RES NUKUS SHAHAR JIYDELI BAYSIN MFY KOLBAY XAPIZ KUSHASI 1 UY</t>
        </is>
      </c>
      <c r="H326" s="110">
        <v>3.0</v>
      </c>
      <c r="I326" s="110">
        <v>766521.84</v>
      </c>
      <c r="K326" s="109" t="inlineStr">
        <is>
          <t xml:space="preserve">bugun</t>
        </is>
      </c>
    </row>
    <row r="327">
      <c r="A327" s="109" t="inlineStr">
        <is>
          <t xml:space="preserve">КОРАКАЛПОГИСТОН РЕСПУБЛИКАСИ</t>
        </is>
      </c>
      <c r="B327" s="109" t="inlineStr">
        <is>
          <t xml:space="preserve">Нукус филиали</t>
        </is>
      </c>
      <c r="C327" s="109" t="inlineStr">
        <is>
          <t xml:space="preserve">Оплатил дозвон</t>
        </is>
      </c>
      <c r="D327" s="109" t="inlineStr">
        <is>
          <t xml:space="preserve">Кр-99064042-1</t>
        </is>
      </c>
      <c r="E327" s="109" t="inlineStr">
        <is>
          <t xml:space="preserve">NURATDINOV RUSLAN MUXITOVICH</t>
        </is>
      </c>
      <c r="F327" s="109" t="inlineStr">
        <is>
          <t xml:space="preserve">998912596868 UKASI, 998934893302 OYALI, 998999575356 OZI,</t>
        </is>
      </c>
      <c r="G327" s="109" t="inlineStr">
        <is>
          <t xml:space="preserve">КОРКАЛПОГИСТОН РЕС НУКУС ЩАХАР БЕСТОБЕ МФЙ, БЕСТОБЕ МФЙ, ШАРЬЯР КЎЧАСИ,  uy:5/2</t>
        </is>
      </c>
      <c r="H327" s="110">
        <v>3.0</v>
      </c>
      <c r="I327" s="110">
        <v>227952.1</v>
      </c>
      <c r="J327" s="110">
        <v>227952.1</v>
      </c>
    </row>
    <row r="328">
      <c r="A328" s="111" t="inlineStr">
        <is>
          <t xml:space="preserve">КОРАКАЛПОГИСТОН РЕСПУБЛИКАСИ</t>
        </is>
      </c>
      <c r="B328" s="111" t="inlineStr">
        <is>
          <t xml:space="preserve">Урганч филиали</t>
        </is>
      </c>
      <c r="C328" s="111" t="inlineStr">
        <is>
          <t xml:space="preserve">Ko'tardi</t>
        </is>
      </c>
      <c r="D328" s="111" t="inlineStr">
        <is>
          <t xml:space="preserve">Кр-99063016-1</t>
        </is>
      </c>
      <c r="E328" s="111" t="inlineStr">
        <is>
          <t xml:space="preserve">ISMOILOV JAMSHID QUVONDIQ O’G’LI</t>
        </is>
      </c>
      <c r="F328" s="111" t="inlineStr">
        <is>
          <t xml:space="preserve">+998336141313 SMS UZI, 998331711333 SMS DO’STI, 998992192429 SMS SINGLISI,</t>
        </is>
      </c>
      <c r="G328" s="111" t="inlineStr">
        <is>
          <t xml:space="preserve">КОРАКАЛПОГИСТОН РЕСПУБЛИКАСИ ТУРТКУЛ ТУМАНИ БОҒЁП МФЙ, ДИЁНАТ КЎЧАСИ,  uy:69</t>
        </is>
      </c>
      <c r="H328" s="112">
        <v>3.0</v>
      </c>
      <c r="I328" s="112">
        <v>3157192.77</v>
      </c>
      <c r="K328" s="111" t="inlineStr">
        <is>
          <t xml:space="preserve">BUGUN POLNI POGASHENYA</t>
        </is>
      </c>
    </row>
    <row r="329">
      <c r="A329" s="113" t="inlineStr">
        <is>
          <t xml:space="preserve">НАМАНГАН ВИЛОЯТИ</t>
        </is>
      </c>
      <c r="B329" s="113" t="inlineStr">
        <is>
          <t xml:space="preserve">BOSH OFIS</t>
        </is>
      </c>
      <c r="C329" s="113" t="inlineStr">
        <is>
          <t xml:space="preserve">Ko'tardi</t>
        </is>
      </c>
      <c r="D329" s="113" t="inlineStr">
        <is>
          <t xml:space="preserve">Кр-99019501-3</t>
        </is>
      </c>
      <c r="E329" s="113" t="inlineStr">
        <is>
          <t xml:space="preserve">TULANBOYEV BOTIRJON ABDUMUTALOVICH</t>
        </is>
      </c>
      <c r="F329" s="113" t="inlineStr">
        <is>
          <t xml:space="preserve">93-948-79-07  SMS OZI DEHQON MEVACHI, 93-467-89-85  SMS ZALOGADATEL,  93-943-69-88   SMS OSHNASI,    ,</t>
        </is>
      </c>
      <c r="G329" s="113" t="inlineStr">
        <is>
          <t xml:space="preserve">NAMANGAN VILOYATI YANGIQO‘RG‘ON TUMANI NANAY QFY QIZILYOZI MFY MINGTERAK KO‘CHASI 15-UY </t>
        </is>
      </c>
      <c r="H329" s="114">
        <v>3.0</v>
      </c>
      <c r="I329" s="114">
        <v>1580570.2</v>
      </c>
      <c r="K329" s="113" t="inlineStr">
        <is>
          <t xml:space="preserve">12chida tolarkan | Стандартрый</t>
        </is>
      </c>
    </row>
    <row r="330">
      <c r="A330" s="113" t="inlineStr">
        <is>
          <t xml:space="preserve">НАМАНГАН ВИЛОЯТИ</t>
        </is>
      </c>
      <c r="B330" s="113" t="inlineStr">
        <is>
          <t xml:space="preserve">BOSH OFIS</t>
        </is>
      </c>
      <c r="C330" s="113" t="inlineStr">
        <is>
          <t xml:space="preserve">Ko'tardi</t>
        </is>
      </c>
      <c r="D330" s="113" t="inlineStr">
        <is>
          <t xml:space="preserve">Кр-99035749-2</t>
        </is>
      </c>
      <c r="E330" s="113" t="inlineStr">
        <is>
          <t xml:space="preserve">KOMILJONOV JAVOXIR RO’ZIMJON O’G’LI</t>
        </is>
      </c>
      <c r="F330" s="113" t="inlineStr">
        <is>
          <t xml:space="preserve">998773849818 SMS OZI, 998930860098 SMS XOLASI, 998974660807 SMS UKASI, 998998104279 SMS KELINOYISI, 998950752556 SMS JAVOHIR, 998998104279 SMS MOMASI,</t>
        </is>
      </c>
      <c r="G330" s="113" t="inlineStr">
        <is>
          <t xml:space="preserve">NAMANGAN VILOYATI NORIN TUMANI TEGIRMONBOSHI MFY GULISTON 1 KO’CHA 18 UY</t>
        </is>
      </c>
      <c r="H330" s="114">
        <v>3.0</v>
      </c>
      <c r="I330" s="114">
        <v>1104541.29</v>
      </c>
      <c r="K330" s="113" t="inlineStr">
        <is>
          <t xml:space="preserve">20sida yopib berarkan | Стандартрый</t>
        </is>
      </c>
    </row>
    <row r="331">
      <c r="A331" s="113" t="inlineStr">
        <is>
          <t xml:space="preserve">НАМАНГАН ВИЛОЯТИ</t>
        </is>
      </c>
      <c r="B331" s="113" t="inlineStr">
        <is>
          <t xml:space="preserve">BOSH OFIS</t>
        </is>
      </c>
      <c r="C331" s="113" t="inlineStr">
        <is>
          <t xml:space="preserve">Оплатил дозвон</t>
        </is>
      </c>
      <c r="D331" s="113" t="inlineStr">
        <is>
          <t xml:space="preserve">Кр-99035133-2</t>
        </is>
      </c>
      <c r="E331" s="113" t="inlineStr">
        <is>
          <t xml:space="preserve">AXMEDOV ABDURAXIM XUSNIDDIN O’G’LI</t>
        </is>
      </c>
      <c r="F331" s="113" t="inlineStr">
        <is>
          <t xml:space="preserve">998886165577 SMS O’ZI , 998884657477 SMS DADASI, 998881182277 SMS  ONASI , 998361655772 SMS O’ZI ,</t>
        </is>
      </c>
      <c r="G331" s="113" t="inlineStr">
        <is>
          <t xml:space="preserve">NAMANGAN VILOYATI YANGI NAMANGAN TUMANI YOSHLIK MFY SARBON KO’CHA 75 UY</t>
        </is>
      </c>
      <c r="H331" s="114">
        <v>3.0</v>
      </c>
      <c r="I331" s="114">
        <v>395550.31</v>
      </c>
      <c r="J331" s="114">
        <v>395550.31</v>
      </c>
      <c r="K331" s="113" t="inlineStr">
        <is>
          <t xml:space="preserve">yopildi | Хороший</t>
        </is>
      </c>
    </row>
    <row r="332">
      <c r="A332" s="115" t="inlineStr">
        <is>
          <t xml:space="preserve">НАМАНГАН ВИЛОЯТИ</t>
        </is>
      </c>
      <c r="B332" s="115" t="inlineStr">
        <is>
          <t xml:space="preserve">SUPER BRANCH</t>
        </is>
      </c>
      <c r="C332" s="115" t="inlineStr">
        <is>
          <t xml:space="preserve">Ko'tardi</t>
        </is>
      </c>
      <c r="D332" s="115" t="inlineStr">
        <is>
          <t xml:space="preserve">Кр-99038835-1</t>
        </is>
      </c>
      <c r="E332" s="115" t="inlineStr">
        <is>
          <t xml:space="preserve">MAMADJANOV ZOKIR AKMALOVICH</t>
        </is>
      </c>
      <c r="F332" s="115" t="inlineStr">
        <is>
          <t xml:space="preserve">998939155005 SMS OZI, 998958537555 SMS HAKASBI, 998975912020 SMS XAMKASBI, 998958922621 SMS BEGONA,</t>
        </is>
      </c>
      <c r="G332" s="115" t="inlineStr">
        <is>
          <t xml:space="preserve">NAMANGAN VILOYATI NAMANGAN SHAXAR OBI XAYOT MFY 1-PROEZD IBRAT KO’CHA 21 UY</t>
        </is>
      </c>
      <c r="H332" s="116">
        <v>206.0</v>
      </c>
      <c r="I332" s="116">
        <v>54345246.67</v>
      </c>
      <c r="K332" s="115" t="inlineStr">
        <is>
          <t xml:space="preserve">tulqin 23mln pulini yeb ketganakan tolab bersin tolayman deyabdi | Плохой</t>
        </is>
      </c>
    </row>
    <row r="333">
      <c r="A333" s="115" t="inlineStr">
        <is>
          <t xml:space="preserve">НАМАНГАН ВИЛОЯТИ</t>
        </is>
      </c>
      <c r="B333" s="115" t="inlineStr">
        <is>
          <t xml:space="preserve">SUPER BRANCH</t>
        </is>
      </c>
      <c r="C333" s="115" t="inlineStr">
        <is>
          <t xml:space="preserve">Обещали</t>
        </is>
      </c>
      <c r="D333" s="115" t="inlineStr">
        <is>
          <t xml:space="preserve">Кр-99059632-1</t>
        </is>
      </c>
      <c r="E333" s="115" t="inlineStr">
        <is>
          <t xml:space="preserve">RAXMANOV OTABEK MAXMUDJONOVICH</t>
        </is>
      </c>
      <c r="F333" s="115" t="inlineStr">
        <is>
          <t xml:space="preserve">998908088300 Узи, 998996937053 отаси, 998997835572 аёли,</t>
        </is>
      </c>
      <c r="G333" s="115" t="inlineStr">
        <is>
          <t xml:space="preserve">Манзил: NAMANGAN VILOYATI NORIN TUMANI KATTA YAYDOQ MFY KO’XNADIYOR KO’CHASI 20 UY</t>
        </is>
      </c>
      <c r="H333" s="116">
        <v>64.0</v>
      </c>
      <c r="I333" s="116">
        <v>21548550.69</v>
      </c>
      <c r="K333" s="115" t="inlineStr">
        <is>
          <t xml:space="preserve">bugun yo ertaga yoparkan | Плохой</t>
        </is>
      </c>
    </row>
    <row r="334">
      <c r="A334" s="115" t="inlineStr">
        <is>
          <t xml:space="preserve">НАМАНГАН ВИЛОЯТИ</t>
        </is>
      </c>
      <c r="B334" s="115" t="inlineStr">
        <is>
          <t xml:space="preserve">SUPER BRANCH</t>
        </is>
      </c>
      <c r="C334" s="115" t="inlineStr">
        <is>
          <t xml:space="preserve">Оплатил дозвон</t>
        </is>
      </c>
      <c r="D334" s="115" t="inlineStr">
        <is>
          <t xml:space="preserve">Кр-99025559-4</t>
        </is>
      </c>
      <c r="E334" s="115" t="inlineStr">
        <is>
          <t xml:space="preserve">ZOKIROV ASADBEK TOXIR-O’G’LI</t>
        </is>
      </c>
      <c r="F334" s="115" t="inlineStr">
        <is>
          <t xml:space="preserve">88-258-68-78 SMS OZI, 99-087-18-22 SMS DADSI, 99-933-18-22 SMS ONASI, 94-999-68-78 SMS UKASI,</t>
        </is>
      </c>
      <c r="G334" s="115" t="inlineStr">
        <is>
          <t xml:space="preserve">NAMANGAN TUMAN NO’G’AYQO’RG’ON MFY MUSTAQILLIK 20 YILLIGI KO’CHASI 52 UY</t>
        </is>
      </c>
      <c r="H334" s="116">
        <v>3.0</v>
      </c>
      <c r="I334" s="116">
        <v>5270487.73</v>
      </c>
      <c r="J334" s="116">
        <v>5270487.73</v>
      </c>
      <c r="K334" s="115" t="inlineStr">
        <is>
          <t xml:space="preserve">yopildi | Хороший</t>
        </is>
      </c>
    </row>
    <row r="335">
      <c r="A335" s="115" t="inlineStr">
        <is>
          <t xml:space="preserve">НАМАНГАН ВИЛОЯТИ</t>
        </is>
      </c>
      <c r="B335" s="115" t="inlineStr">
        <is>
          <t xml:space="preserve">SUPER BRANCH</t>
        </is>
      </c>
      <c r="C335" s="115" t="inlineStr">
        <is>
          <t xml:space="preserve">Ko'tardi</t>
        </is>
      </c>
      <c r="D335" s="115" t="inlineStr">
        <is>
          <t xml:space="preserve">Кр-99038651-1</t>
        </is>
      </c>
      <c r="E335" s="115" t="inlineStr">
        <is>
          <t xml:space="preserve">UMARALIYEVA DILSHODA INOMJON QIZI</t>
        </is>
      </c>
      <c r="F335" s="115" t="inlineStr">
        <is>
          <t xml:space="preserve">905540172 SMS OZI, 998905540172 SMS ONASI, 998200030432 SMS UYI, 998507553071 SMS UYI 2 BEGONA, 998931986077 SMS O'ZI NEW,</t>
        </is>
      </c>
      <c r="G335" s="115" t="inlineStr">
        <is>
          <t xml:space="preserve">NAMANGAN VILOYATI KOSONSOY TUMANI SOYCHA MFY MANTIPAZ KO’CHA 48 UY</t>
        </is>
      </c>
      <c r="H335" s="116">
        <v>3.0</v>
      </c>
      <c r="I335" s="116">
        <v>5099293.78</v>
      </c>
      <c r="K335" s="115" t="inlineStr">
        <is>
          <t xml:space="preserve">keyingi xafta tolarkan | Стандартрый</t>
        </is>
      </c>
    </row>
    <row r="336">
      <c r="A336" s="115" t="inlineStr">
        <is>
          <t xml:space="preserve">НАМАНГАН ВИЛОЯТИ</t>
        </is>
      </c>
      <c r="B336" s="115" t="inlineStr">
        <is>
          <t xml:space="preserve">SUPER BRANCH</t>
        </is>
      </c>
      <c r="C336" s="115" t="inlineStr">
        <is>
          <t xml:space="preserve">Ko'tardi</t>
        </is>
      </c>
      <c r="D336" s="115" t="inlineStr">
        <is>
          <t xml:space="preserve">Кр-99035834-1</t>
        </is>
      </c>
      <c r="E336" s="115" t="inlineStr">
        <is>
          <t xml:space="preserve">TURG’UNOV BEHRUZ AZIZBEK O’G’LI</t>
        </is>
      </c>
      <c r="F336" s="115" t="inlineStr">
        <is>
          <t xml:space="preserve">998952600654 SMS TO’LOVCHI , 998931409104 SMS O’ZI BEGONA, 998932841024  SMS begona, 998880800654 SMS ZALOGADATEL,</t>
        </is>
      </c>
      <c r="G336" s="115" t="inlineStr">
        <is>
          <t xml:space="preserve">NAMANGAN VILOYATI NORIN TUMANI SIRMOQ MFY SIRMOQ KO’CHA 34 UY</t>
        </is>
      </c>
      <c r="H336" s="116">
        <v>3.0</v>
      </c>
      <c r="I336" s="116">
        <v>4378365.98</v>
      </c>
      <c r="K336" s="115" t="inlineStr">
        <is>
          <t xml:space="preserve">tolab qoyarkan bir ikki kunda | Стандартрый</t>
        </is>
      </c>
    </row>
    <row r="337">
      <c r="A337" s="115" t="inlineStr">
        <is>
          <t xml:space="preserve">НАМАНГАН ВИЛОЯТИ</t>
        </is>
      </c>
      <c r="B337" s="115" t="inlineStr">
        <is>
          <t xml:space="preserve">SUPER BRANCH</t>
        </is>
      </c>
      <c r="C337" s="115" t="inlineStr">
        <is>
          <t xml:space="preserve">Ko'tardi</t>
        </is>
      </c>
      <c r="D337" s="115" t="inlineStr">
        <is>
          <t xml:space="preserve">Кр-99035749-1</t>
        </is>
      </c>
      <c r="E337" s="115" t="inlineStr">
        <is>
          <t xml:space="preserve">KOMILJONOV JAVOXIR RO’ZIMJON O’G’LI</t>
        </is>
      </c>
      <c r="F337" s="115" t="inlineStr">
        <is>
          <t xml:space="preserve">998773849818 SMS OZI, 998930860098 SMS XOLASI, 998974660807 SMS UKASI, 998998104279 SMS KELINOYISI, 998950752556 SMS JAVOHIR, 998998104279 SMS MOMASI,</t>
        </is>
      </c>
      <c r="G337" s="115" t="inlineStr">
        <is>
          <t xml:space="preserve">NAMANGAN VILOYATI NORIN TUMANI TEGIRMONBOSHI MFY GULISTON 1 KO’CHA 18 UY</t>
        </is>
      </c>
      <c r="H337" s="116">
        <v>6.0</v>
      </c>
      <c r="I337" s="116">
        <v>3921639.01</v>
      </c>
      <c r="K337" s="115" t="inlineStr">
        <is>
          <t xml:space="preserve">20sida yopib berarkan | Стандартрый</t>
        </is>
      </c>
    </row>
    <row r="338">
      <c r="A338" s="115" t="inlineStr">
        <is>
          <t xml:space="preserve">НАМАНГАН ВИЛОЯТИ</t>
        </is>
      </c>
      <c r="B338" s="115" t="inlineStr">
        <is>
          <t xml:space="preserve">SUPER BRANCH</t>
        </is>
      </c>
      <c r="C338" s="115" t="inlineStr">
        <is>
          <t xml:space="preserve">Ko'tardi</t>
        </is>
      </c>
      <c r="D338" s="115" t="inlineStr">
        <is>
          <t xml:space="preserve">Кр-99039943-1</t>
        </is>
      </c>
      <c r="E338" s="115" t="inlineStr">
        <is>
          <t xml:space="preserve">UBAYDULLAYEVA NARGIZA AZIMJONOVNA</t>
        </is>
      </c>
      <c r="F338" s="115" t="inlineStr">
        <is>
          <t xml:space="preserve">998508781776 SMS ERI, 998885051776 SMS OZI, 998930006637 SMS OGLI, 998508780776 SMS OGLI, 998882511776 qaynotasi tolovchi ,</t>
        </is>
      </c>
      <c r="G338" s="115" t="inlineStr">
        <is>
          <t xml:space="preserve">NAMANGAN  VILOYATI UYCHI TUMANI MIRZAROVOT MFY MIRZAROVOT KO’CHASI 22 UY</t>
        </is>
      </c>
      <c r="H338" s="116">
        <v>3.0</v>
      </c>
      <c r="I338" s="116">
        <v>3850061.83</v>
      </c>
      <c r="K338" s="115" t="inlineStr">
        <is>
          <t xml:space="preserve">eri dadasiga aytib qoyarkan tolarkan | Стандартрый</t>
        </is>
      </c>
    </row>
    <row r="339">
      <c r="A339" s="115" t="inlineStr">
        <is>
          <t xml:space="preserve">НАМАНГАН ВИЛОЯТИ</t>
        </is>
      </c>
      <c r="B339" s="115" t="inlineStr">
        <is>
          <t xml:space="preserve">SUPER BRANCH</t>
        </is>
      </c>
      <c r="C339" s="115" t="inlineStr">
        <is>
          <t xml:space="preserve">Ko'tardi</t>
        </is>
      </c>
      <c r="D339" s="115" t="inlineStr">
        <is>
          <t xml:space="preserve">Кр-99040128-1</t>
        </is>
      </c>
      <c r="E339" s="115" t="inlineStr">
        <is>
          <t xml:space="preserve">NISHANOVA SARBARXON TURSUNBOYEVNA</t>
        </is>
      </c>
      <c r="F339" s="115" t="inlineStr">
        <is>
          <t xml:space="preserve">998939467984 SMS OZI, 999894660912 SMS OPASI, 998504440711 SMS OGLI, 998945083131 SMS ERI,</t>
        </is>
      </c>
      <c r="G339" s="115" t="inlineStr">
        <is>
          <t xml:space="preserve">NAMANGAN VILOYATI CHORTOQ TUMANI GULSHAN MFY ABDULLA QODIRIY KO'CHASI 41 UY</t>
        </is>
      </c>
      <c r="H339" s="116">
        <v>3.0</v>
      </c>
      <c r="I339" s="116">
        <v>3728923.33</v>
      </c>
      <c r="K339" s="115" t="inlineStr">
        <is>
          <t xml:space="preserve">12chida tolarkan | Хороший</t>
        </is>
      </c>
    </row>
    <row r="340">
      <c r="A340" s="115" t="inlineStr">
        <is>
          <t xml:space="preserve">НАМАНГАН ВИЛОЯТИ</t>
        </is>
      </c>
      <c r="B340" s="115" t="inlineStr">
        <is>
          <t xml:space="preserve">SUPER BRANCH</t>
        </is>
      </c>
      <c r="C340" s="115" t="inlineStr">
        <is>
          <t xml:space="preserve">Ko'tardi</t>
        </is>
      </c>
      <c r="D340" s="115" t="inlineStr">
        <is>
          <t xml:space="preserve">Кр-99025491-2</t>
        </is>
      </c>
      <c r="E340" s="115" t="inlineStr">
        <is>
          <t xml:space="preserve">TURDALIYEV KOMRONBEK JAVLONBEK O’G’LI</t>
        </is>
      </c>
      <c r="F340" s="115" t="inlineStr">
        <is>
          <t xml:space="preserve">998974655825 SMS OZI, 998972618846 SMS DADASI O’ZIMIZDA ISHLARKAN, 998907409893 SMS ONASI , 998887005805 SMS OZI 2,</t>
        </is>
      </c>
      <c r="G340" s="115" t="inlineStr">
        <is>
          <t xml:space="preserve">Ишонч МФЙ, Ёнгокзор кучаси, 21-уй</t>
        </is>
      </c>
      <c r="H340" s="116">
        <v>3.0</v>
      </c>
      <c r="I340" s="116">
        <v>3351120.0</v>
      </c>
      <c r="K340" s="115" t="inlineStr">
        <is>
          <t xml:space="preserve">oy oxirida tolarkan | Хороший</t>
        </is>
      </c>
    </row>
    <row r="341">
      <c r="A341" s="115" t="inlineStr">
        <is>
          <t xml:space="preserve">НАМАНГАН ВИЛОЯТИ</t>
        </is>
      </c>
      <c r="B341" s="115" t="inlineStr">
        <is>
          <t xml:space="preserve">SUPER BRANCH</t>
        </is>
      </c>
      <c r="C341" s="115" t="inlineStr">
        <is>
          <t xml:space="preserve">Ko'tardi</t>
        </is>
      </c>
      <c r="D341" s="115" t="inlineStr">
        <is>
          <t xml:space="preserve">Кр-99040468-3</t>
        </is>
      </c>
      <c r="E341" s="115" t="inlineStr">
        <is>
          <t xml:space="preserve">SOLIYEVA MALIKAXON ALIMJONOVNA</t>
        </is>
      </c>
      <c r="F341" s="115" t="inlineStr">
        <is>
          <t xml:space="preserve">998777290109 SMS OZI, 998950065809 SMS OZI 2, 998903003001 SARVAR AKA HAL QILADI, 998771490700 sms uzi new sarvarni opasi, 998993692469 katta og'li muhammadjon,</t>
        </is>
      </c>
      <c r="G341" s="115" t="inlineStr">
        <is>
          <t xml:space="preserve">NAMANGAN VILOYATI NORIN TUMANI BUSTON MFY UVAYSIY KO’CHASI 206 UY</t>
        </is>
      </c>
      <c r="H341" s="116">
        <v>3.0</v>
      </c>
      <c r="I341" s="116">
        <v>3219192.21</v>
      </c>
      <c r="K341" s="115" t="inlineStr">
        <is>
          <t xml:space="preserve">ogli onasiga aytib qoyarkan | Хороший</t>
        </is>
      </c>
    </row>
    <row r="342">
      <c r="A342" s="115" t="inlineStr">
        <is>
          <t xml:space="preserve">НАМАНГАН ВИЛОЯТИ</t>
        </is>
      </c>
      <c r="B342" s="115" t="inlineStr">
        <is>
          <t xml:space="preserve">SUPER BRANCH</t>
        </is>
      </c>
      <c r="C342" s="115" t="inlineStr">
        <is>
          <t xml:space="preserve">Ko'tardi</t>
        </is>
      </c>
      <c r="D342" s="115" t="inlineStr">
        <is>
          <t xml:space="preserve">Кр-99040064-1</t>
        </is>
      </c>
      <c r="E342" s="115" t="inlineStr">
        <is>
          <t xml:space="preserve">AXMADJONOVA MAVLUDA ABDURASUL QIZI</t>
        </is>
      </c>
      <c r="F342" s="115" t="inlineStr">
        <is>
          <t xml:space="preserve">998932706992 SSMS OZI, 998932706992 SMS ERI, 998505257166 SMS DADASI begona , 998931649098 SMS ONASI begona, 998942762992 SMS ERI,</t>
        </is>
      </c>
      <c r="G342" s="115" t="inlineStr">
        <is>
          <t xml:space="preserve">NAMANGAN VILOYAT CHORTOQ TUMANI BOZORBOSHI MFY ZEBINISO KO'CHASI 39 UY</t>
        </is>
      </c>
      <c r="H342" s="116">
        <v>3.0</v>
      </c>
      <c r="I342" s="116">
        <v>3190115.99</v>
      </c>
      <c r="K342" s="115" t="inlineStr">
        <is>
          <t xml:space="preserve">2mln 300ming berganakan umid undruvchiga | Стандартрый</t>
        </is>
      </c>
    </row>
    <row r="343">
      <c r="A343" s="115" t="inlineStr">
        <is>
          <t xml:space="preserve">НАМАНГАН ВИЛОЯТИ</t>
        </is>
      </c>
      <c r="B343" s="115" t="inlineStr">
        <is>
          <t xml:space="preserve">SUPER BRANCH</t>
        </is>
      </c>
      <c r="C343" s="115" t="inlineStr">
        <is>
          <t xml:space="preserve">Ko'tardi</t>
        </is>
      </c>
      <c r="D343" s="115" t="inlineStr">
        <is>
          <t xml:space="preserve">Кр-99027834-2</t>
        </is>
      </c>
      <c r="E343" s="115" t="inlineStr">
        <is>
          <t xml:space="preserve">HAYDARALIYEV IKROMJON MAHMUDJON O’G’LI</t>
        </is>
      </c>
      <c r="F343" s="115" t="inlineStr">
        <is>
          <t xml:space="preserve">998943003001 SMS SARVAR AKA NAMANGAN, +998944960505 SMS JIYANI,</t>
        </is>
      </c>
      <c r="G343" s="115" t="inlineStr">
        <is>
          <t xml:space="preserve">Сузаковул МФЙ, Юкори Сузок кучаси, 24-уй</t>
        </is>
      </c>
      <c r="H343" s="116">
        <v>3.0</v>
      </c>
      <c r="I343" s="116">
        <v>3151843.92</v>
      </c>
      <c r="K343" s="115" t="inlineStr">
        <is>
          <t xml:space="preserve">oyligini olishi bilan tolab berarkan | Стандартрый</t>
        </is>
      </c>
    </row>
    <row r="344">
      <c r="A344" s="115" t="inlineStr">
        <is>
          <t xml:space="preserve">НАМАНГАН ВИЛОЯТИ</t>
        </is>
      </c>
      <c r="B344" s="115" t="inlineStr">
        <is>
          <t xml:space="preserve">SUPER BRANCH</t>
        </is>
      </c>
      <c r="C344" s="115" t="inlineStr">
        <is>
          <t xml:space="preserve">Ko'tardi</t>
        </is>
      </c>
      <c r="D344" s="115" t="inlineStr">
        <is>
          <t xml:space="preserve">Кр-99040065-1</t>
        </is>
      </c>
      <c r="E344" s="115" t="inlineStr">
        <is>
          <t xml:space="preserve">KAXXOROVA SEVARAXON XOSHIMJANOVNA</t>
        </is>
      </c>
      <c r="F344" s="115" t="inlineStr">
        <is>
          <t xml:space="preserve">998948620378 SMS OZI, 998936435220 SMS UKASI  TO'LOVCHI, 998507068998 SMS OGLI, 998948997875 SMS ERI begona,</t>
        </is>
      </c>
      <c r="G344" s="115" t="inlineStr">
        <is>
          <t xml:space="preserve">NAMANGAN VILOYAT YANGIQO'RG'ON TUMANI SUTLIBULOQ MFY, SADOQAT KO'CHASI 52 UY</t>
        </is>
      </c>
      <c r="H344" s="116">
        <v>3.0</v>
      </c>
      <c r="I344" s="116">
        <v>2876529.72</v>
      </c>
      <c r="K344" s="115" t="inlineStr">
        <is>
          <t xml:space="preserve">puli filialda otgan oy bergan | Стандартрый</t>
        </is>
      </c>
    </row>
    <row r="345">
      <c r="A345" s="115" t="inlineStr">
        <is>
          <t xml:space="preserve">НАМАНГАН ВИЛОЯТИ</t>
        </is>
      </c>
      <c r="B345" s="115" t="inlineStr">
        <is>
          <t xml:space="preserve">SUPER BRANCH</t>
        </is>
      </c>
      <c r="C345" s="115" t="inlineStr">
        <is>
          <t xml:space="preserve">Ko'tardi</t>
        </is>
      </c>
      <c r="D345" s="115" t="inlineStr">
        <is>
          <t xml:space="preserve">Кр-99037088-1</t>
        </is>
      </c>
      <c r="E345" s="115" t="inlineStr">
        <is>
          <t xml:space="preserve">XOLMATOV DJAMOL NASRITDINOVICH</t>
        </is>
      </c>
      <c r="F345" s="115" t="inlineStr">
        <is>
          <t xml:space="preserve">998936776331 SMS OZI, 998993082727 SMS OGLI SHUNGA QILISH KERAK, 998336804040 SMS OGLI, 998900699993 SMS OGLI,</t>
        </is>
      </c>
      <c r="G345" s="115" t="inlineStr">
        <is>
          <t xml:space="preserve">NAMANGAN VILOYATI NAMANGAN SHAHAR SUMALAK GUZARI MFY  ISMOIL MAXDUM KO’CHASI TUPIK 6 A UY</t>
        </is>
      </c>
      <c r="H345" s="116">
        <v>6.0</v>
      </c>
      <c r="I345" s="116">
        <v>2320482.77</v>
      </c>
      <c r="K345" s="115" t="inlineStr">
        <is>
          <t xml:space="preserve">oyligini olishi bilan tolab berarkan | Стандартрый</t>
        </is>
      </c>
    </row>
    <row r="346">
      <c r="A346" s="115" t="inlineStr">
        <is>
          <t xml:space="preserve">НАМАНГАН ВИЛОЯТИ</t>
        </is>
      </c>
      <c r="B346" s="115" t="inlineStr">
        <is>
          <t xml:space="preserve">SUPER BRANCH</t>
        </is>
      </c>
      <c r="C346" s="115" t="inlineStr">
        <is>
          <t xml:space="preserve">Ko'tardi</t>
        </is>
      </c>
      <c r="D346" s="115" t="inlineStr">
        <is>
          <t xml:space="preserve">Кр-99037950-1</t>
        </is>
      </c>
      <c r="E346" s="115" t="inlineStr">
        <is>
          <t xml:space="preserve">MAMADALIYEV ASKARALI LUTPILOYEVICH</t>
        </is>
      </c>
      <c r="F346" s="115" t="inlineStr">
        <is>
          <t xml:space="preserve">998883732573 SMSOZI, 998938195770 SMS TOLOVCHI, 998775067376 SMSAYOLI, 998936752670 SMS OPASI,</t>
        </is>
      </c>
      <c r="G346" s="115" t="inlineStr">
        <is>
          <t xml:space="preserve">NAMANGAN VILOYATI UCHQO’RG’ON TUMANI KATTA MOG’UL MFY ISTIQLOL KO’CHA 11 UY</t>
        </is>
      </c>
      <c r="H346" s="116">
        <v>1.0</v>
      </c>
      <c r="I346" s="116">
        <v>1804034.75</v>
      </c>
      <c r="K346" s="115" t="inlineStr">
        <is>
          <t xml:space="preserve">10 chidan keyin tolarkan | Стандартрый</t>
        </is>
      </c>
    </row>
    <row r="347">
      <c r="A347" s="115" t="inlineStr">
        <is>
          <t xml:space="preserve">НАМАНГАН ВИЛОЯТИ</t>
        </is>
      </c>
      <c r="B347" s="115" t="inlineStr">
        <is>
          <t xml:space="preserve">SUPER BRANCH</t>
        </is>
      </c>
      <c r="C347" s="115" t="inlineStr">
        <is>
          <t xml:space="preserve">Обещали</t>
        </is>
      </c>
      <c r="D347" s="115" t="inlineStr">
        <is>
          <t xml:space="preserve">Кр-99040105-1</t>
        </is>
      </c>
      <c r="E347" s="115" t="inlineStr">
        <is>
          <t xml:space="preserve">OLIMJONOV XUSANBOY IMINJON O’G’LI</t>
        </is>
      </c>
      <c r="F347" s="115" t="inlineStr">
        <is>
          <t xml:space="preserve">998943404032 SMS OZI, 998932637202 SMS ONASI, 998934225602 SMS UKASI, 998930085477 SMS DADASI,</t>
        </is>
      </c>
      <c r="G347" s="115" t="inlineStr">
        <is>
          <t xml:space="preserve">NAMANGAN VILOYATI NORIN TUMANI QO'RG'ONCHA MFY DODHOH KO'CHASI 83-UY</t>
        </is>
      </c>
      <c r="H347" s="116">
        <v>3.0</v>
      </c>
      <c r="I347" s="116">
        <v>1553961.55</v>
      </c>
      <c r="K347" s="115" t="inlineStr">
        <is>
          <t xml:space="preserve">puli undruvchida | Хороший</t>
        </is>
      </c>
    </row>
    <row r="348">
      <c r="A348" s="115" t="inlineStr">
        <is>
          <t xml:space="preserve">НАМАНГАН ВИЛОЯТИ</t>
        </is>
      </c>
      <c r="B348" s="115" t="inlineStr">
        <is>
          <t xml:space="preserve">SUPER BRANCH</t>
        </is>
      </c>
      <c r="C348" s="115" t="inlineStr">
        <is>
          <t xml:space="preserve">Обещали</t>
        </is>
      </c>
      <c r="D348" s="115" t="inlineStr">
        <is>
          <t xml:space="preserve">Кр-99013517-3</t>
        </is>
      </c>
      <c r="E348" s="115" t="inlineStr">
        <is>
          <t xml:space="preserve">MAMADALIYEV TOLIB YUSUFJONOVICH</t>
        </is>
      </c>
      <c r="F348" s="115" t="inlineStr">
        <is>
          <t xml:space="preserve">97-372-48-47 SMS, 91-050-07-15  SMS OSHNASI, 94-121-89-87  SMS OSHNASI, 97-622-62-24  SMS AYOLI BEGONA, 88 551 47 47 SMS ozi,</t>
        </is>
      </c>
      <c r="G348" s="115" t="inlineStr">
        <is>
          <t xml:space="preserve">NAMANGAN VILOYATI NAMANGAN TUMANI G‘ALCHA MFY MUATTAR KO‘CHASI 32-UY</t>
        </is>
      </c>
      <c r="H348" s="116">
        <v>3.0</v>
      </c>
      <c r="I348" s="116">
        <v>1512610.09</v>
      </c>
      <c r="K348" s="115" t="inlineStr">
        <is>
          <t xml:space="preserve">bugun tolarkan | Стандартрый</t>
        </is>
      </c>
    </row>
    <row r="349">
      <c r="A349" s="115" t="inlineStr">
        <is>
          <t xml:space="preserve">НАМАНГАН ВИЛОЯТИ</t>
        </is>
      </c>
      <c r="B349" s="115" t="inlineStr">
        <is>
          <t xml:space="preserve">SUPER BRANCH</t>
        </is>
      </c>
      <c r="C349" s="115" t="inlineStr">
        <is>
          <t xml:space="preserve">Ko'tardi</t>
        </is>
      </c>
      <c r="D349" s="115" t="inlineStr">
        <is>
          <t xml:space="preserve">Кр-99040468-2</t>
        </is>
      </c>
      <c r="E349" s="115" t="inlineStr">
        <is>
          <t xml:space="preserve">SOLIYEVA MALIKAXON ALIMJONOVNA</t>
        </is>
      </c>
      <c r="F349" s="115" t="inlineStr">
        <is>
          <t xml:space="preserve">998777290109 SMS OZI, 998950065809 SMS OZI 2, 998903003001 SARVAR AKA HAL QILADI, 998771490700 sms uzi new sarvarni opasi, 998993692469 katta og'li muhammadjon,</t>
        </is>
      </c>
      <c r="G349" s="115" t="inlineStr">
        <is>
          <t xml:space="preserve">NAMANGAN VILOYATI NORIN TUMANI BUSTON MFY UVAYSIY KO’CHASI 206 UY</t>
        </is>
      </c>
      <c r="I349" s="116">
        <v>1259293.18</v>
      </c>
      <c r="K349" s="115" t="inlineStr">
        <is>
          <t xml:space="preserve">ogli onasiga aytib qoyarkan | Стандартрый</t>
        </is>
      </c>
    </row>
    <row r="350">
      <c r="A350" s="115" t="inlineStr">
        <is>
          <t xml:space="preserve">НАМАНГАН ВИЛОЯТИ</t>
        </is>
      </c>
      <c r="B350" s="115" t="inlineStr">
        <is>
          <t xml:space="preserve">SUPER BRANCH</t>
        </is>
      </c>
      <c r="C350" s="115" t="inlineStr">
        <is>
          <t xml:space="preserve">Ko'tardi</t>
        </is>
      </c>
      <c r="D350" s="115" t="inlineStr">
        <is>
          <t xml:space="preserve">Кр-99029378-3</t>
        </is>
      </c>
      <c r="E350" s="115" t="inlineStr">
        <is>
          <t xml:space="preserve">ASRALXANOV OTABEK KAXRAMONOVICH</t>
        </is>
      </c>
      <c r="F350" s="115" t="inlineStr">
        <is>
          <t xml:space="preserve">998911820002 SMS O’ZI, 998934010666 SMS O’ZI, 998932710666 SMS OGLI,</t>
        </is>
      </c>
      <c r="G350" s="115" t="inlineStr">
        <is>
          <t xml:space="preserve">NAMANGAN VILOYATI YANGI NAMANGAN TUMANI ISTIQBOL MFY CHORTOQ YO’LI KO’CHASI 2 UY</t>
        </is>
      </c>
      <c r="H350" s="116">
        <v>3.0</v>
      </c>
      <c r="I350" s="116">
        <v>1179200.63</v>
      </c>
      <c r="K350" s="115" t="inlineStr">
        <is>
          <t xml:space="preserve">yakshanba kuni toolab berarkan | Стандартрый</t>
        </is>
      </c>
    </row>
    <row r="351">
      <c r="A351" s="115" t="inlineStr">
        <is>
          <t xml:space="preserve">НАМАНГАН ВИЛОЯТИ</t>
        </is>
      </c>
      <c r="B351" s="115" t="inlineStr">
        <is>
          <t xml:space="preserve">SUPER BRANCH</t>
        </is>
      </c>
      <c r="C351" s="115" t="inlineStr">
        <is>
          <t xml:space="preserve">Обещали</t>
        </is>
      </c>
      <c r="D351" s="115" t="inlineStr">
        <is>
          <t xml:space="preserve">Кр-99037964-1</t>
        </is>
      </c>
      <c r="E351" s="115" t="inlineStr">
        <is>
          <t xml:space="preserve">YAMINOV DAVRON BAXODIROVICH</t>
        </is>
      </c>
      <c r="F351" s="115" t="inlineStr">
        <is>
          <t xml:space="preserve">998885660025 SMS OZI, 998995142005 SMS XOTINI, 998938402005 SMS FARZANDI, 998883730770 SMS DO’STI,</t>
        </is>
      </c>
      <c r="G351" s="115" t="inlineStr">
        <is>
          <t xml:space="preserve">NAMANGAN SHAHAR ORZU MFY YANGI BOG’-2 KO’CHASI 117-UY </t>
        </is>
      </c>
      <c r="H351" s="116">
        <v>2.0</v>
      </c>
      <c r="I351" s="116">
        <v>1069995.98</v>
      </c>
      <c r="K351" s="115" t="inlineStr">
        <is>
          <t xml:space="preserve">bugun tolarkan | Стандартрый</t>
        </is>
      </c>
    </row>
    <row r="352">
      <c r="A352" s="115" t="inlineStr">
        <is>
          <t xml:space="preserve">НАМАНГАН ВИЛОЯТИ</t>
        </is>
      </c>
      <c r="B352" s="115" t="inlineStr">
        <is>
          <t xml:space="preserve">SUPER BRANCH</t>
        </is>
      </c>
      <c r="C352" s="115" t="inlineStr">
        <is>
          <t xml:space="preserve">Обещали</t>
        </is>
      </c>
      <c r="D352" s="115" t="inlineStr">
        <is>
          <t xml:space="preserve">Кр-99035468-2</t>
        </is>
      </c>
      <c r="E352" s="115" t="inlineStr">
        <is>
          <t xml:space="preserve">IBROHIMOV ISKANDARBEK BEKZODBEK O’G’LI</t>
        </is>
      </c>
      <c r="F352" s="115" t="inlineStr">
        <is>
          <t xml:space="preserve">998902193893 SMS O’ZI, 998905517480 SMS O’ZI2, 998913595485 SMS XOLASI , 998976803131 SMS DADASI TO’LOVCHINI,</t>
        </is>
      </c>
      <c r="G352" s="115" t="inlineStr">
        <is>
          <t xml:space="preserve">NAMANGAN VILOYATI NAMANGAN SHAHAR ISTIQLOL MFY 5 A -KICHIK NOXIYA 11 UY 16- XONADON</t>
        </is>
      </c>
      <c r="H352" s="116">
        <v>3.0</v>
      </c>
      <c r="I352" s="116">
        <v>793922.61</v>
      </c>
      <c r="K352" s="115" t="inlineStr">
        <is>
          <t xml:space="preserve">bugun tolarkan | Хороший</t>
        </is>
      </c>
    </row>
    <row r="353">
      <c r="A353" s="117" t="inlineStr">
        <is>
          <t xml:space="preserve">НАМАНГАН ВИЛОЯТИ</t>
        </is>
      </c>
      <c r="B353" s="117" t="inlineStr">
        <is>
          <t xml:space="preserve">Андижон филиали</t>
        </is>
      </c>
      <c r="C353" s="117" t="inlineStr">
        <is>
          <t xml:space="preserve">Ko'tardi</t>
        </is>
      </c>
      <c r="D353" s="117" t="inlineStr">
        <is>
          <t xml:space="preserve">Кр-99034894-1</t>
        </is>
      </c>
      <c r="E353" s="117" t="inlineStr">
        <is>
          <t xml:space="preserve">ERGASHEV SHERMAXAMMAD BAXRIDDINOVICH</t>
        </is>
      </c>
      <c r="F353" s="117" t="inlineStr">
        <is>
          <t xml:space="preserve">998770009255 SMS OZI, 998942850066 SMS OGLI, 998500175088 SMS OGLI, 998931989337 SMS QIZI,</t>
        </is>
      </c>
      <c r="G353" s="117" t="inlineStr">
        <is>
          <t xml:space="preserve">NAMANGAN VILOYATI YANGIQO’RG’ON TUMANI OLMAZOR MFY KUSHTEPA 2 KO’CHA 41 UY</t>
        </is>
      </c>
      <c r="H353" s="118">
        <v>6.0</v>
      </c>
      <c r="I353" s="118">
        <v>4707932.25</v>
      </c>
      <c r="K353" s="117" t="inlineStr">
        <is>
          <t xml:space="preserve">oy oxirida tolarkan | Стандартрый</t>
        </is>
      </c>
    </row>
    <row r="354">
      <c r="A354" s="99" t="inlineStr">
        <is>
          <t xml:space="preserve">НАМАНГАН ВИЛОЯТИ</t>
        </is>
      </c>
      <c r="B354" s="99" t="inlineStr">
        <is>
          <t xml:space="preserve">Наманган филиали</t>
        </is>
      </c>
      <c r="C354" s="99" t="inlineStr">
        <is>
          <t xml:space="preserve">Ko'tardi</t>
        </is>
      </c>
      <c r="D354" s="99" t="inlineStr">
        <is>
          <t xml:space="preserve">Кр-99031356-1</t>
        </is>
      </c>
      <c r="E354" s="99" t="inlineStr">
        <is>
          <t xml:space="preserve">NAJMUTDINOV ILXOM ODILXANOVICH</t>
        </is>
      </c>
      <c r="F354" s="99" t="inlineStr">
        <is>
          <t xml:space="preserve">91-052-70-73  SMS OZI, 90-551-31-48  SMS OZI 2, 69-221-50-02  SMS UY, 90-599-89-89  SMS OZI 3, +998776680451 SMS O’ZI, 998957196160 ozi new new,</t>
        </is>
      </c>
      <c r="G354" s="99" t="inlineStr">
        <is>
          <t xml:space="preserve">NAMANGAN VILOYATI NAMANGAN SHAHAR  GULBOG’ MFY GULBOG’ KO’CHA 15 UY</t>
        </is>
      </c>
      <c r="H354" s="100">
        <v>6.0</v>
      </c>
      <c r="I354" s="100">
        <v>7949116.18</v>
      </c>
      <c r="K354" s="99" t="inlineStr">
        <is>
          <t xml:space="preserve">dushanba kuni tolarkan | Стандартрый</t>
        </is>
      </c>
    </row>
    <row r="355">
      <c r="A355" s="99" t="inlineStr">
        <is>
          <t xml:space="preserve">НАМАНГАН ВИЛОЯТИ</t>
        </is>
      </c>
      <c r="B355" s="99" t="inlineStr">
        <is>
          <t xml:space="preserve">Наманган филиали</t>
        </is>
      </c>
      <c r="C355" s="99" t="inlineStr">
        <is>
          <t xml:space="preserve">Ko'tardi</t>
        </is>
      </c>
      <c r="D355" s="99" t="inlineStr">
        <is>
          <t xml:space="preserve">Кр-99062961-1</t>
        </is>
      </c>
      <c r="E355" s="99" t="inlineStr">
        <is>
          <t xml:space="preserve">MAXKAMOV XUDOYBERGAN ATANALIYEVICH</t>
        </is>
      </c>
      <c r="F355" s="99" t="inlineStr">
        <is>
          <t xml:space="preserve">+998936602675 SMS O’ZI, 998945239793 SMS QIZI, 998948951775 SMS AYOLI,</t>
        </is>
      </c>
      <c r="G355" s="99" t="inlineStr">
        <is>
          <t xml:space="preserve">НАМАНГАН ВИЛОЯТИ ЯНГИҚЎРҒОН ТУМАНИ ОҚТЕПА МФЙ МИРОБОД КЎЧАСИ 149 УЙ</t>
        </is>
      </c>
      <c r="H355" s="100">
        <v>3.0</v>
      </c>
      <c r="I355" s="100">
        <v>7857463.11</v>
      </c>
      <c r="K355" s="99" t="inlineStr">
        <is>
          <t xml:space="preserve">yopildi | Хороший</t>
        </is>
      </c>
    </row>
    <row r="356">
      <c r="A356" s="99" t="inlineStr">
        <is>
          <t xml:space="preserve">НАМАНГАН ВИЛОЯТИ</t>
        </is>
      </c>
      <c r="B356" s="99" t="inlineStr">
        <is>
          <t xml:space="preserve">Наманган филиали</t>
        </is>
      </c>
      <c r="C356" s="99" t="inlineStr">
        <is>
          <t xml:space="preserve">Ko'tardi</t>
        </is>
      </c>
      <c r="D356" s="99" t="inlineStr">
        <is>
          <t xml:space="preserve">Кр-99064004-1</t>
        </is>
      </c>
      <c r="E356" s="99" t="inlineStr">
        <is>
          <t xml:space="preserve">RAXMATOVA NAIMA MAXMUDOVNA</t>
        </is>
      </c>
      <c r="F356" s="99" t="inlineStr">
        <is>
          <t xml:space="preserve">+998913634901 SMS O’ZI, 998948888757 SMS ERI, 998994101113 SMS O’G’LI,</t>
        </is>
      </c>
      <c r="G356" s="99" t="inlineStr">
        <is>
          <t xml:space="preserve">НАМАНГАН ВИЛОЯТИ ЯНГИ НАМАНГАН ТУМАНИ БОБАРАХИМ МАШРАБ МФЙ АХМАД ЯССАВИЙ 1 ТОР КЎЧАСИ 23-УЙ</t>
        </is>
      </c>
      <c r="H356" s="100">
        <v>3.0</v>
      </c>
      <c r="I356" s="100">
        <v>6204481.35</v>
      </c>
      <c r="K356" s="99" t="inlineStr">
        <is>
          <t xml:space="preserve">yopildi | Хороший</t>
        </is>
      </c>
    </row>
    <row r="357">
      <c r="A357" s="99" t="inlineStr">
        <is>
          <t xml:space="preserve">НАМАНГАН ВИЛОЯТИ</t>
        </is>
      </c>
      <c r="B357" s="99" t="inlineStr">
        <is>
          <t xml:space="preserve">Наманган филиали</t>
        </is>
      </c>
      <c r="C357" s="99" t="inlineStr">
        <is>
          <t xml:space="preserve">Оплатил дозвон</t>
        </is>
      </c>
      <c r="D357" s="99" t="inlineStr">
        <is>
          <t xml:space="preserve">Кр-99063074-1</t>
        </is>
      </c>
      <c r="E357" s="99" t="inlineStr">
        <is>
          <t xml:space="preserve">QAYUMOVA ROZIYAXON ABDUSAMATOVNA</t>
        </is>
      </c>
      <c r="F357" s="99" t="inlineStr">
        <is>
          <t xml:space="preserve">+998933221064 SMS O’ZI, 998933671070 JIYANI, 998944478313 ERI,</t>
        </is>
      </c>
      <c r="G357" s="99" t="inlineStr">
        <is>
          <t xml:space="preserve">НАМАНГАН ВИЛОЯТИ ЯНГИҚЎРҒОН ТУМАНИ 3-МАШЪЛ КЎЧАСИ 21-УЙ</t>
        </is>
      </c>
      <c r="H357" s="100">
        <v>3.0</v>
      </c>
      <c r="I357" s="100">
        <v>6044721.81</v>
      </c>
      <c r="J357" s="100">
        <v>6044721.81</v>
      </c>
      <c r="K357" s="99" t="inlineStr">
        <is>
          <t xml:space="preserve">yopildi | Стандартрый</t>
        </is>
      </c>
    </row>
    <row r="358">
      <c r="A358" s="99" t="inlineStr">
        <is>
          <t xml:space="preserve">НАМАНГАН ВИЛОЯТИ</t>
        </is>
      </c>
      <c r="B358" s="99" t="inlineStr">
        <is>
          <t xml:space="preserve">Наманган филиали</t>
        </is>
      </c>
      <c r="C358" s="99" t="inlineStr">
        <is>
          <t xml:space="preserve">Ko'tardi</t>
        </is>
      </c>
      <c r="D358" s="99" t="inlineStr">
        <is>
          <t xml:space="preserve">Кр-99033252-1</t>
        </is>
      </c>
      <c r="E358" s="99" t="inlineStr">
        <is>
          <t xml:space="preserve">SANJAROV ULUG’BEK XASANOVICH</t>
        </is>
      </c>
      <c r="F358" s="99" t="inlineStr">
        <is>
          <t xml:space="preserve">998901568000 SMS O’ZI, 998873066332 SMS O’ZI 2, 998997213296 SMS AYOLI, 998075232962 SMS AYOLI 2, +998901568000 SMS O’ZI,</t>
        </is>
      </c>
      <c r="G358" s="99" t="inlineStr">
        <is>
          <t xml:space="preserve">NAMANGAN VILOYATI DAVLATOBOD TUMANI XALQLAR DO’STLIGI MFY 4-KICHIK NOXIYA 5 UY 36 XONADON</t>
        </is>
      </c>
      <c r="H358" s="100">
        <v>3.0</v>
      </c>
      <c r="I358" s="100">
        <v>5163841.42</v>
      </c>
      <c r="K358" s="99" t="inlineStr">
        <is>
          <t xml:space="preserve">puli filialda ekan kecha berganakan | Хороший</t>
        </is>
      </c>
    </row>
    <row r="359">
      <c r="A359" s="99" t="inlineStr">
        <is>
          <t xml:space="preserve">НАМАНГАН ВИЛОЯТИ</t>
        </is>
      </c>
      <c r="B359" s="99" t="inlineStr">
        <is>
          <t xml:space="preserve">Наманган филиали</t>
        </is>
      </c>
      <c r="C359" s="99" t="inlineStr">
        <is>
          <t xml:space="preserve">Оплатил дозвон</t>
        </is>
      </c>
      <c r="D359" s="99" t="inlineStr">
        <is>
          <t xml:space="preserve">Кр-99033252-2</t>
        </is>
      </c>
      <c r="E359" s="99" t="inlineStr">
        <is>
          <t xml:space="preserve">SANJAROV ULUG’BEK XASANOVICH</t>
        </is>
      </c>
      <c r="F359" s="99" t="inlineStr">
        <is>
          <t xml:space="preserve">998901568000 SMS O’ZI, 998873066332 SMS O’ZI 2, 998997213296 SMS AYOLI, 998075232962 SMS AYOLI 2, +998901568000 SMS O’ZI,</t>
        </is>
      </c>
      <c r="G359" s="99" t="inlineStr">
        <is>
          <t xml:space="preserve">NAMANGAN VILOYATI DAVLATOBOD TUMANI XALQLAR DO’STLIGI MFY 4-KICHIK NOXIYA 5 UY 36 XONADON</t>
        </is>
      </c>
      <c r="H359" s="100">
        <v>3.0</v>
      </c>
      <c r="I359" s="100">
        <v>3883881.59</v>
      </c>
      <c r="J359" s="100">
        <v>3883881.59</v>
      </c>
      <c r="K359" s="99" t="inlineStr">
        <is>
          <t xml:space="preserve">yopildi | Хороший</t>
        </is>
      </c>
    </row>
    <row r="360">
      <c r="A360" s="99" t="inlineStr">
        <is>
          <t xml:space="preserve">НАМАНГАН ВИЛОЯТИ</t>
        </is>
      </c>
      <c r="B360" s="99" t="inlineStr">
        <is>
          <t xml:space="preserve">Наманган филиали</t>
        </is>
      </c>
      <c r="C360" s="99" t="inlineStr">
        <is>
          <t xml:space="preserve">Обещали</t>
        </is>
      </c>
      <c r="D360" s="99" t="inlineStr">
        <is>
          <t xml:space="preserve">Кр-99033373-2</t>
        </is>
      </c>
      <c r="E360" s="99" t="inlineStr">
        <is>
          <t xml:space="preserve">AKBARALIYEV XOSHIMJON QAMBARALI O’G’LI</t>
        </is>
      </c>
      <c r="F360" s="99" t="inlineStr">
        <is>
          <t xml:space="preserve">998934005525 SMS O’ZI, 998340055252 SMS O’ZI, 998906961990 SMS UKASI, 998993225525 SMS O'ZI SHUNGA TEL,</t>
        </is>
      </c>
      <c r="G360" s="99" t="inlineStr">
        <is>
          <t xml:space="preserve">NAMANGAN VILOYATI NAMANGAN TUMANI QO’RG’ONCHA MFY MADANIYAT  KO’CHA 51 UY</t>
        </is>
      </c>
      <c r="H360" s="100">
        <v>2.0</v>
      </c>
      <c r="I360" s="100">
        <v>3405946.79</v>
      </c>
      <c r="K360" s="99" t="inlineStr">
        <is>
          <t xml:space="preserve">tolab qoyarkan | Хороший</t>
        </is>
      </c>
    </row>
    <row r="361">
      <c r="A361" s="99" t="inlineStr">
        <is>
          <t xml:space="preserve">НАМАНГАН ВИЛОЯТИ</t>
        </is>
      </c>
      <c r="B361" s="99" t="inlineStr">
        <is>
          <t xml:space="preserve">Наманган филиали</t>
        </is>
      </c>
      <c r="C361" s="99" t="inlineStr">
        <is>
          <t xml:space="preserve">Обещали</t>
        </is>
      </c>
      <c r="D361" s="99" t="inlineStr">
        <is>
          <t xml:space="preserve">Кр-99010690-2</t>
        </is>
      </c>
      <c r="E361" s="99" t="inlineStr">
        <is>
          <t xml:space="preserve">ANVAROV XUSANBOY MALIKJON O’G’LI</t>
        </is>
      </c>
      <c r="F361" s="99" t="inlineStr">
        <is>
          <t xml:space="preserve">93-423-99-69  SMS OZI, 998993940008 SMS DADASI, 94-905-55-69  SMS OPASI, 93-408-15-04  SMS ONASI, 998937196777 UZI NEWW,</t>
        </is>
      </c>
      <c r="G361" s="99" t="inlineStr">
        <is>
          <t xml:space="preserve">NAMANGAN VILOYATI UYCHI TUMANI YORQO’RGON MFY NURLIK KOCHASI 100-UY</t>
        </is>
      </c>
      <c r="H361" s="100">
        <v>3.0</v>
      </c>
      <c r="I361" s="100">
        <v>3384334.11</v>
      </c>
      <c r="K361" s="99" t="inlineStr">
        <is>
          <t xml:space="preserve">bugun tolarkan | Стандартрый</t>
        </is>
      </c>
    </row>
    <row r="362">
      <c r="A362" s="99" t="inlineStr">
        <is>
          <t xml:space="preserve">НАМАНГАН ВИЛОЯТИ</t>
        </is>
      </c>
      <c r="B362" s="99" t="inlineStr">
        <is>
          <t xml:space="preserve">Наманган филиали</t>
        </is>
      </c>
      <c r="C362" s="99" t="inlineStr">
        <is>
          <t xml:space="preserve">Ko'tardi</t>
        </is>
      </c>
      <c r="D362" s="99" t="inlineStr">
        <is>
          <t xml:space="preserve">Кр-99036301-2</t>
        </is>
      </c>
      <c r="E362" s="99" t="inlineStr">
        <is>
          <t xml:space="preserve">DJURAYEVA GULSANAM NURMAMATOVNA</t>
        </is>
      </c>
      <c r="F362" s="99" t="inlineStr">
        <is>
          <t xml:space="preserve">998938848404 SMS O’ZI, 998978285828 SMS O’G’LI, 998996441734 SMS SINGLISI , 998994977704 SMS OPASI,</t>
        </is>
      </c>
      <c r="G362" s="99" t="inlineStr">
        <is>
          <t xml:space="preserve">NAMANGAN VILOYATI TO’RAQO’RG’ON TUMANI TOSHKENT MFY KOSONSOY  KO’CHA 258 UY</t>
        </is>
      </c>
      <c r="H362" s="100">
        <v>3.0</v>
      </c>
      <c r="I362" s="100">
        <v>2916456.06</v>
      </c>
      <c r="K362" s="99" t="inlineStr">
        <is>
          <t xml:space="preserve">puli filialda ekan kecha berganakan | Стандартрый</t>
        </is>
      </c>
    </row>
    <row r="363">
      <c r="A363" s="99" t="inlineStr">
        <is>
          <t xml:space="preserve">НАМАНГАН ВИЛОЯТИ</t>
        </is>
      </c>
      <c r="B363" s="99" t="inlineStr">
        <is>
          <t xml:space="preserve">Наманган филиали</t>
        </is>
      </c>
      <c r="C363" s="99" t="inlineStr">
        <is>
          <t xml:space="preserve">Ko'tardi</t>
        </is>
      </c>
      <c r="D363" s="99" t="inlineStr">
        <is>
          <t xml:space="preserve">Кр-99031554-3</t>
        </is>
      </c>
      <c r="E363" s="99" t="inlineStr">
        <is>
          <t xml:space="preserve">MAMATXANOV ABDUSAMAD ABDUMALIK O’G’LI</t>
        </is>
      </c>
      <c r="F363" s="99" t="inlineStr">
        <is>
          <t xml:space="preserve">998994405010 SMS OZI , 91-181-07-08  SMS O’ZI, 97-372-13-31  SMS TOLOVCHI 2 akasi , 95-065-50-10  SMS O’ZI 2 ,</t>
        </is>
      </c>
      <c r="G363" s="99" t="inlineStr">
        <is>
          <t xml:space="preserve">NAMANGAN SHAHAR OZOD MFY ZIRABULOQ KO’CHA 1 UY 19 XONADON</t>
        </is>
      </c>
      <c r="H363" s="100">
        <v>3.0</v>
      </c>
      <c r="I363" s="100">
        <v>2858281.02</v>
      </c>
      <c r="K363" s="99" t="inlineStr">
        <is>
          <t xml:space="preserve">yakshanba kuni toolab berarkan | Стандартрый</t>
        </is>
      </c>
    </row>
    <row r="364">
      <c r="A364" s="99" t="inlineStr">
        <is>
          <t xml:space="preserve">НАМАНГАН ВИЛОЯТИ</t>
        </is>
      </c>
      <c r="B364" s="99" t="inlineStr">
        <is>
          <t xml:space="preserve">Наманган филиали</t>
        </is>
      </c>
      <c r="C364" s="99" t="inlineStr">
        <is>
          <t xml:space="preserve">Ko'tardi</t>
        </is>
      </c>
      <c r="D364" s="99" t="inlineStr">
        <is>
          <t xml:space="preserve">Кр-99027648-4</t>
        </is>
      </c>
      <c r="E364" s="99" t="inlineStr">
        <is>
          <t xml:space="preserve">MAMADJONOV OYBEK TURABAYEVICH</t>
        </is>
      </c>
      <c r="F364" s="99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364" s="99" t="inlineStr">
        <is>
          <t xml:space="preserve">NAMANGAN VILOYATI NAMANGAN SHAHAR MINGCHINOR MFY ZAVQIY 92 UY</t>
        </is>
      </c>
      <c r="H364" s="100">
        <v>3.0</v>
      </c>
      <c r="I364" s="100">
        <v>2566503.39</v>
      </c>
      <c r="K364" s="99" t="inlineStr">
        <is>
          <t xml:space="preserve">12 chida tolarkan | Стандартрый</t>
        </is>
      </c>
    </row>
    <row r="365">
      <c r="A365" s="99" t="inlineStr">
        <is>
          <t xml:space="preserve">НАМАНГАН ВИЛОЯТИ</t>
        </is>
      </c>
      <c r="B365" s="99" t="inlineStr">
        <is>
          <t xml:space="preserve">Наманган филиали</t>
        </is>
      </c>
      <c r="C365" s="99" t="inlineStr">
        <is>
          <t xml:space="preserve">Ko'tardi</t>
        </is>
      </c>
      <c r="D365" s="99" t="inlineStr">
        <is>
          <t xml:space="preserve">Кр-99031554-1</t>
        </is>
      </c>
      <c r="E365" s="99" t="inlineStr">
        <is>
          <t xml:space="preserve">MAMATXANOV ABDUSAMAD ABDUMALIK O’G’LI</t>
        </is>
      </c>
      <c r="F365" s="99" t="inlineStr">
        <is>
          <t xml:space="preserve">998994405010 SMS OZI , 91-181-07-08  SMS O’ZI, 97-372-13-31  SMS TOLOVCHI 2 akasi , 95-065-50-10  SMS O’ZI 2 ,</t>
        </is>
      </c>
      <c r="G365" s="99" t="inlineStr">
        <is>
          <t xml:space="preserve">NAMANGAN SHAHAR OZOD MFY ZIRABULOQ KO’CHA 1 UY 19 XONADON</t>
        </is>
      </c>
      <c r="H365" s="100">
        <v>3.0</v>
      </c>
      <c r="I365" s="100">
        <v>2208548.64</v>
      </c>
      <c r="K365" s="99" t="inlineStr">
        <is>
          <t xml:space="preserve">yakshanba kuni toolab berarkan | Стандартрый</t>
        </is>
      </c>
    </row>
    <row r="366">
      <c r="A366" s="99" t="inlineStr">
        <is>
          <t xml:space="preserve">НАМАНГАН ВИЛОЯТИ</t>
        </is>
      </c>
      <c r="B366" s="99" t="inlineStr">
        <is>
          <t xml:space="preserve">Наманган филиали</t>
        </is>
      </c>
      <c r="C366" s="99" t="inlineStr">
        <is>
          <t xml:space="preserve">Оплатил дозвон</t>
        </is>
      </c>
      <c r="D366" s="99" t="inlineStr">
        <is>
          <t xml:space="preserve">Кр-99038435-2</t>
        </is>
      </c>
      <c r="E366" s="99" t="inlineStr">
        <is>
          <t xml:space="preserve">G’IYASOV ZUXRIDDIN MAXMUDJONOVICH</t>
        </is>
      </c>
      <c r="F366" s="99" t="inlineStr">
        <is>
          <t xml:space="preserve">998972478889 SMS OZI, 998976826262 SMS AKASI, 998902750979 SMS ONASI, 998971570893 SMS AYOLI,</t>
        </is>
      </c>
      <c r="G366" s="99" t="inlineStr">
        <is>
          <t xml:space="preserve">NAMANGAN VILOYATI NAMANGAN TUMANI OLAXAMAK MFY ZIYOKOR KO’CHA 14 UY</t>
        </is>
      </c>
      <c r="H366" s="100">
        <v>3.0</v>
      </c>
      <c r="I366" s="100">
        <v>2159607.03</v>
      </c>
      <c r="J366" s="100">
        <v>2159607.03</v>
      </c>
      <c r="K366" s="99" t="inlineStr">
        <is>
          <t xml:space="preserve">yopildi | Хороший</t>
        </is>
      </c>
    </row>
    <row r="367">
      <c r="A367" s="99" t="inlineStr">
        <is>
          <t xml:space="preserve">НАМАНГАН ВИЛОЯТИ</t>
        </is>
      </c>
      <c r="B367" s="99" t="inlineStr">
        <is>
          <t xml:space="preserve">Наманган филиали</t>
        </is>
      </c>
      <c r="C367" s="99" t="inlineStr">
        <is>
          <t xml:space="preserve">Ko'tardi</t>
        </is>
      </c>
      <c r="D367" s="99" t="inlineStr">
        <is>
          <t xml:space="preserve">Кр-99039722-2</t>
        </is>
      </c>
      <c r="E367" s="99" t="inlineStr">
        <is>
          <t xml:space="preserve">SULTANOV UMID IKROMOVICH</t>
        </is>
      </c>
      <c r="F367" s="99" t="inlineStr">
        <is>
          <t xml:space="preserve">998902780405 SMS OZI, 998934027767 SMS AYOLI, 998954634420 SMS DADASI, 998911820002 SMS ONASI, 998934010666 SMS TO’LOVCHI SHERIGI, +998902780405 SMS O’ZI,</t>
        </is>
      </c>
      <c r="G367" s="99" t="inlineStr">
        <is>
          <t xml:space="preserve">НАМАНГАН ВИЛОЯТИ ЯНГИ НАМАНГАН ТУМАНИ КЕЛАЖАК ТОНГИ МФЙ НАЗАР КЎЧАСИ 61 УЙ</t>
        </is>
      </c>
      <c r="H367" s="100">
        <v>3.0</v>
      </c>
      <c r="I367" s="100">
        <v>2127151.58</v>
      </c>
      <c r="K367" s="99" t="inlineStr">
        <is>
          <t xml:space="preserve">keyingi xafta tolarkan | Стандартрый</t>
        </is>
      </c>
    </row>
    <row r="368">
      <c r="A368" s="99" t="inlineStr">
        <is>
          <t xml:space="preserve">НАМАНГАН ВИЛОЯТИ</t>
        </is>
      </c>
      <c r="B368" s="99" t="inlineStr">
        <is>
          <t xml:space="preserve">Наманган филиали</t>
        </is>
      </c>
      <c r="C368" s="99" t="inlineStr">
        <is>
          <t xml:space="preserve">Ko'tardi</t>
        </is>
      </c>
      <c r="D368" s="99" t="inlineStr">
        <is>
          <t xml:space="preserve">Кр-99032457-4</t>
        </is>
      </c>
      <c r="E368" s="99" t="inlineStr">
        <is>
          <t xml:space="preserve">ATAJANOVA MA’MURA DAVLATALIYEVNA</t>
        </is>
      </c>
      <c r="F368" s="99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368" s="99" t="inlineStr">
        <is>
          <t xml:space="preserve">NAMANGAN VILOYATI POP TUMANI ISTIQBOL MFY ISTIQLOL KO’CHA 12 A UY 1 KORPUS 8-XONADON</t>
        </is>
      </c>
      <c r="H368" s="100">
        <v>3.0</v>
      </c>
      <c r="I368" s="100">
        <v>2004302.01</v>
      </c>
      <c r="K368" s="99" t="inlineStr">
        <is>
          <t xml:space="preserve">oy oxirida tolarkan | Стандартрый</t>
        </is>
      </c>
    </row>
    <row r="369">
      <c r="A369" s="99" t="inlineStr">
        <is>
          <t xml:space="preserve">НАМАНГАН ВИЛОЯТИ</t>
        </is>
      </c>
      <c r="B369" s="99" t="inlineStr">
        <is>
          <t xml:space="preserve">Наманган филиали</t>
        </is>
      </c>
      <c r="C369" s="99" t="inlineStr">
        <is>
          <t xml:space="preserve">Ko'tardi</t>
        </is>
      </c>
      <c r="D369" s="99" t="inlineStr">
        <is>
          <t xml:space="preserve">Кр-99039943-2</t>
        </is>
      </c>
      <c r="E369" s="99" t="inlineStr">
        <is>
          <t xml:space="preserve">UBAYDULLAYEVA NARGIZA AZIMJONOVNA</t>
        </is>
      </c>
      <c r="F369" s="99" t="inlineStr">
        <is>
          <t xml:space="preserve">998508781776 SMS ERI, 998885051776 SMS OZI, 998930006637 SMS OGLI, 998508780776 SMS OGLI, 998882511776 qaynotasi tolovchi ,</t>
        </is>
      </c>
      <c r="G369" s="99" t="inlineStr">
        <is>
          <t xml:space="preserve">NAMANGAN  VILOYATI UYCHI TUMANI MIRZAROVOT MFY MIRZAROVOT KO’CHASI 22 UY</t>
        </is>
      </c>
      <c r="H369" s="100">
        <v>3.0</v>
      </c>
      <c r="I369" s="100">
        <v>1910816.95</v>
      </c>
      <c r="K369" s="99" t="inlineStr">
        <is>
          <t xml:space="preserve">eri dadasiga aytib qoyarkan tolarkan | Хороший</t>
        </is>
      </c>
    </row>
    <row r="370">
      <c r="A370" s="99" t="inlineStr">
        <is>
          <t xml:space="preserve">НАМАНГАН ВИЛОЯТИ</t>
        </is>
      </c>
      <c r="B370" s="99" t="inlineStr">
        <is>
          <t xml:space="preserve">Наманган филиали</t>
        </is>
      </c>
      <c r="C370" s="99" t="inlineStr">
        <is>
          <t xml:space="preserve">Ko'tardi</t>
        </is>
      </c>
      <c r="D370" s="99" t="inlineStr">
        <is>
          <t xml:space="preserve">Кр-99029087-1</t>
        </is>
      </c>
      <c r="E370" s="99" t="inlineStr">
        <is>
          <t xml:space="preserve">O’LMASOV ZULFIQOR BAXODIR O’G’LI</t>
        </is>
      </c>
      <c r="F370" s="99" t="inlineStr">
        <is>
          <t xml:space="preserve">91-366-68-93  SMS OZI, 33-930-05-55  SMS UY, 91-760-87-82  SMS AYOLI, +998913666893 SMS O’ZI,</t>
        </is>
      </c>
      <c r="G370" s="99" t="inlineStr">
        <is>
          <t xml:space="preserve">NAMANGAN VILOYATI NAMANGAN TUMANI OLAXAMAK MFY ZIYOKOR KO’CHASI 14 UY</t>
        </is>
      </c>
      <c r="H370" s="100">
        <v>3.0</v>
      </c>
      <c r="I370" s="100">
        <v>1827760.78</v>
      </c>
      <c r="K370" s="99" t="inlineStr">
        <is>
          <t xml:space="preserve">xafta oxirigacha yopib berarkan | Стандартрый</t>
        </is>
      </c>
    </row>
    <row r="371">
      <c r="A371" s="99" t="inlineStr">
        <is>
          <t xml:space="preserve">НАМАНГАН ВИЛОЯТИ</t>
        </is>
      </c>
      <c r="B371" s="99" t="inlineStr">
        <is>
          <t xml:space="preserve">Наманган филиали</t>
        </is>
      </c>
      <c r="C371" s="99" t="inlineStr">
        <is>
          <t xml:space="preserve">Обещали</t>
        </is>
      </c>
      <c r="D371" s="99" t="inlineStr">
        <is>
          <t xml:space="preserve">Кр-99030239-1</t>
        </is>
      </c>
      <c r="E371" s="99" t="inlineStr">
        <is>
          <t xml:space="preserve">URALOV ABDUNABI ABDUMUMINOVICH</t>
        </is>
      </c>
      <c r="F371" s="99" t="inlineStr">
        <is>
          <t xml:space="preserve">94-543-89-00  SMS O’ZI  KLENT QOZOGISTONDA ISHLIDI, 998500744992 SMS AYOLI, 93-583-68-00  SMS ONASI, 93-211-89-00  SMS O’ZI 2,</t>
        </is>
      </c>
      <c r="G371" s="99" t="inlineStr">
        <is>
          <t xml:space="preserve">NAMANGAN VILOYATI CHORTOQ TUMANI OQTERAK MFY OBI XAYOT KO’CHASI 74 UY</t>
        </is>
      </c>
      <c r="H371" s="100">
        <v>6.0</v>
      </c>
      <c r="I371" s="100">
        <v>1805318.7</v>
      </c>
      <c r="K371" s="99" t="inlineStr">
        <is>
          <t xml:space="preserve">bugun tolarkan | Стандартрый</t>
        </is>
      </c>
    </row>
    <row r="372">
      <c r="A372" s="99" t="inlineStr">
        <is>
          <t xml:space="preserve">НАМАНГАН ВИЛОЯТИ</t>
        </is>
      </c>
      <c r="B372" s="99" t="inlineStr">
        <is>
          <t xml:space="preserve">Наманган филиали</t>
        </is>
      </c>
      <c r="C372" s="99" t="inlineStr">
        <is>
          <t xml:space="preserve">Ko'tardi</t>
        </is>
      </c>
      <c r="D372" s="99" t="inlineStr">
        <is>
          <t xml:space="preserve">Кр-99023741-2</t>
        </is>
      </c>
      <c r="E372" s="99" t="inlineStr">
        <is>
          <t xml:space="preserve">MIRZAKBAROVA DILDORA SHERMIRZAYEVNA</t>
        </is>
      </c>
      <c r="F372" s="99" t="inlineStr">
        <is>
          <t xml:space="preserve">99-611-40-76  SMS O'ZI, 93-236-40-76  SMS O'G'LI, 99-067-40-76  SMS QIZI, 99-443-74-14  SMS AKASI,</t>
        </is>
      </c>
      <c r="G372" s="99" t="inlineStr">
        <is>
          <t xml:space="preserve">NAMANGAN VILOYATI UCHQO'RG'ON TUMANI DEXQONOBOD MFY QO'SHKO'PRIK KO'CHA 42-UY </t>
        </is>
      </c>
      <c r="H372" s="100">
        <v>2.0</v>
      </c>
      <c r="I372" s="100">
        <v>1786711.3</v>
      </c>
      <c r="K372" s="99" t="inlineStr">
        <is>
          <t xml:space="preserve">15chida tolarkan | Хороший</t>
        </is>
      </c>
    </row>
    <row r="373">
      <c r="A373" s="99" t="inlineStr">
        <is>
          <t xml:space="preserve">НАМАНГАН ВИЛОЯТИ</t>
        </is>
      </c>
      <c r="B373" s="99" t="inlineStr">
        <is>
          <t xml:space="preserve">Наманган филиали</t>
        </is>
      </c>
      <c r="C373" s="99" t="inlineStr">
        <is>
          <t xml:space="preserve">Ko'tardi</t>
        </is>
      </c>
      <c r="D373" s="99" t="inlineStr">
        <is>
          <t xml:space="preserve">Кр-99027648-6</t>
        </is>
      </c>
      <c r="E373" s="99" t="inlineStr">
        <is>
          <t xml:space="preserve">MAMADJONOV OYBEK TURABAYEVICH</t>
        </is>
      </c>
      <c r="F373" s="99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373" s="99" t="inlineStr">
        <is>
          <t xml:space="preserve">NAMANGAN VILOYATI NAMANGAN SHAHAR MINGCHINOR MFY ZAVQIY 92 UY</t>
        </is>
      </c>
      <c r="H373" s="100">
        <v>3.0</v>
      </c>
      <c r="I373" s="100">
        <v>1738078.14</v>
      </c>
      <c r="K373" s="99" t="inlineStr">
        <is>
          <t xml:space="preserve">12 chida tolarkan | Стандартрый</t>
        </is>
      </c>
    </row>
    <row r="374">
      <c r="A374" s="99" t="inlineStr">
        <is>
          <t xml:space="preserve">НАМАНГАН ВИЛОЯТИ</t>
        </is>
      </c>
      <c r="B374" s="99" t="inlineStr">
        <is>
          <t xml:space="preserve">Наманган филиали</t>
        </is>
      </c>
      <c r="C374" s="99" t="inlineStr">
        <is>
          <t xml:space="preserve">Ko'tardi</t>
        </is>
      </c>
      <c r="D374" s="99" t="inlineStr">
        <is>
          <t xml:space="preserve">Кр-99029087-2</t>
        </is>
      </c>
      <c r="E374" s="99" t="inlineStr">
        <is>
          <t xml:space="preserve">O’LMASOV ZULFIQOR BAXODIR O’G’LI</t>
        </is>
      </c>
      <c r="F374" s="99" t="inlineStr">
        <is>
          <t xml:space="preserve">91-366-68-93  SMS OZI, 33-930-05-55  SMS UY, 91-760-87-82  SMS AYOLI, +998913666893 SMS O’ZI,</t>
        </is>
      </c>
      <c r="G374" s="99" t="inlineStr">
        <is>
          <t xml:space="preserve">NAMANGAN VILOYATI NAMANGAN TUMANI OLAXAMAK MFY ZIYOKOR KO’CHASI 14 UY</t>
        </is>
      </c>
      <c r="H374" s="100">
        <v>3.0</v>
      </c>
      <c r="I374" s="100">
        <v>1686600.96</v>
      </c>
      <c r="K374" s="99" t="inlineStr">
        <is>
          <t xml:space="preserve">xafta oxirigacha yopib berarkan | Стандартрый</t>
        </is>
      </c>
    </row>
    <row r="375">
      <c r="A375" s="99" t="inlineStr">
        <is>
          <t xml:space="preserve">НАМАНГАН ВИЛОЯТИ</t>
        </is>
      </c>
      <c r="B375" s="99" t="inlineStr">
        <is>
          <t xml:space="preserve">Наманган филиали</t>
        </is>
      </c>
      <c r="C375" s="99" t="inlineStr">
        <is>
          <t xml:space="preserve">Ko'tardi</t>
        </is>
      </c>
      <c r="D375" s="99" t="inlineStr">
        <is>
          <t xml:space="preserve">Кр-99058282-4</t>
        </is>
      </c>
      <c r="E375" s="99" t="inlineStr">
        <is>
          <t xml:space="preserve">MUYDINOV ZUXRIDIN PAZLIDINOVICH</t>
        </is>
      </c>
      <c r="F375" s="99" t="inlineStr">
        <is>
          <t xml:space="preserve">998954553001 узи, 998939241075 аели, 998934035777 угли Sardor ozimizda ishlid, 998993037941 келини,</t>
        </is>
      </c>
      <c r="G375" s="99" t="inlineStr">
        <is>
          <t xml:space="preserve">NAMANGAN VILOYATI UCHQO’RG’ON TUMANI ISTIQLOL MFY OLMAZOR KO’CHASI 88-UY</t>
        </is>
      </c>
      <c r="H375" s="100">
        <v>3.0</v>
      </c>
      <c r="I375" s="100">
        <v>1585064.0</v>
      </c>
      <c r="K375" s="99" t="inlineStr">
        <is>
          <t xml:space="preserve">yopildi | Хороший</t>
        </is>
      </c>
    </row>
    <row r="376">
      <c r="A376" s="99" t="inlineStr">
        <is>
          <t xml:space="preserve">НАМАНГАН ВИЛОЯТИ</t>
        </is>
      </c>
      <c r="B376" s="99" t="inlineStr">
        <is>
          <t xml:space="preserve">Наманган филиали</t>
        </is>
      </c>
      <c r="C376" s="99" t="inlineStr">
        <is>
          <t xml:space="preserve">Обещали</t>
        </is>
      </c>
      <c r="D376" s="99" t="inlineStr">
        <is>
          <t xml:space="preserve">Кр-99035468-3</t>
        </is>
      </c>
      <c r="E376" s="99" t="inlineStr">
        <is>
          <t xml:space="preserve">IBROHIMOV ISKANDARBEK BEKZODBEK O’G’LI</t>
        </is>
      </c>
      <c r="F376" s="99" t="inlineStr">
        <is>
          <t xml:space="preserve">998902193893 SMS O’ZI, 998905517480 SMS O’ZI2, 998913595485 SMS XOLASI , 998976803131 SMS DADASI TO’LOVCHINI,</t>
        </is>
      </c>
      <c r="G376" s="99" t="inlineStr">
        <is>
          <t xml:space="preserve">NAMANGAN VILOYATI NAMANGAN SHAHAR ISTIQLOL MFY 5 A -KICHIK NOXIYA 11 UY 16- XONADON</t>
        </is>
      </c>
      <c r="H376" s="100">
        <v>3.0</v>
      </c>
      <c r="I376" s="100">
        <v>1576125.11</v>
      </c>
      <c r="K376" s="99" t="inlineStr">
        <is>
          <t xml:space="preserve">bugun tolarkan | Хороший</t>
        </is>
      </c>
    </row>
    <row r="377">
      <c r="A377" s="99" t="inlineStr">
        <is>
          <t xml:space="preserve">НАМАНГАН ВИЛОЯТИ</t>
        </is>
      </c>
      <c r="B377" s="99" t="inlineStr">
        <is>
          <t xml:space="preserve">Наманган филиали</t>
        </is>
      </c>
      <c r="C377" s="99" t="inlineStr">
        <is>
          <t xml:space="preserve">Обещали</t>
        </is>
      </c>
      <c r="D377" s="99" t="inlineStr">
        <is>
          <t xml:space="preserve">Кр-99033373-1</t>
        </is>
      </c>
      <c r="E377" s="99" t="inlineStr">
        <is>
          <t xml:space="preserve">AKBARALIYEV XOSHIMJON QAMBARALI O’G’LI</t>
        </is>
      </c>
      <c r="F377" s="99" t="inlineStr">
        <is>
          <t xml:space="preserve">998934005525 SMS O’ZI, 998340055252 SMS O’ZI, 998906961990 SMS UKASI, 998993225525 SMS O'ZI SHUNGA TEL,</t>
        </is>
      </c>
      <c r="G377" s="99" t="inlineStr">
        <is>
          <t xml:space="preserve">NAMANGAN VILOYATI NAMANGAN TUMANI QO’RG’ONCHA MFY MADANIYAT  KO’CHA 51 UY</t>
        </is>
      </c>
      <c r="H377" s="100">
        <v>2.0</v>
      </c>
      <c r="I377" s="100">
        <v>1479119.93</v>
      </c>
      <c r="K377" s="99" t="inlineStr">
        <is>
          <t xml:space="preserve">yopildi | Хороший</t>
        </is>
      </c>
    </row>
    <row r="378">
      <c r="A378" s="99" t="inlineStr">
        <is>
          <t xml:space="preserve">НАМАНГАН ВИЛОЯТИ</t>
        </is>
      </c>
      <c r="B378" s="99" t="inlineStr">
        <is>
          <t xml:space="preserve">Наманган филиали</t>
        </is>
      </c>
      <c r="C378" s="99" t="inlineStr">
        <is>
          <t xml:space="preserve">Оплатил дозвон</t>
        </is>
      </c>
      <c r="D378" s="99" t="inlineStr">
        <is>
          <t xml:space="preserve">Кр-99064125-1</t>
        </is>
      </c>
      <c r="E378" s="99" t="inlineStr">
        <is>
          <t xml:space="preserve">O’TANOV MUXIDDIN TURSUNOVICH</t>
        </is>
      </c>
      <c r="F378" s="99" t="inlineStr">
        <is>
          <t xml:space="preserve">+998882053232 SMS O’ZI, 998888267475 SMS JIYANI, 998942783839 SMS AYOLI,</t>
        </is>
      </c>
      <c r="G378" s="99" t="inlineStr">
        <is>
          <t xml:space="preserve">НАМАНГАН ВИЛОЯТИ НОРИН ТУМАНИ МАРҒИЗОР МФЙ НАВО КЎЧАСИ 14 УЙ</t>
        </is>
      </c>
      <c r="H378" s="100">
        <v>3.0</v>
      </c>
      <c r="I378" s="100">
        <v>1462144.16</v>
      </c>
      <c r="J378" s="100">
        <v>1462144.16</v>
      </c>
      <c r="K378" s="99" t="inlineStr">
        <is>
          <t xml:space="preserve">undruvchi oldi pulini | Стандартрый</t>
        </is>
      </c>
    </row>
    <row r="379">
      <c r="A379" s="99" t="inlineStr">
        <is>
          <t xml:space="preserve">НАМАНГАН ВИЛОЯТИ</t>
        </is>
      </c>
      <c r="B379" s="99" t="inlineStr">
        <is>
          <t xml:space="preserve">Наманган филиали</t>
        </is>
      </c>
      <c r="C379" s="99" t="inlineStr">
        <is>
          <t xml:space="preserve">Оплатил дозвон</t>
        </is>
      </c>
      <c r="D379" s="99" t="inlineStr">
        <is>
          <t xml:space="preserve">Кр-99030695-2</t>
        </is>
      </c>
      <c r="E379" s="99" t="inlineStr">
        <is>
          <t xml:space="preserve">USMONXANOV IBROXIMJON ISROIL O’G’LI</t>
        </is>
      </c>
      <c r="F379" s="99" t="inlineStr">
        <is>
          <t xml:space="preserve">91-280-30-80  SMS O'ZI, 90-791-83-86  SMS AYOLI, 93-492-63-63  SMS ONASI, 90-794-25-65 SMS  UYI, +998934926363 Primary phone from road24, 998934926363 Primary phone from road24, 907918386 SMS AYOLI, 907942565 SMS  UYI, 912803080 SMS O’ZI, 934926363 SMS ONASI,</t>
        </is>
      </c>
      <c r="G379" s="99" t="inlineStr">
        <is>
          <t xml:space="preserve">NAMANGAN VILOYATI NAMANGAN SHAHAR YANGI NAMANGAN TUMANI BUNYODKOR MFY SANOAT KO’CHASI 52A UY</t>
        </is>
      </c>
      <c r="H379" s="100">
        <v>3.0</v>
      </c>
      <c r="I379" s="100">
        <v>1390136.19</v>
      </c>
      <c r="J379" s="100">
        <v>1390136.19</v>
      </c>
      <c r="K379" s="99" t="inlineStr">
        <is>
          <t xml:space="preserve">yopildi | Хороший</t>
        </is>
      </c>
    </row>
    <row r="380">
      <c r="A380" s="99" t="inlineStr">
        <is>
          <t xml:space="preserve">НАМАНГАН ВИЛОЯТИ</t>
        </is>
      </c>
      <c r="B380" s="99" t="inlineStr">
        <is>
          <t xml:space="preserve">Наманган филиали</t>
        </is>
      </c>
      <c r="C380" s="99" t="inlineStr">
        <is>
          <t xml:space="preserve">Ko'tardi</t>
        </is>
      </c>
      <c r="D380" s="99" t="inlineStr">
        <is>
          <t xml:space="preserve">Кр-99040468-4</t>
        </is>
      </c>
      <c r="E380" s="99" t="inlineStr">
        <is>
          <t xml:space="preserve">SOLIYEVA MALIKAXON ALIMJONOVNA</t>
        </is>
      </c>
      <c r="F380" s="99" t="inlineStr">
        <is>
          <t xml:space="preserve">998777290109 SMS OZI, 998950065809 SMS OZI 2, 998903003001 SARVAR AKA HAL QILADI, 998771490700 sms uzi new sarvarni opasi, 998993692469 katta og'li muhammadjon,</t>
        </is>
      </c>
      <c r="G380" s="99" t="inlineStr">
        <is>
          <t xml:space="preserve">NAMANGAN VILOYATI NORIN TUMANI BUSTON MFY UVAYSIY KO’CHASI 206 UY</t>
        </is>
      </c>
      <c r="H380" s="100">
        <v>3.0</v>
      </c>
      <c r="I380" s="100">
        <v>1245966.53</v>
      </c>
      <c r="K380" s="99" t="inlineStr">
        <is>
          <t xml:space="preserve">ogli onasiga aytib qoyarkan | Хороший</t>
        </is>
      </c>
    </row>
    <row r="381">
      <c r="A381" s="99" t="inlineStr">
        <is>
          <t xml:space="preserve">НАМАНГАН ВИЛОЯТИ</t>
        </is>
      </c>
      <c r="B381" s="99" t="inlineStr">
        <is>
          <t xml:space="preserve">Наманган филиали</t>
        </is>
      </c>
      <c r="C381" s="99" t="inlineStr">
        <is>
          <t xml:space="preserve">Обещали</t>
        </is>
      </c>
      <c r="D381" s="99" t="inlineStr">
        <is>
          <t xml:space="preserve">Кр-99029202-1</t>
        </is>
      </c>
      <c r="E381" s="99" t="inlineStr">
        <is>
          <t xml:space="preserve">USMANOV BAXROMJON TUXTABAYEVICH</t>
        </is>
      </c>
      <c r="F381" s="99" t="inlineStr">
        <is>
          <t xml:space="preserve">998931705558 SMS tulovchi jiyani, 94-448-58-10 sms AYOLI, 94-906-55-57 sms JIYANI, 93 494 58 10 OZINI NOMERI  ,</t>
        </is>
      </c>
      <c r="G381" s="99" t="inlineStr">
        <is>
          <t xml:space="preserve">NAMANGAN VILOYATI TO’RAQO’RG’ON TUMANI UZUMZOR MFY YOSHLAR KO’CHASI 34 UY</t>
        </is>
      </c>
      <c r="H381" s="100">
        <v>1.0</v>
      </c>
      <c r="I381" s="100">
        <v>1183452.6</v>
      </c>
      <c r="K381" s="99" t="inlineStr">
        <is>
          <t xml:space="preserve">bugun tolarkan | Стандартрый</t>
        </is>
      </c>
    </row>
    <row r="382">
      <c r="A382" s="99" t="inlineStr">
        <is>
          <t xml:space="preserve">НАМАНГАН ВИЛОЯТИ</t>
        </is>
      </c>
      <c r="B382" s="99" t="inlineStr">
        <is>
          <t xml:space="preserve">Наманган филиали</t>
        </is>
      </c>
      <c r="C382" s="99" t="inlineStr">
        <is>
          <t xml:space="preserve">Обещали</t>
        </is>
      </c>
      <c r="D382" s="99" t="inlineStr">
        <is>
          <t xml:space="preserve">Кр-99029487-3</t>
        </is>
      </c>
      <c r="E382" s="99" t="inlineStr">
        <is>
          <t xml:space="preserve">ABDULLAYEV NOZIMJON FOZILJONOVICH</t>
        </is>
      </c>
      <c r="F382" s="99" t="inlineStr">
        <is>
          <t xml:space="preserve">88-373-22-83  SMS OZI, 97-594-83-85  SMS AYOLI, 97-755-16-44  BEGONA, 50-054-83-86  SMS OSHNASI, +998883732283 SMS O’ZI,</t>
        </is>
      </c>
      <c r="G382" s="99" t="inlineStr">
        <is>
          <t xml:space="preserve">NAMANGAN VILOYATI UCHQO’RG’ON TUMANI FAYZIOBOD MFY YANGI AVLOD KO’CHASI 61 UY</t>
        </is>
      </c>
      <c r="H382" s="100">
        <v>3.0</v>
      </c>
      <c r="I382" s="100">
        <v>1044884.57</v>
      </c>
      <c r="K382" s="99" t="inlineStr">
        <is>
          <t xml:space="preserve">yopildi | Стандартрый</t>
        </is>
      </c>
    </row>
    <row r="383">
      <c r="A383" s="99" t="inlineStr">
        <is>
          <t xml:space="preserve">НАМАНГАН ВИЛОЯТИ</t>
        </is>
      </c>
      <c r="B383" s="99" t="inlineStr">
        <is>
          <t xml:space="preserve">Наманган филиали</t>
        </is>
      </c>
      <c r="C383" s="99" t="inlineStr">
        <is>
          <t xml:space="preserve">Ko'tardi</t>
        </is>
      </c>
      <c r="D383" s="99" t="inlineStr">
        <is>
          <t xml:space="preserve">Кр-99031356-2</t>
        </is>
      </c>
      <c r="E383" s="99" t="inlineStr">
        <is>
          <t xml:space="preserve">NAJMUTDINOV ILXOM ODILXANOVICH</t>
        </is>
      </c>
      <c r="F383" s="99" t="inlineStr">
        <is>
          <t xml:space="preserve">91-052-70-73  SMS OZI, 90-551-31-48  SMS OZI 2, 69-221-50-02  SMS UY, 90-599-89-89  SMS OZI 3, +998776680451 SMS O’ZI, 998957196160 ozi new new,</t>
        </is>
      </c>
      <c r="G383" s="99" t="inlineStr">
        <is>
          <t xml:space="preserve">NAMANGAN VILOYATI NAMANGAN SHAHAR  GULBOG’ MFY GULBOG’ KO’CHA 15 UY</t>
        </is>
      </c>
      <c r="H383" s="100">
        <v>3.0</v>
      </c>
      <c r="I383" s="100">
        <v>1038929.7</v>
      </c>
      <c r="K383" s="99" t="inlineStr">
        <is>
          <t xml:space="preserve">dushanba kuni tolarkan | Стандартрый</t>
        </is>
      </c>
    </row>
    <row r="384">
      <c r="A384" s="99" t="inlineStr">
        <is>
          <t xml:space="preserve">НАМАНГАН ВИЛОЯТИ</t>
        </is>
      </c>
      <c r="B384" s="99" t="inlineStr">
        <is>
          <t xml:space="preserve">Наманган филиали</t>
        </is>
      </c>
      <c r="C384" s="99" t="inlineStr">
        <is>
          <t xml:space="preserve">Обещали</t>
        </is>
      </c>
      <c r="D384" s="99" t="inlineStr">
        <is>
          <t xml:space="preserve">Кр-99032402-1</t>
        </is>
      </c>
      <c r="E384" s="99" t="inlineStr">
        <is>
          <t xml:space="preserve">XUJAYEV GULOMJON ATAVALIYEVICH</t>
        </is>
      </c>
      <c r="F384" s="99" t="inlineStr">
        <is>
          <t xml:space="preserve">998936750549 SMS O’ZI, 998935683707 SMS O’G’LI, 998935930302 SMS O’G’LI 2 begona, 998938813707 SMS KELINI,</t>
        </is>
      </c>
      <c r="G384" s="99" t="inlineStr">
        <is>
          <t xml:space="preserve">NAMANGAN VILOYATI UCHQO’RG’ON TUMANI YANGIYER MFY YANGIYER KO’CHASI 68 UY</t>
        </is>
      </c>
      <c r="H384" s="100">
        <v>1.0</v>
      </c>
      <c r="I384" s="100">
        <v>1007457.06</v>
      </c>
      <c r="K384" s="99" t="inlineStr">
        <is>
          <t xml:space="preserve">bugun tolarkan | Стандартрый</t>
        </is>
      </c>
    </row>
    <row r="385">
      <c r="A385" s="99" t="inlineStr">
        <is>
          <t xml:space="preserve">НАМАНГАН ВИЛОЯТИ</t>
        </is>
      </c>
      <c r="B385" s="99" t="inlineStr">
        <is>
          <t xml:space="preserve">Наманган филиали</t>
        </is>
      </c>
      <c r="C385" s="99" t="inlineStr">
        <is>
          <t xml:space="preserve">Обещали</t>
        </is>
      </c>
      <c r="D385" s="99" t="inlineStr">
        <is>
          <t xml:space="preserve">Кр-99038355-2</t>
        </is>
      </c>
      <c r="E385" s="99" t="inlineStr">
        <is>
          <t xml:space="preserve">QURBANOV RAXIMBERDI PARPIYEVICH</t>
        </is>
      </c>
      <c r="F385" s="99" t="inlineStr">
        <is>
          <t xml:space="preserve">998941371520 SMS OZI, 998505102412 SMS KELINI begona, 998946757303 SMS BEGONA BU BOLA QIMELA, 998882641114 SMS O’G’LI,</t>
        </is>
      </c>
      <c r="G385" s="99" t="inlineStr">
        <is>
          <t xml:space="preserve">NAMANGAN VILOYATI UYCHI TUMANI XURRIYAT MFY RAVNAQ KO’CHASI  64 UY</t>
        </is>
      </c>
      <c r="H385" s="100">
        <v>3.0</v>
      </c>
      <c r="I385" s="100">
        <v>826299.35</v>
      </c>
      <c r="K385" s="99" t="inlineStr">
        <is>
          <t xml:space="preserve">bugun tolarkan | Стандартрый</t>
        </is>
      </c>
    </row>
    <row r="386">
      <c r="A386" s="101" t="inlineStr">
        <is>
          <t xml:space="preserve">САМАРКАНД ВИЛОЯТИ</t>
        </is>
      </c>
      <c r="B386" s="101" t="inlineStr">
        <is>
          <t xml:space="preserve">BOSH OFIS</t>
        </is>
      </c>
      <c r="C386" s="101" t="inlineStr">
        <is>
          <t xml:space="preserve">Обещали</t>
        </is>
      </c>
      <c r="D386" s="101" t="inlineStr">
        <is>
          <t xml:space="preserve">Кр-99064122-2</t>
        </is>
      </c>
      <c r="E386" s="101" t="inlineStr">
        <is>
          <t xml:space="preserve">TOXIROV DONIYOR NASRIDDINOVICH</t>
        </is>
      </c>
      <c r="F386" s="101" t="inlineStr">
        <is>
          <t xml:space="preserve">998904616818 SMS UZI, 998932285897 SMS OPASI, 998954446210 SMS AKASI 2, 998990877282 SMS AKASI,</t>
        </is>
      </c>
      <c r="G386" s="101" t="inlineStr">
        <is>
          <t xml:space="preserve">САМАРКАНД ВИЛОЯТИ САМАРКАНД ТУМАНИ ҚАЙНАМА ҚФЙ, НАВБОҒ МФЙ,  uy:Р/С</t>
        </is>
      </c>
      <c r="H386" s="102">
        <v>3.0</v>
      </c>
      <c r="I386" s="102">
        <v>1043788.98</v>
      </c>
      <c r="K386" s="101" t="inlineStr">
        <is>
          <t xml:space="preserve">5 gacha tolov qiladi | 2292</t>
        </is>
      </c>
    </row>
    <row r="387">
      <c r="A387" s="103" t="inlineStr">
        <is>
          <t xml:space="preserve">САМАРКАНД ВИЛОЯТИ</t>
        </is>
      </c>
      <c r="B387" s="103" t="inlineStr">
        <is>
          <t xml:space="preserve">SUPER BRANCH</t>
        </is>
      </c>
      <c r="C387" s="103" t="inlineStr">
        <is>
          <t xml:space="preserve">Ko'tardi</t>
        </is>
      </c>
      <c r="D387" s="103" t="inlineStr">
        <is>
          <t xml:space="preserve">Кр-99064326-1</t>
        </is>
      </c>
      <c r="E387" s="103" t="inlineStr">
        <is>
          <t xml:space="preserve">UMAROV MUHAMMADJON IBROXIM O’G’LI</t>
        </is>
      </c>
      <c r="F387" s="103" t="inlineStr">
        <is>
          <t xml:space="preserve">998942441244 SMS OZI,</t>
        </is>
      </c>
      <c r="G387" s="103" t="inlineStr">
        <is>
          <t xml:space="preserve">SAMARQAND SHAHAR</t>
        </is>
      </c>
      <c r="H387" s="104">
        <v>3.0</v>
      </c>
      <c r="I387" s="104">
        <v>17000000.01</v>
      </c>
      <c r="K387" s="103" t="inlineStr">
        <is>
          <t xml:space="preserve">nomer begona | 2338</t>
        </is>
      </c>
    </row>
    <row r="388">
      <c r="A388" s="103" t="inlineStr">
        <is>
          <t xml:space="preserve">САМАРКАНД ВИЛОЯТИ</t>
        </is>
      </c>
      <c r="B388" s="103" t="inlineStr">
        <is>
          <t xml:space="preserve">SUPER BRANCH</t>
        </is>
      </c>
      <c r="C388" s="103" t="inlineStr">
        <is>
          <t xml:space="preserve">Обещали</t>
        </is>
      </c>
      <c r="D388" s="103" t="inlineStr">
        <is>
          <t xml:space="preserve">Кр-99063523-2</t>
        </is>
      </c>
      <c r="E388" s="103" t="inlineStr">
        <is>
          <t xml:space="preserve">ESHMIRZAYEV ABROR ANVARJON O’G’LI</t>
        </is>
      </c>
      <c r="F388" s="103" t="inlineStr">
        <is>
          <t xml:space="preserve">998940262052 SMS OZI, 998942823817 SMS ONASI, 998945082052 SMS AYOLI,</t>
        </is>
      </c>
      <c r="G388" s="103" t="inlineStr">
        <is>
          <t xml:space="preserve">AKTASH MFY 10-UY.1-XONADON</t>
        </is>
      </c>
      <c r="H388" s="104">
        <v>3.0</v>
      </c>
      <c r="I388" s="104">
        <v>3064517.48</v>
      </c>
      <c r="K388" s="103" t="inlineStr">
        <is>
          <t xml:space="preserve">5 gacha tolaydi | 2112</t>
        </is>
      </c>
    </row>
    <row r="389">
      <c r="A389" s="103" t="inlineStr">
        <is>
          <t xml:space="preserve">САМАРКАНД ВИЛОЯТИ</t>
        </is>
      </c>
      <c r="B389" s="103" t="inlineStr">
        <is>
          <t xml:space="preserve">SUPER BRANCH</t>
        </is>
      </c>
      <c r="C389" s="103" t="inlineStr">
        <is>
          <t xml:space="preserve">Обещали</t>
        </is>
      </c>
      <c r="D389" s="103" t="inlineStr">
        <is>
          <t xml:space="preserve">Кр-99063202-1</t>
        </is>
      </c>
      <c r="E389" s="103" t="inlineStr">
        <is>
          <t xml:space="preserve">TUROBOV SHOKIRJON AMONOVICH</t>
        </is>
      </c>
      <c r="F389" s="103" t="inlineStr">
        <is>
          <t xml:space="preserve">998939905102 OZI, 998901017868 OGLI, 998915540704 UKASI, 998944222030 QIZI,</t>
        </is>
      </c>
      <c r="G389" s="103" t="inlineStr">
        <is>
          <t xml:space="preserve">SAMARQAND VILOYATI SAMARQAND TUMANI TURKMAN MFY GULZOR KUCHASI 34-UY</t>
        </is>
      </c>
      <c r="H389" s="104">
        <v>3.0</v>
      </c>
      <c r="I389" s="104">
        <v>2881348.81</v>
      </c>
      <c r="K389" s="103" t="inlineStr">
        <is>
          <t xml:space="preserve">6 gacha toov qiladi | 2031</t>
        </is>
      </c>
    </row>
    <row r="390">
      <c r="A390" s="103" t="inlineStr">
        <is>
          <t xml:space="preserve">САМАРКАНД ВИЛОЯТИ</t>
        </is>
      </c>
      <c r="B390" s="103" t="inlineStr">
        <is>
          <t xml:space="preserve">SUPER BRANCH</t>
        </is>
      </c>
      <c r="C390" s="103" t="inlineStr">
        <is>
          <t xml:space="preserve">Обещали</t>
        </is>
      </c>
      <c r="D390" s="103" t="inlineStr">
        <is>
          <t xml:space="preserve">Кр-99063189-1</t>
        </is>
      </c>
      <c r="E390" s="103" t="inlineStr">
        <is>
          <t xml:space="preserve">BURONOV BUNYOD KAMOLIDDIN O’G’LI</t>
        </is>
      </c>
      <c r="F390" s="103" t="inlineStr">
        <is>
          <t xml:space="preserve">998941864114 OZI, 998944894114 AYOLI, 998937236606 UKASI, 998946815515 UYI,</t>
        </is>
      </c>
      <c r="G390" s="103" t="inlineStr">
        <is>
          <t xml:space="preserve">SAMARQAND VILOYATI NARPAY TUMANI TINCHLIK MFY PULKAN SHOIR KUCHASI 26-UY</t>
        </is>
      </c>
      <c r="H390" s="104">
        <v>3.0</v>
      </c>
      <c r="I390" s="104">
        <v>2811365.36</v>
      </c>
      <c r="K390" s="103" t="inlineStr">
        <is>
          <t xml:space="preserve">juma kuni tolaydi | 2030</t>
        </is>
      </c>
    </row>
    <row r="391">
      <c r="A391" s="103" t="inlineStr">
        <is>
          <t xml:space="preserve">САМАРКАНД ВИЛОЯТИ</t>
        </is>
      </c>
      <c r="B391" s="103" t="inlineStr">
        <is>
          <t xml:space="preserve">SUPER BRANCH</t>
        </is>
      </c>
      <c r="C391" s="103" t="inlineStr">
        <is>
          <t xml:space="preserve">Обещали</t>
        </is>
      </c>
      <c r="D391" s="103" t="inlineStr">
        <is>
          <t xml:space="preserve">Кр-99005214-4</t>
        </is>
      </c>
      <c r="E391" s="103" t="inlineStr">
        <is>
          <t xml:space="preserve">KARIMOV JAMSHID BAXROM-O’G’LI</t>
        </is>
      </c>
      <c r="F391" s="103" t="inlineStr">
        <is>
          <t xml:space="preserve">99-839-30-90 SMS UZI, 99-057-89-82 SMS mama, 90-808-05-53 SMS jena, 97-724-50-50 SMS TOLOVCHI HUMOYUN ,</t>
        </is>
      </c>
      <c r="G391" s="103" t="inlineStr">
        <is>
          <t xml:space="preserve">SAMARQAND VILOYATI KATTAQO’RG’ON SHAHAR O’ZBEKISTON KO’CHASI 174 UY</t>
        </is>
      </c>
      <c r="H391" s="104">
        <v>3.0</v>
      </c>
      <c r="I391" s="104">
        <v>1202540.79</v>
      </c>
      <c r="K391" s="103" t="inlineStr">
        <is>
          <t xml:space="preserve">15 kungacha yopadi | 17</t>
        </is>
      </c>
    </row>
    <row r="392">
      <c r="A392" s="103" t="inlineStr">
        <is>
          <t xml:space="preserve">САМАРКАНД ВИЛОЯТИ</t>
        </is>
      </c>
      <c r="B392" s="103" t="inlineStr">
        <is>
          <t xml:space="preserve">SUPER BRANCH</t>
        </is>
      </c>
      <c r="C392" s="103" t="inlineStr">
        <is>
          <t xml:space="preserve">Обещали</t>
        </is>
      </c>
      <c r="D392" s="103" t="inlineStr">
        <is>
          <t xml:space="preserve">Кр-99034186-2</t>
        </is>
      </c>
      <c r="E392" s="103" t="inlineStr">
        <is>
          <t xml:space="preserve">SARIMSAKOV ALIJON SHUKUROVICH</t>
        </is>
      </c>
      <c r="F392" s="103" t="inlineStr">
        <is>
          <t xml:space="preserve">998933496749 SMS O’ZI, 998794322772 SMS O’ZI, 998941879595 SMS UKASI, 998932739603 SMS AYOLI, +998933496749 SMS OZI,</t>
        </is>
      </c>
      <c r="G392" s="103" t="inlineStr">
        <is>
          <t xml:space="preserve">SAMARQAND VILOYATI SAMARQAND SHAHRI BAHODIR YALANGTUSH MFY 127/9</t>
        </is>
      </c>
      <c r="H392" s="104">
        <v>3.0</v>
      </c>
      <c r="I392" s="104">
        <v>600141.52</v>
      </c>
      <c r="K392" s="103" t="inlineStr">
        <is>
          <t xml:space="preserve">bugun ertga polniy yopadi | 524</t>
        </is>
      </c>
    </row>
    <row r="393">
      <c r="A393" s="103" t="inlineStr">
        <is>
          <t xml:space="preserve">САМАРКАНД ВИЛОЯТИ</t>
        </is>
      </c>
      <c r="B393" s="103" t="inlineStr">
        <is>
          <t xml:space="preserve">SUPER BRANCH</t>
        </is>
      </c>
      <c r="C393" s="103" t="inlineStr">
        <is>
          <t xml:space="preserve">Обещали</t>
        </is>
      </c>
      <c r="D393" s="103" t="inlineStr">
        <is>
          <t xml:space="preserve">Кр-99039991-1</t>
        </is>
      </c>
      <c r="E393" s="103" t="inlineStr">
        <is>
          <t xml:space="preserve">FAYZULLOYEV ULUG’BEK FAZLIDDINOVICH</t>
        </is>
      </c>
      <c r="F393" s="103" t="inlineStr">
        <is>
          <t xml:space="preserve">998916775850 SMS OZI, 998995618789 SMS URTOGI, 998906040617 SMS UKASI, 998934483146 SMS UYI,</t>
        </is>
      </c>
      <c r="G393" s="103" t="inlineStr">
        <is>
          <t xml:space="preserve">SAMARQAND VILOYATI SAMARQAND SHAHAR BOG'I BALAND MFY BOG'I BALAND KUCHASI 41-UY</t>
        </is>
      </c>
      <c r="H393" s="104">
        <v>3.0</v>
      </c>
      <c r="I393" s="104">
        <v>197750.49</v>
      </c>
      <c r="K393" s="103" t="inlineStr">
        <is>
          <t xml:space="preserve">hoz tolaydi | 930</t>
        </is>
      </c>
    </row>
    <row r="394">
      <c r="A394" s="103" t="inlineStr">
        <is>
          <t xml:space="preserve">САМАРКАНД ВИЛОЯТИ</t>
        </is>
      </c>
      <c r="B394" s="103" t="inlineStr">
        <is>
          <t xml:space="preserve">SUPER BRANCH</t>
        </is>
      </c>
      <c r="C394" s="103" t="inlineStr">
        <is>
          <t xml:space="preserve">Обещали</t>
        </is>
      </c>
      <c r="D394" s="103" t="inlineStr">
        <is>
          <t xml:space="preserve">Кр-99036281-2</t>
        </is>
      </c>
      <c r="E394" s="103" t="inlineStr">
        <is>
          <t xml:space="preserve">ALLAYAROVA TULGAN JALILOVNA</t>
        </is>
      </c>
      <c r="F394" s="103" t="inlineStr">
        <is>
          <t xml:space="preserve">998953784737 SMS O’ZI, 998994473241 SMS O’G’LI, 998906008941 SMS KICHINA O’G’LI, 998991600587 SMS UYI,</t>
        </is>
      </c>
      <c r="G394" s="103" t="inlineStr">
        <is>
          <t xml:space="preserve">SAMARQAND VILOYATI SAMARQAND SHAHAR DARG'OM MFY ISTIQLOL KUCHASI 18-DOM 28-KVARTERA</t>
        </is>
      </c>
      <c r="H394" s="104">
        <v>3.0</v>
      </c>
      <c r="I394" s="104">
        <v>194398.35</v>
      </c>
      <c r="K394" s="103" t="inlineStr">
        <is>
          <t xml:space="preserve">645</t>
        </is>
      </c>
    </row>
    <row r="395">
      <c r="A395" s="103" t="inlineStr">
        <is>
          <t xml:space="preserve">САМАРКАНД ВИЛОЯТИ</t>
        </is>
      </c>
      <c r="B395" s="103" t="inlineStr">
        <is>
          <t xml:space="preserve">SUPER BRANCH</t>
        </is>
      </c>
      <c r="C395" s="103" t="inlineStr">
        <is>
          <t xml:space="preserve">Обещали</t>
        </is>
      </c>
      <c r="D395" s="103" t="inlineStr">
        <is>
          <t xml:space="preserve">Кр-99037173-1</t>
        </is>
      </c>
      <c r="E395" s="103" t="inlineStr">
        <is>
          <t xml:space="preserve">IBODULLAYEVA ZUMRAD IBODULLAYEVNA</t>
        </is>
      </c>
      <c r="F395" s="103" t="inlineStr">
        <is>
          <t xml:space="preserve">998882891707 SMS OZI, 998500025447 SMS UKASI, 998904775447 SMS UKASI 2, 998933036841 SMS UZI 2 begona,</t>
        </is>
      </c>
      <c r="G395" s="103" t="inlineStr">
        <is>
          <t xml:space="preserve">SAMARQAND VILOYATI SAMARQAND SHAHRI QARSHI YULI MFY JAR ARIQ KUCHASI 43/35</t>
        </is>
      </c>
      <c r="I395" s="104">
        <v>125425.5</v>
      </c>
      <c r="K395" s="103" t="inlineStr">
        <is>
          <t xml:space="preserve">bugun polniy yopadi | 700</t>
        </is>
      </c>
    </row>
    <row r="396">
      <c r="A396" s="105" t="inlineStr">
        <is>
          <t xml:space="preserve">САМАРКАНД ВИЛОЯТИ</t>
        </is>
      </c>
      <c r="B396" s="105" t="inlineStr">
        <is>
          <t xml:space="preserve">Самарқанд филиали</t>
        </is>
      </c>
      <c r="C396" s="105" t="inlineStr">
        <is>
          <t xml:space="preserve">Обещали</t>
        </is>
      </c>
      <c r="D396" s="105" t="inlineStr">
        <is>
          <t xml:space="preserve">Кр-99064318-1</t>
        </is>
      </c>
      <c r="E396" s="105" t="inlineStr">
        <is>
          <t xml:space="preserve">BEKTEMIROV JURABOY ESIRGANOVICH</t>
        </is>
      </c>
      <c r="F396" s="105" t="inlineStr">
        <is>
          <t xml:space="preserve">998913162326 SMS O’G’LI, 998930957026 SMS OZI, 998951747026 SMS AYOLI,</t>
        </is>
      </c>
      <c r="G396" s="105" t="inlineStr">
        <is>
          <t xml:space="preserve">SAMARQAND VILOYATI TAYLOQ TUMANI UZBEKISTON MFY QURG’ON QISHLOG’I</t>
        </is>
      </c>
      <c r="H396" s="106">
        <v>3.0</v>
      </c>
      <c r="I396" s="106">
        <v>6296310.0</v>
      </c>
      <c r="K396" s="105" t="inlineStr">
        <is>
          <t xml:space="preserve">ertaga kechgacha | 2337</t>
        </is>
      </c>
    </row>
    <row r="397">
      <c r="A397" s="105" t="inlineStr">
        <is>
          <t xml:space="preserve">САМАРКАНД ВИЛОЯТИ</t>
        </is>
      </c>
      <c r="B397" s="105" t="inlineStr">
        <is>
          <t xml:space="preserve">Самарқанд филиали</t>
        </is>
      </c>
      <c r="C397" s="105" t="inlineStr">
        <is>
          <t xml:space="preserve">Обещали</t>
        </is>
      </c>
      <c r="D397" s="105" t="inlineStr">
        <is>
          <t xml:space="preserve">Кр-99064277-1</t>
        </is>
      </c>
      <c r="E397" s="105" t="inlineStr">
        <is>
          <t xml:space="preserve">ABDURAXMONOV BOBUR ABDURAXMONOVICH</t>
        </is>
      </c>
      <c r="F397" s="105" t="inlineStr">
        <is>
          <t xml:space="preserve">998932179000 SMS AYOLI, 998934362121 SMS UYI, 998979071717 SMS OZI,</t>
        </is>
      </c>
      <c r="G397" s="105" t="inlineStr">
        <is>
          <t xml:space="preserve">SAMARQAND VILOYATI QO’SHRABOT TUMANI QORATOSH MFY QORATOSH QISHLOG’I 22-UY</t>
        </is>
      </c>
      <c r="H397" s="106">
        <v>3.0</v>
      </c>
      <c r="I397" s="106">
        <v>6052083.0</v>
      </c>
      <c r="K397" s="105" t="inlineStr">
        <is>
          <t xml:space="preserve">16 kungacha yopadi | 2331</t>
        </is>
      </c>
    </row>
    <row r="398">
      <c r="A398" s="105" t="inlineStr">
        <is>
          <t xml:space="preserve">САМАРКАНД ВИЛОЯТИ</t>
        </is>
      </c>
      <c r="B398" s="105" t="inlineStr">
        <is>
          <t xml:space="preserve">Самарқанд филиали</t>
        </is>
      </c>
      <c r="C398" s="105" t="inlineStr">
        <is>
          <t xml:space="preserve">Ko'tardi</t>
        </is>
      </c>
      <c r="D398" s="105" t="inlineStr">
        <is>
          <t xml:space="preserve">Кр-99063322-2</t>
        </is>
      </c>
      <c r="E398" s="105" t="inlineStr">
        <is>
          <t xml:space="preserve">UTABAYEV JONIBEK ILXOMOVICH</t>
        </is>
      </c>
      <c r="F398" s="105" t="inlineStr">
        <is>
          <t xml:space="preserve">998901922133 SMS OPASI, 998910394407 SMS, 998915214468 SMM UYI, 998995267774 SMS OZI,</t>
        </is>
      </c>
      <c r="G398" s="105" t="inlineStr">
        <is>
          <t xml:space="preserve">SAMARQAND VILOYATI KATTAQO’RG’ON SHAHAR YERMSCHIT MFY BUNYODKOR KUCHASI 6 A DOM 1 KORPUS 1 KVARTERA</t>
        </is>
      </c>
      <c r="H398" s="106">
        <v>3.0</v>
      </c>
      <c r="I398" s="106">
        <v>4370206.38</v>
      </c>
      <c r="K398" s="105" t="inlineStr">
        <is>
          <t xml:space="preserve">15 kungacha tolaydi | 2058</t>
        </is>
      </c>
    </row>
    <row r="399">
      <c r="A399" s="105" t="inlineStr">
        <is>
          <t xml:space="preserve">САМАРКАНД ВИЛОЯТИ</t>
        </is>
      </c>
      <c r="B399" s="105" t="inlineStr">
        <is>
          <t xml:space="preserve">Самарқанд филиали</t>
        </is>
      </c>
      <c r="C399" s="105" t="inlineStr">
        <is>
          <t xml:space="preserve">Обещали</t>
        </is>
      </c>
      <c r="D399" s="105" t="inlineStr">
        <is>
          <t xml:space="preserve">Кр-99063830-1</t>
        </is>
      </c>
      <c r="E399" s="105" t="inlineStr">
        <is>
          <t xml:space="preserve">XAMIDOVA MARHABO RAHMANOVNA</t>
        </is>
      </c>
      <c r="F399" s="105" t="inlineStr">
        <is>
          <t xml:space="preserve">+998915268657 SMS OZI, 998955268657 SMS UYI, 998975268657 SMS DADASI,</t>
        </is>
      </c>
      <c r="G399" s="105" t="inlineStr">
        <is>
          <t xml:space="preserve">SAMARQAND VILOYATI OQDARYO TUMANI PAXTAOBOD MFY PAXTAOBOD KUCHASI 44-UY</t>
        </is>
      </c>
      <c r="H399" s="106">
        <v>3.0</v>
      </c>
      <c r="I399" s="106">
        <v>4326687.69</v>
      </c>
      <c r="K399" s="105" t="inlineStr">
        <is>
          <t xml:space="preserve">10 kuni tolaydi | 2202</t>
        </is>
      </c>
    </row>
    <row r="400">
      <c r="A400" s="105" t="inlineStr">
        <is>
          <t xml:space="preserve">САМАРКАНД ВИЛОЯТИ</t>
        </is>
      </c>
      <c r="B400" s="105" t="inlineStr">
        <is>
          <t xml:space="preserve">Самарқанд филиали</t>
        </is>
      </c>
      <c r="C400" s="105" t="inlineStr">
        <is>
          <t xml:space="preserve">Обещали</t>
        </is>
      </c>
      <c r="D400" s="105" t="inlineStr">
        <is>
          <t xml:space="preserve">Кр-99063168-1</t>
        </is>
      </c>
      <c r="E400" s="105" t="inlineStr">
        <is>
          <t xml:space="preserve">HASANOV IXTIYOR MELIKULOVICH</t>
        </is>
      </c>
      <c r="F400" s="105" t="inlineStr">
        <is>
          <t xml:space="preserve">+998990095985 SMS OZI, 998944485565 SMS AYOLI, 998994160907 SMS UKASI,</t>
        </is>
      </c>
      <c r="G400" s="105" t="inlineStr">
        <is>
          <t xml:space="preserve">SAMARQAND VILOYATI TAYLOQ TUMANI YASTEPA MFY</t>
        </is>
      </c>
      <c r="H400" s="106">
        <v>3.0</v>
      </c>
      <c r="I400" s="106">
        <v>3132648.2</v>
      </c>
      <c r="K400" s="105" t="inlineStr">
        <is>
          <t xml:space="preserve">dushanba tolaydi | 2023</t>
        </is>
      </c>
    </row>
    <row r="401">
      <c r="A401" s="105" t="inlineStr">
        <is>
          <t xml:space="preserve">САМАРКАНД ВИЛОЯТИ</t>
        </is>
      </c>
      <c r="B401" s="105" t="inlineStr">
        <is>
          <t xml:space="preserve">Самарқанд филиали</t>
        </is>
      </c>
      <c r="C401" s="105" t="inlineStr">
        <is>
          <t xml:space="preserve">Обещали</t>
        </is>
      </c>
      <c r="D401" s="105" t="inlineStr">
        <is>
          <t xml:space="preserve">Кр-99063767-1</t>
        </is>
      </c>
      <c r="E401" s="105" t="inlineStr">
        <is>
          <t xml:space="preserve">SAIDOV DILSHOD ISLOMKULOVICH</t>
        </is>
      </c>
      <c r="F401" s="105" t="inlineStr">
        <is>
          <t xml:space="preserve">+998995294743 SMS OZI, 998889335662 SMS AKASI, 998972767712 SMS TULOVCHI, 998990706947 SMS SINGLISI,</t>
        </is>
      </c>
      <c r="G401" s="105" t="inlineStr">
        <is>
          <t xml:space="preserve">SAMARQAND VILOYATI SAMARQAND SHAHAR DO’STLIK MFY</t>
        </is>
      </c>
      <c r="H401" s="106">
        <v>3.0</v>
      </c>
      <c r="I401" s="106">
        <v>2792832.74</v>
      </c>
      <c r="K401" s="105" t="inlineStr">
        <is>
          <t xml:space="preserve">11-12 kuni tolov qiladi | 2183</t>
        </is>
      </c>
    </row>
    <row r="402">
      <c r="A402" s="105" t="inlineStr">
        <is>
          <t xml:space="preserve">САМАРКАНД ВИЛОЯТИ</t>
        </is>
      </c>
      <c r="B402" s="105" t="inlineStr">
        <is>
          <t xml:space="preserve">Самарқанд филиали</t>
        </is>
      </c>
      <c r="C402" s="105" t="inlineStr">
        <is>
          <t xml:space="preserve">Обещали</t>
        </is>
      </c>
      <c r="D402" s="105" t="inlineStr">
        <is>
          <t xml:space="preserve">Кр-99063701-1</t>
        </is>
      </c>
      <c r="E402" s="105" t="inlineStr">
        <is>
          <t xml:space="preserve">XUJAMURODOV ULFAT QURBONQULOVICH</t>
        </is>
      </c>
      <c r="F402" s="105" t="inlineStr">
        <is>
          <t xml:space="preserve">+998915441976 OZI SMS, 998915226604 SMS  AYOLI, 998934434402 SMS KUYOVI, 998949410350 SMS OGLI,</t>
        </is>
      </c>
      <c r="G402" s="105" t="inlineStr">
        <is>
          <t xml:space="preserve">SAMARQAND VILOYATI URGUT TUMANI KATTA KAMANGARON MFY KAMON KUCHASI 107- UY</t>
        </is>
      </c>
      <c r="H402" s="106">
        <v>3.0</v>
      </c>
      <c r="I402" s="106">
        <v>2647090.82</v>
      </c>
      <c r="K402" s="105" t="inlineStr">
        <is>
          <t xml:space="preserve">juma kuni xudoyor akaga beradi | 2166</t>
        </is>
      </c>
    </row>
    <row r="403">
      <c r="A403" s="105" t="inlineStr">
        <is>
          <t xml:space="preserve">САМАРКАНД ВИЛОЯТИ</t>
        </is>
      </c>
      <c r="B403" s="105" t="inlineStr">
        <is>
          <t xml:space="preserve">Самарқанд филиали</t>
        </is>
      </c>
      <c r="C403" s="105" t="inlineStr">
        <is>
          <t xml:space="preserve">Обещали</t>
        </is>
      </c>
      <c r="D403" s="105" t="inlineStr">
        <is>
          <t xml:space="preserve">Кр-99063278-2</t>
        </is>
      </c>
      <c r="E403" s="105" t="inlineStr">
        <is>
          <t xml:space="preserve">ABDIQAYUMOV IBROHIM ZAYNIDDIN O’G’LI</t>
        </is>
      </c>
      <c r="F403" s="105" t="inlineStr">
        <is>
          <t xml:space="preserve">+998937202873 SMS OZI, 998500202086 SMS DADASI, 998915379123 SMS AYASI, 998915393006 SMS OZI 2,</t>
        </is>
      </c>
      <c r="G403" s="105" t="inlineStr">
        <is>
          <t xml:space="preserve">SAMARQAND VILOYATI PASTDARG’OM TUMANI KAMOLOT MAHALLASI</t>
        </is>
      </c>
      <c r="H403" s="106">
        <v>3.0</v>
      </c>
      <c r="I403" s="106">
        <v>2468139.67</v>
      </c>
      <c r="K403" s="105" t="inlineStr">
        <is>
          <t xml:space="preserve">kechgacha yopadi | 2047</t>
        </is>
      </c>
    </row>
    <row r="404">
      <c r="A404" s="105" t="inlineStr">
        <is>
          <t xml:space="preserve">САМАРКАНД ВИЛОЯТИ</t>
        </is>
      </c>
      <c r="B404" s="105" t="inlineStr">
        <is>
          <t xml:space="preserve">Самарқанд филиали</t>
        </is>
      </c>
      <c r="C404" s="105" t="inlineStr">
        <is>
          <t xml:space="preserve">Обещали</t>
        </is>
      </c>
      <c r="D404" s="105" t="inlineStr">
        <is>
          <t xml:space="preserve">Кр-99064545-1</t>
        </is>
      </c>
      <c r="E404" s="105" t="inlineStr">
        <is>
          <t xml:space="preserve">RUZIQULOV MUHRIDDIN G’AYRAT O’G’LI</t>
        </is>
      </c>
      <c r="F404" s="105" t="inlineStr">
        <is>
          <t xml:space="preserve">998778220646 SMS OZI, 998770279705 SMS TULOVCHI, 998940000197 SMS TULOVCHI NURIDDIN, 998958113080 SMS JURASI,</t>
        </is>
      </c>
      <c r="G404" s="105" t="inlineStr">
        <is>
          <t xml:space="preserve">SAMARQAND VILOYATI NARPAY TUMANI MUSTAQILLIK MFY OYTAMGALI QQ  143 UY</t>
        </is>
      </c>
      <c r="H404" s="106">
        <v>3.0</v>
      </c>
      <c r="I404" s="106">
        <v>2401488.03</v>
      </c>
      <c r="K404" s="105" t="inlineStr">
        <is>
          <t xml:space="preserve">kechgacha yopadi | 2384</t>
        </is>
      </c>
    </row>
    <row r="405">
      <c r="A405" s="105" t="inlineStr">
        <is>
          <t xml:space="preserve">САМАРКАНД ВИЛОЯТИ</t>
        </is>
      </c>
      <c r="B405" s="105" t="inlineStr">
        <is>
          <t xml:space="preserve">Самарқанд филиали</t>
        </is>
      </c>
      <c r="C405" s="105" t="inlineStr">
        <is>
          <t xml:space="preserve">Обещали</t>
        </is>
      </c>
      <c r="D405" s="105" t="inlineStr">
        <is>
          <t xml:space="preserve">Кр-99063856-2</t>
        </is>
      </c>
      <c r="E405" s="105" t="inlineStr">
        <is>
          <t xml:space="preserve">XUSHANOVA MAXBUBA JAZILOVNA</t>
        </is>
      </c>
      <c r="F405" s="105" t="inlineStr">
        <is>
          <t xml:space="preserve">+998941879595 SMS OZI, 998889931922 SMS QIZI, 998938339898 SMS O’G’LI, 998949595951 SMS OZI 2,</t>
        </is>
      </c>
      <c r="G405" s="105" t="inlineStr">
        <is>
          <t xml:space="preserve">SAMARQAND VILOYATI QUSHRABOT  TUMANI BULOKBOSHI MFY BULOKBOSHI QISHLOG’I 1439-UY</t>
        </is>
      </c>
      <c r="H405" s="106">
        <v>3.0</v>
      </c>
      <c r="I405" s="106">
        <v>1723203.46</v>
      </c>
      <c r="K405" s="105" t="inlineStr">
        <is>
          <t xml:space="preserve">dushanba tolaydi | 2210</t>
        </is>
      </c>
    </row>
    <row r="406">
      <c r="A406" s="105" t="inlineStr">
        <is>
          <t xml:space="preserve">САМАРКАНД ВИЛОЯТИ</t>
        </is>
      </c>
      <c r="B406" s="105" t="inlineStr">
        <is>
          <t xml:space="preserve">Самарқанд филиали</t>
        </is>
      </c>
      <c r="C406" s="105" t="inlineStr">
        <is>
          <t xml:space="preserve">Оплатил дозвон</t>
        </is>
      </c>
      <c r="D406" s="105" t="inlineStr">
        <is>
          <t xml:space="preserve">Кр-99005310-1</t>
        </is>
      </c>
      <c r="E406" s="105" t="inlineStr">
        <is>
          <t xml:space="preserve">USMONOV ABDUMALIK SHARIFBOYEVICH</t>
        </is>
      </c>
      <c r="F406" s="105" t="inlineStr">
        <is>
          <t xml:space="preserve">998900000000 SMS OZI, +998991314667 SMS AKASI TULOVCHI, 998502501824 SMS AYOLI, 998939133686 SMS OZI, 998992390932 SMS UYI,</t>
        </is>
      </c>
      <c r="G406" s="105" t="inlineStr">
        <is>
          <t xml:space="preserve">SAMARQAND VILOYATI ISHTIXON TUMANI O’RTAQISHLOQ QFY, JAROSTI QISHLOG’I 127-UY</t>
        </is>
      </c>
      <c r="H406" s="106">
        <v>3.0</v>
      </c>
      <c r="I406" s="106">
        <v>1641259.21</v>
      </c>
      <c r="J406" s="106">
        <v>1641259.21</v>
      </c>
      <c r="K406" s="105" t="inlineStr">
        <is>
          <t xml:space="preserve">xudoyor akaga berdu | 19</t>
        </is>
      </c>
    </row>
    <row r="407">
      <c r="A407" s="105" t="inlineStr">
        <is>
          <t xml:space="preserve">САМАРКАНД ВИЛОЯТИ</t>
        </is>
      </c>
      <c r="B407" s="105" t="inlineStr">
        <is>
          <t xml:space="preserve">Самарқанд филиали</t>
        </is>
      </c>
      <c r="C407" s="105" t="inlineStr">
        <is>
          <t xml:space="preserve">Обещали</t>
        </is>
      </c>
      <c r="D407" s="105" t="inlineStr">
        <is>
          <t xml:space="preserve">Кр-99063278-3</t>
        </is>
      </c>
      <c r="E407" s="105" t="inlineStr">
        <is>
          <t xml:space="preserve">ABDIQAYUMOV IBROHIM ZAYNIDDIN O’G’LI</t>
        </is>
      </c>
      <c r="F407" s="105" t="inlineStr">
        <is>
          <t xml:space="preserve">+998937202873 SMS OZI, 998500202086 SMS DADASI, 998915379123 SMS AYASI, 998915393006 SMS OZI 2,</t>
        </is>
      </c>
      <c r="G407" s="105" t="inlineStr">
        <is>
          <t xml:space="preserve">SAMARQAND VILOYATI PASTDARG’OM TUMANI KAMOLOT MAHALLASI</t>
        </is>
      </c>
      <c r="H407" s="106">
        <v>3.0</v>
      </c>
      <c r="I407" s="106">
        <v>1495258.35</v>
      </c>
      <c r="K407" s="105" t="inlineStr">
        <is>
          <t xml:space="preserve">kechgacha yopadi | 2048</t>
        </is>
      </c>
    </row>
    <row r="408">
      <c r="A408" s="105" t="inlineStr">
        <is>
          <t xml:space="preserve">САМАРКАНД ВИЛОЯТИ</t>
        </is>
      </c>
      <c r="B408" s="105" t="inlineStr">
        <is>
          <t xml:space="preserve">Самарқанд филиали</t>
        </is>
      </c>
      <c r="C408" s="105" t="inlineStr">
        <is>
          <t xml:space="preserve">Обещали</t>
        </is>
      </c>
      <c r="D408" s="105" t="inlineStr">
        <is>
          <t xml:space="preserve">Кр-99063492-1</t>
        </is>
      </c>
      <c r="E408" s="105" t="inlineStr">
        <is>
          <t xml:space="preserve">TIRKASHEV ZARIF YADGAROVICH</t>
        </is>
      </c>
      <c r="F408" s="105" t="inlineStr">
        <is>
          <t xml:space="preserve">+998934375859 OZI, 998932335859 SMS OZI 2, 998938573959 SMS AYASI, 998949995859 SMS DADASI,</t>
        </is>
      </c>
      <c r="G408" s="105" t="inlineStr">
        <is>
          <t xml:space="preserve">OQTOSH SHAHRI</t>
        </is>
      </c>
      <c r="H408" s="106">
        <v>3.0</v>
      </c>
      <c r="I408" s="106">
        <v>1372213.07</v>
      </c>
      <c r="K408" s="105" t="inlineStr">
        <is>
          <t xml:space="preserve">15 kungacha tolov qiladi avanisi tushsa grafigini ozgartirish kk | 2104</t>
        </is>
      </c>
    </row>
    <row r="409">
      <c r="A409" s="105" t="inlineStr">
        <is>
          <t xml:space="preserve">САМАРКАНД ВИЛОЯТИ</t>
        </is>
      </c>
      <c r="B409" s="105" t="inlineStr">
        <is>
          <t xml:space="preserve">Самарқанд филиали</t>
        </is>
      </c>
      <c r="C409" s="105" t="inlineStr">
        <is>
          <t xml:space="preserve">Обещали</t>
        </is>
      </c>
      <c r="D409" s="105" t="inlineStr">
        <is>
          <t xml:space="preserve">Кр-99064526-1</t>
        </is>
      </c>
      <c r="E409" s="105" t="inlineStr">
        <is>
          <t xml:space="preserve">OCHILOV AKTAM XASANOVICH</t>
        </is>
      </c>
      <c r="F409" s="105" t="inlineStr">
        <is>
          <t xml:space="preserve">998972891887 SMS OZI, 998978961887 SMS AYOLI, 998979011090 SMS UKASI,</t>
        </is>
      </c>
      <c r="G409" s="105" t="inlineStr">
        <is>
          <t xml:space="preserve">SAMARQAND VILOYATI QO’SHRABOT TUMANI PANGAT MFY</t>
        </is>
      </c>
      <c r="H409" s="106">
        <v>3.0</v>
      </c>
      <c r="I409" s="106">
        <v>1098797.96</v>
      </c>
      <c r="K409" s="105" t="inlineStr">
        <is>
          <t xml:space="preserve">ertaga kechgacha | 2382</t>
        </is>
      </c>
    </row>
    <row r="410">
      <c r="A410" s="105" t="inlineStr">
        <is>
          <t xml:space="preserve">САМАРКАНД ВИЛОЯТИ</t>
        </is>
      </c>
      <c r="B410" s="105" t="inlineStr">
        <is>
          <t xml:space="preserve">Самарқанд филиали</t>
        </is>
      </c>
      <c r="C410" s="105" t="inlineStr">
        <is>
          <t xml:space="preserve">Ko'tardi</t>
        </is>
      </c>
      <c r="D410" s="105" t="inlineStr">
        <is>
          <t xml:space="preserve">Кр-99062738-1</t>
        </is>
      </c>
      <c r="E410" s="105" t="inlineStr">
        <is>
          <t xml:space="preserve">RUZIYEV SUNATULLA SAFARALIYEVICH</t>
        </is>
      </c>
      <c r="F410" s="105" t="inlineStr">
        <is>
          <t xml:space="preserve">+998991126907 SMS OZI, 998993756907 SMS UYI, 998994228307 SMS SINGLISI,</t>
        </is>
      </c>
      <c r="G410" s="105" t="inlineStr">
        <is>
          <t xml:space="preserve">SAMARQAND VILOYATI NUROBOD TUMANI URTABUZ MFY TINCHLIK QISHLOG’I</t>
        </is>
      </c>
      <c r="H410" s="106">
        <v>6.0</v>
      </c>
      <c r="I410" s="106">
        <v>698117.07</v>
      </c>
      <c r="K410" s="105" t="inlineStr">
        <is>
          <t xml:space="preserve">oyni oxiriga yopadi | 1878</t>
        </is>
      </c>
    </row>
    <row r="411">
      <c r="A411" s="105" t="inlineStr">
        <is>
          <t xml:space="preserve">САМАРКАНД ВИЛОЯТИ</t>
        </is>
      </c>
      <c r="B411" s="105" t="inlineStr">
        <is>
          <t xml:space="preserve">Самарқанд филиали</t>
        </is>
      </c>
      <c r="C411" s="105" t="inlineStr">
        <is>
          <t xml:space="preserve">Обещали</t>
        </is>
      </c>
      <c r="D411" s="105" t="inlineStr">
        <is>
          <t xml:space="preserve">Кр-99058704-1</t>
        </is>
      </c>
      <c r="E411" s="105" t="inlineStr">
        <is>
          <t xml:space="preserve">RASULOV SALOXIDDIN QARSHIYEVICH</t>
        </is>
      </c>
      <c r="F411" s="105" t="inlineStr">
        <is>
          <t xml:space="preserve">+998701517600 SMS OZI, 998779672213 SMS KIYOVI, 998990639351 SMS QIZI,</t>
        </is>
      </c>
      <c r="G411" s="105" t="inlineStr">
        <is>
          <t xml:space="preserve">SAMARQAND VILOYATI URGUT TUMANI BAXRIN MFY 7-UY</t>
        </is>
      </c>
      <c r="H411" s="106">
        <v>3.0</v>
      </c>
      <c r="I411" s="106">
        <v>216110.49</v>
      </c>
      <c r="K411" s="105" t="inlineStr">
        <is>
          <t xml:space="preserve">hoz tolaydi | 1701</t>
        </is>
      </c>
    </row>
    <row r="412">
      <c r="A412" s="105" t="inlineStr">
        <is>
          <t xml:space="preserve">САМАРКАНД ВИЛОЯТИ</t>
        </is>
      </c>
      <c r="B412" s="105" t="inlineStr">
        <is>
          <t xml:space="preserve">Самарқанд филиали</t>
        </is>
      </c>
      <c r="C412" s="105" t="inlineStr">
        <is>
          <t xml:space="preserve">Оплатил дозвон</t>
        </is>
      </c>
      <c r="D412" s="105" t="inlineStr">
        <is>
          <t xml:space="preserve">Кр-99063849-1</t>
        </is>
      </c>
      <c r="E412" s="105" t="inlineStr">
        <is>
          <t xml:space="preserve">ULMASOV XOTAM SHOMARDJONOVICH</t>
        </is>
      </c>
      <c r="F412" s="105" t="inlineStr">
        <is>
          <t xml:space="preserve">998889936664 SMS UYI, 998905056661 SMS OZI, 998973996662 SMS AYOLI,</t>
        </is>
      </c>
      <c r="G412" s="105" t="inlineStr">
        <is>
          <t xml:space="preserve">SAMARQAND VILOYATI SAMARQAND SHAHAR SATTEPO MFY SATTEPO DAHASI 170-UY 79-XONADON</t>
        </is>
      </c>
      <c r="H412" s="106">
        <v>3.0</v>
      </c>
      <c r="I412" s="106">
        <v>189984.64</v>
      </c>
      <c r="J412" s="106">
        <v>189984.64</v>
      </c>
      <c r="K412" s="105" t="inlineStr">
        <is>
          <t xml:space="preserve">hoz tolaydi | 2207</t>
        </is>
      </c>
    </row>
    <row r="413">
      <c r="A413" s="105" t="inlineStr">
        <is>
          <t xml:space="preserve">САМАРКАНД ВИЛОЯТИ</t>
        </is>
      </c>
      <c r="B413" s="105" t="inlineStr">
        <is>
          <t xml:space="preserve">Самарқанд филиали</t>
        </is>
      </c>
      <c r="C413" s="105" t="inlineStr">
        <is>
          <t xml:space="preserve">Обещали</t>
        </is>
      </c>
      <c r="D413" s="105" t="inlineStr">
        <is>
          <t xml:space="preserve">Кр-99038110-2</t>
        </is>
      </c>
      <c r="E413" s="105" t="inlineStr">
        <is>
          <t xml:space="preserve">RAXMATOV RAXMON BAXRONOVICH</t>
        </is>
      </c>
      <c r="F413" s="105" t="inlineStr">
        <is>
          <t xml:space="preserve">998915576357 SMS OZI, 998772003653 SMS O’G’LI, 998906550196 SMS AYOLI, 998985736333 SMS OSHNASI,</t>
        </is>
      </c>
      <c r="G413" s="105" t="inlineStr">
        <is>
          <t xml:space="preserve">SAMARQAND VILOYATI SAMARQAND SHAHAR GALA OSIYO MFY DEVON KUCHASI 167-UY</t>
        </is>
      </c>
      <c r="H413" s="106">
        <v>3.0</v>
      </c>
      <c r="I413" s="106">
        <v>174872.94</v>
      </c>
      <c r="K413" s="105" t="inlineStr">
        <is>
          <t xml:space="preserve">dushanba kuni 2ta kiridetini ha yopadi | 756</t>
        </is>
      </c>
    </row>
    <row r="414">
      <c r="A414" s="105" t="inlineStr">
        <is>
          <t xml:space="preserve">САМАРКАНД ВИЛОЯТИ</t>
        </is>
      </c>
      <c r="B414" s="105" t="inlineStr">
        <is>
          <t xml:space="preserve">Самарқанд филиали</t>
        </is>
      </c>
      <c r="C414" s="105" t="inlineStr">
        <is>
          <t xml:space="preserve">Обещали</t>
        </is>
      </c>
      <c r="D414" s="105" t="inlineStr">
        <is>
          <t xml:space="preserve">Кр-99041893-1</t>
        </is>
      </c>
      <c r="E414" s="105" t="inlineStr">
        <is>
          <t xml:space="preserve">SHOMIRZAYEVA NILUFAR KOMILOVNA</t>
        </is>
      </c>
      <c r="F414" s="105" t="inlineStr">
        <is>
          <t xml:space="preserve">+998933458905 SSMS OZI, 998505502996 SMS ERI, 998915522001 SMS UYI, 998933464034 SMS OZI 2,</t>
        </is>
      </c>
      <c r="G414" s="105" t="inlineStr">
        <is>
          <t xml:space="preserve">SAMARQAND VILOYATI PASTDARG’OM TUMANI RAVOT MFY YOSHLAR KUCHASI 61-UY</t>
        </is>
      </c>
      <c r="H414" s="106">
        <v>3.0</v>
      </c>
      <c r="I414" s="106">
        <v>78071.33</v>
      </c>
      <c r="K414" s="105" t="inlineStr">
        <is>
          <t xml:space="preserve">10 kun yopadi | 1219</t>
        </is>
      </c>
    </row>
    <row r="415">
      <c r="A415" s="105" t="inlineStr">
        <is>
          <t xml:space="preserve">САМАРКАНД ВИЛОЯТИ</t>
        </is>
      </c>
      <c r="B415" s="105" t="inlineStr">
        <is>
          <t xml:space="preserve">Самарқанд филиали</t>
        </is>
      </c>
      <c r="C415" s="105" t="inlineStr">
        <is>
          <t xml:space="preserve">Оплатил дозвон</t>
        </is>
      </c>
      <c r="D415" s="105" t="inlineStr">
        <is>
          <t xml:space="preserve">Кр-99028869-7</t>
        </is>
      </c>
      <c r="E415" s="105" t="inlineStr">
        <is>
          <t xml:space="preserve">KOMILOV FARXOD SHUXRATOVICH</t>
        </is>
      </c>
      <c r="F415" s="105" t="inlineStr">
        <is>
          <t xml:space="preserve">90-451-67-88 SMS , 99-068-68-88 SMS O'ZI 2, 90-656-67-88 SMS QIZI, +998904516788 SMS OZI,</t>
        </is>
      </c>
      <c r="G415" s="105" t="inlineStr">
        <is>
          <t xml:space="preserve">SAMARQAND VILOYATI SAMARQAND TUMANI ULUGBEK QFY CHORSHANBA MFY NILUFAR KUCHASI 19-UY</t>
        </is>
      </c>
      <c r="I415" s="106">
        <v>25152.68</v>
      </c>
      <c r="J415" s="106">
        <v>25152.68</v>
      </c>
      <c r="K415" s="105" t="inlineStr">
        <is>
          <t xml:space="preserve">290</t>
        </is>
      </c>
    </row>
    <row r="416">
      <c r="A416" s="107" t="inlineStr">
        <is>
          <t xml:space="preserve">СУРХОНДАРЁ ВИЛОЯТИ</t>
        </is>
      </c>
      <c r="B416" s="107" t="inlineStr">
        <is>
          <t xml:space="preserve">BOSH OFIS</t>
        </is>
      </c>
      <c r="C416" s="107" t="inlineStr">
        <is>
          <t xml:space="preserve">Ko'tardi</t>
        </is>
      </c>
      <c r="D416" s="107" t="inlineStr">
        <is>
          <t xml:space="preserve">Кр-99041110-1</t>
        </is>
      </c>
      <c r="E416" s="107" t="inlineStr">
        <is>
          <t xml:space="preserve">KASIMOV NODIRBEK BAYKABILOVICH</t>
        </is>
      </c>
      <c r="F416" s="107" t="inlineStr">
        <is>
          <t xml:space="preserve">+998998830188 SMS O’ZI, 998770043004 SMS KELINI, 998958449474 SMS AYOLI, 998991090189 SMS DO’STDI, 998998830188 Primary phone from road24,</t>
        </is>
      </c>
      <c r="G416" s="107" t="inlineStr">
        <is>
          <t xml:space="preserve">ЖОНЧЕККА ҚФЙ, ДЕХКОН МФЙ, ЖОНЧЕККА ҚФЙ, ДЕХКОН МФЙ, ДЕХКОН,  uy:.</t>
        </is>
      </c>
      <c r="H416" s="108">
        <v>31.0</v>
      </c>
      <c r="I416" s="108">
        <v>8930797.96</v>
      </c>
      <c r="K416" s="107" t="inlineStr">
        <is>
          <t xml:space="preserve">ayoli bn gaplawdm nodrbek cetda | 1114</t>
        </is>
      </c>
    </row>
    <row r="417">
      <c r="A417" s="107" t="inlineStr">
        <is>
          <t xml:space="preserve">СУРХОНДАРЁ ВИЛОЯТИ</t>
        </is>
      </c>
      <c r="B417" s="107" t="inlineStr">
        <is>
          <t xml:space="preserve">BOSH OFIS</t>
        </is>
      </c>
      <c r="C417" s="107" t="inlineStr">
        <is>
          <t xml:space="preserve">Ko'tardi</t>
        </is>
      </c>
      <c r="D417" s="107" t="inlineStr">
        <is>
          <t xml:space="preserve">Кр-99040880-1</t>
        </is>
      </c>
      <c r="E417" s="107" t="inlineStr">
        <is>
          <t xml:space="preserve">USANOV ANARBOY XXX</t>
        </is>
      </c>
      <c r="F417" s="107" t="inlineStr">
        <is>
          <t xml:space="preserve">998919824959 SMS OZI, 998930952477 SMS UYI, 998915816615 SMS OILASI,</t>
        </is>
      </c>
      <c r="G417" s="107" t="inlineStr">
        <is>
          <t xml:space="preserve">SURXONDARYO VILOYATI OLTINSOY TUMANI SHODLIK MAXALLASI YANGI HAYOT KO'CHASI 142-UY</t>
        </is>
      </c>
      <c r="H417" s="108">
        <v>3.0</v>
      </c>
      <c r="I417" s="108">
        <v>5811282.5</v>
      </c>
      <c r="K417" s="107" t="inlineStr">
        <is>
          <t xml:space="preserve">iyun oyini iskandar ogan krm qmagan fond urlgan mibga ciqqan 15 larida tolo qlad xat qberw kk | 1082</t>
        </is>
      </c>
    </row>
    <row r="418">
      <c r="A418" s="107" t="inlineStr">
        <is>
          <t xml:space="preserve">СУРХОНДАРЁ ВИЛОЯТИ</t>
        </is>
      </c>
      <c r="B418" s="107" t="inlineStr">
        <is>
          <t xml:space="preserve">BOSH OFIS</t>
        </is>
      </c>
      <c r="C418" s="107" t="inlineStr">
        <is>
          <t xml:space="preserve">Ko'tardi</t>
        </is>
      </c>
      <c r="D418" s="107" t="inlineStr">
        <is>
          <t xml:space="preserve">Кр-99020863-2</t>
        </is>
      </c>
      <c r="E418" s="107" t="inlineStr">
        <is>
          <t xml:space="preserve">CHORIYEV ZAYNIDDIN XOLIYAROVICH</t>
        </is>
      </c>
      <c r="F418" s="107" t="inlineStr">
        <is>
          <t xml:space="preserve">998919023049 SMS, 998900696865 SMS, 998917170982 SMS UZI begona tel qmela, 998917247993 SMS UY, 998919031981 SMS OILASI, 998919031980 SMS uzi new,</t>
        </is>
      </c>
      <c r="G418" s="107" t="inlineStr">
        <is>
          <t xml:space="preserve">SURXONDARYO VILOYATI QUMQO’RG’ON TUMANI MEXRABOT MFY TEGIRMON ARIQ KO’CHASI 170-UY</t>
        </is>
      </c>
      <c r="H418" s="108">
        <v>3.0</v>
      </c>
      <c r="I418" s="108">
        <v>5079876.84</v>
      </c>
      <c r="K418" s="107" t="inlineStr">
        <is>
          <t xml:space="preserve">abror wahnoz oga | 129</t>
        </is>
      </c>
    </row>
    <row r="419">
      <c r="A419" s="107" t="inlineStr">
        <is>
          <t xml:space="preserve">СУРХОНДАРЁ ВИЛОЯТИ</t>
        </is>
      </c>
      <c r="B419" s="107" t="inlineStr">
        <is>
          <t xml:space="preserve">BOSH OFIS</t>
        </is>
      </c>
      <c r="C419" s="107" t="inlineStr">
        <is>
          <t xml:space="preserve">Ko'tardi</t>
        </is>
      </c>
      <c r="D419" s="107" t="inlineStr">
        <is>
          <t xml:space="preserve">Кр-99020977-5</t>
        </is>
      </c>
      <c r="E419" s="107" t="inlineStr">
        <is>
          <t xml:space="preserve">KASIMOV OYBEK ACHILOVICH</t>
        </is>
      </c>
      <c r="F419" s="107" t="inlineStr">
        <is>
          <t xml:space="preserve">91-587-81-81 SMS OZI, 93-798-82-82  SMS UY, 91-510-24-44 SMS , +998915878181 Primary phone from road24, 998915878181 Primary phone from road24,</t>
        </is>
      </c>
      <c r="G419" s="107" t="inlineStr">
        <is>
          <t xml:space="preserve">Сурхандарьинская область, Кизирикский район, Етимқум МСГ, ул. Ислом Каримов, дом 25</t>
        </is>
      </c>
      <c r="H419" s="108">
        <v>3.0</v>
      </c>
      <c r="I419" s="108">
        <v>2316136.28</v>
      </c>
      <c r="K419" s="107" t="inlineStr">
        <is>
          <t xml:space="preserve">хотини бн гаплашилди 915102424 Душанба куни тулов килишини айтди</t>
        </is>
      </c>
    </row>
    <row r="420">
      <c r="A420" s="107" t="inlineStr">
        <is>
          <t xml:space="preserve">СУРХОНДАРЁ ВИЛОЯТИ</t>
        </is>
      </c>
      <c r="B420" s="107" t="inlineStr">
        <is>
          <t xml:space="preserve">BOSH OFIS</t>
        </is>
      </c>
      <c r="C420" s="107" t="inlineStr">
        <is>
          <t xml:space="preserve">Обещали</t>
        </is>
      </c>
      <c r="D420" s="107" t="inlineStr">
        <is>
          <t xml:space="preserve">Кр-99022239-3</t>
        </is>
      </c>
      <c r="E420" s="107" t="inlineStr">
        <is>
          <t xml:space="preserve">MAXMUDOV AZAMAT ABDUXALIMOVICH</t>
        </is>
      </c>
      <c r="F420" s="107" t="inlineStr">
        <is>
          <t xml:space="preserve">99-428-85-81 SMS, 93-838-85-01  SMS UY, 91-581-86-56  SMS ZALOGADATEL, 998947851179 shu raqamdan tel qildi azamat ,</t>
        </is>
      </c>
      <c r="G420" s="107" t="inlineStr">
        <is>
          <t xml:space="preserve">SURXONDARYO VILOYATI SARIOSIYO TUMANI SUFIYON QFY NIHOLZOR MFY TINCHLIK K’OCHASI 46-UY</t>
        </is>
      </c>
      <c r="H420" s="108">
        <v>3.0</v>
      </c>
      <c r="I420" s="108">
        <v>1885854.39</v>
      </c>
      <c r="K420" s="107" t="inlineStr">
        <is>
          <t xml:space="preserve">1-2 kunda toledi | 153</t>
        </is>
      </c>
    </row>
    <row r="421">
      <c r="A421" s="107" t="inlineStr">
        <is>
          <t xml:space="preserve">СУРХОНДАРЁ ВИЛОЯТИ</t>
        </is>
      </c>
      <c r="B421" s="107" t="inlineStr">
        <is>
          <t xml:space="preserve">BOSH OFIS</t>
        </is>
      </c>
      <c r="C421" s="107" t="inlineStr">
        <is>
          <t xml:space="preserve">Ko'tardi</t>
        </is>
      </c>
      <c r="D421" s="107" t="inlineStr">
        <is>
          <t xml:space="preserve">Кр-99035581-3</t>
        </is>
      </c>
      <c r="E421" s="107" t="inlineStr">
        <is>
          <t xml:space="preserve">SAYDALIYEV BAXTINUR BAXRIDDIN O’G’LI</t>
        </is>
      </c>
      <c r="F421" s="107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21" s="107" t="inlineStr">
        <is>
          <t xml:space="preserve">Сурхондарё вилояти Кизирик Тумани Работак МФЙ, Абдулла Қаххор 1 кучаси, 21...-уй</t>
        </is>
      </c>
      <c r="H421" s="108">
        <v>3.0</v>
      </c>
      <c r="I421" s="108">
        <v>1433592.12</v>
      </c>
      <c r="K421" s="107" t="inlineStr">
        <is>
          <t xml:space="preserve">15 санада тулов киламан деб вада берди 917240044</t>
        </is>
      </c>
    </row>
    <row r="422">
      <c r="A422" s="107" t="inlineStr">
        <is>
          <t xml:space="preserve">СУРХОНДАРЁ ВИЛОЯТИ</t>
        </is>
      </c>
      <c r="B422" s="107" t="inlineStr">
        <is>
          <t xml:space="preserve">BOSH OFIS</t>
        </is>
      </c>
      <c r="C422" s="107" t="inlineStr">
        <is>
          <t xml:space="preserve">Ko'tardi</t>
        </is>
      </c>
      <c r="D422" s="107" t="inlineStr">
        <is>
          <t xml:space="preserve">Кр-99016711-3</t>
        </is>
      </c>
      <c r="E422" s="107" t="inlineStr">
        <is>
          <t xml:space="preserve">TAG’AYEV ASADTILLO TOSHTEMIROVICH</t>
        </is>
      </c>
      <c r="F422" s="107" t="inlineStr">
        <is>
          <t xml:space="preserve">99-026-78-78 sms, 99-762-20-12 sms uy, 99-242-20-15 sms BEGONA,</t>
        </is>
      </c>
      <c r="G422" s="107" t="inlineStr">
        <is>
          <t xml:space="preserve">ТОРТУВЛИ ҚФЙ, НАВБАХОР МФЙ,  uy:Б/Н</t>
        </is>
      </c>
      <c r="H422" s="108">
        <v>3.0</v>
      </c>
      <c r="I422" s="108">
        <v>1187902.34</v>
      </c>
      <c r="K422" s="107" t="inlineStr">
        <is>
          <t xml:space="preserve">bugun erte tolo qlad | 85</t>
        </is>
      </c>
    </row>
    <row r="423">
      <c r="A423" s="107" t="inlineStr">
        <is>
          <t xml:space="preserve">СУРХОНДАРЁ ВИЛОЯТИ</t>
        </is>
      </c>
      <c r="B423" s="107" t="inlineStr">
        <is>
          <t xml:space="preserve">BOSH OFIS</t>
        </is>
      </c>
      <c r="C423" s="107" t="inlineStr">
        <is>
          <t xml:space="preserve">Обещали</t>
        </is>
      </c>
      <c r="D423" s="107" t="inlineStr">
        <is>
          <t xml:space="preserve">Кр-99034555-2</t>
        </is>
      </c>
      <c r="E423" s="107" t="inlineStr">
        <is>
          <t xml:space="preserve">BAYMIROV ABDIMALIK XUSHBAQOVICH</t>
        </is>
      </c>
      <c r="F423" s="107" t="inlineStr">
        <is>
          <t xml:space="preserve">998888499988 SMS OZI, 998972271881 SMS AYOLI, 998940745557 SMS QIZI, 998952293067 SMS HAMKASBI,</t>
        </is>
      </c>
      <c r="G423" s="107" t="inlineStr">
        <is>
          <t xml:space="preserve">SURXONDARYO VILOYATI TERMIZ TUMANI SHAROF RASHIDOV MFY SHAROF, RASHIDOV KO’CHASI 40/WJ-UY</t>
        </is>
      </c>
      <c r="H423" s="108">
        <v>3.0</v>
      </c>
      <c r="I423" s="108">
        <v>880814.38</v>
      </c>
      <c r="K423" s="107" t="inlineStr">
        <is>
          <t xml:space="preserve">бугун</t>
        </is>
      </c>
    </row>
    <row r="424">
      <c r="A424" s="109" t="inlineStr">
        <is>
          <t xml:space="preserve">СУРХОНДАРЁ ВИЛОЯТИ</t>
        </is>
      </c>
      <c r="B424" s="109" t="inlineStr">
        <is>
          <t xml:space="preserve">SUPER BRANCH</t>
        </is>
      </c>
      <c r="C424" s="109" t="inlineStr">
        <is>
          <t xml:space="preserve">Ko'tardi</t>
        </is>
      </c>
      <c r="D424" s="109" t="inlineStr">
        <is>
          <t xml:space="preserve">Кр-99062062-1</t>
        </is>
      </c>
      <c r="E424" s="109" t="inlineStr">
        <is>
          <t xml:space="preserve">QAMBAROV ZUXRUDDIN IKROMIDDIN O’G’LI</t>
        </is>
      </c>
      <c r="F424" s="109" t="inlineStr">
        <is>
          <t xml:space="preserve">998997113009 SMS Шахноз тўловчи,</t>
        </is>
      </c>
      <c r="G424" s="109" t="inlineStr">
        <is>
          <t xml:space="preserve">SURXONDARYO VILOYATI DENOV SHAHRI NURLI MANZIL MFY MADANIYAT 152-UY 27-XONADON</t>
        </is>
      </c>
      <c r="H424" s="110">
        <v>125.0</v>
      </c>
      <c r="I424" s="110">
        <v>86908529.49</v>
      </c>
      <c r="K424" s="109" t="inlineStr">
        <is>
          <t xml:space="preserve">wahnoz krediti | 1811</t>
        </is>
      </c>
    </row>
    <row r="425">
      <c r="A425" s="109" t="inlineStr">
        <is>
          <t xml:space="preserve">СУРХОНДАРЁ ВИЛОЯТИ</t>
        </is>
      </c>
      <c r="B425" s="109" t="inlineStr">
        <is>
          <t xml:space="preserve">SUPER BRANCH</t>
        </is>
      </c>
      <c r="C425" s="109" t="inlineStr">
        <is>
          <t xml:space="preserve">Ko'tardi</t>
        </is>
      </c>
      <c r="D425" s="109" t="inlineStr">
        <is>
          <t xml:space="preserve">Кр-99035360-1</t>
        </is>
      </c>
      <c r="E425" s="109" t="inlineStr">
        <is>
          <t xml:space="preserve">JO’RAYEV ILYOS SHAXRIYOROVICH</t>
        </is>
      </c>
      <c r="F425" s="109" t="inlineStr">
        <is>
          <t xml:space="preserve">998973507711 SMS O’ZI, 999880757000 SMS UY, 998771073599 SMS OILASI, 998919095500 SMS AKASI, 998500088102 SMS UZI 2,</t>
        </is>
      </c>
      <c r="G425" s="109" t="inlineStr">
        <is>
          <t xml:space="preserve">SURXONDARYO VILOYATI DENOV TUMANI FARG’ONA QFY OLOVUDDIN MFY SHAXROBOD 27-UY</t>
        </is>
      </c>
      <c r="H425" s="110">
        <v>114.0</v>
      </c>
      <c r="I425" s="110">
        <v>46888439.49</v>
      </c>
      <c r="K425" s="109" t="inlineStr">
        <is>
          <t xml:space="preserve">abror ogan | 581</t>
        </is>
      </c>
    </row>
    <row r="426">
      <c r="A426" s="109" t="inlineStr">
        <is>
          <t xml:space="preserve">СУРХОНДАРЁ ВИЛОЯТИ</t>
        </is>
      </c>
      <c r="B426" s="109" t="inlineStr">
        <is>
          <t xml:space="preserve">SUPER BRANCH</t>
        </is>
      </c>
      <c r="C426" s="109" t="inlineStr">
        <is>
          <t xml:space="preserve">Ko'tardi</t>
        </is>
      </c>
      <c r="D426" s="109" t="inlineStr">
        <is>
          <t xml:space="preserve">Кр-99039336-1</t>
        </is>
      </c>
      <c r="E426" s="109" t="inlineStr">
        <is>
          <t xml:space="preserve">AXMEDOV SARDOR SALIMOVICH</t>
        </is>
      </c>
      <c r="F426" s="109" t="inlineStr">
        <is>
          <t xml:space="preserve">998990466913 SMS OZI, 998338530304 SMS UY, 998952426616 SMS UKASI, 998885030488 SMS PAOCHCHASI,</t>
        </is>
      </c>
      <c r="G426" s="109" t="inlineStr">
        <is>
          <t xml:space="preserve">SURXONDARYO VILOYATI DENOV TUMANI GULISTON MFY GULISTON 22-UY</t>
        </is>
      </c>
      <c r="H426" s="110">
        <v>274.0</v>
      </c>
      <c r="I426" s="110">
        <v>45088232.11</v>
      </c>
      <c r="K426" s="109" t="inlineStr">
        <is>
          <t xml:space="preserve">abror tolo qlw kk | 845</t>
        </is>
      </c>
    </row>
    <row r="427">
      <c r="A427" s="109" t="inlineStr">
        <is>
          <t xml:space="preserve">СУРХОНДАРЁ ВИЛОЯТИ</t>
        </is>
      </c>
      <c r="B427" s="109" t="inlineStr">
        <is>
          <t xml:space="preserve">SUPER BRANCH</t>
        </is>
      </c>
      <c r="C427" s="109" t="inlineStr">
        <is>
          <t xml:space="preserve">Ko'tardi</t>
        </is>
      </c>
      <c r="D427" s="109" t="inlineStr">
        <is>
          <t xml:space="preserve">Кр-99038761-1</t>
        </is>
      </c>
      <c r="E427" s="109" t="inlineStr">
        <is>
          <t xml:space="preserve">JUMAYEV MIRZOBEK BAHODIROVICH</t>
        </is>
      </c>
      <c r="F427" s="109" t="inlineStr">
        <is>
          <t xml:space="preserve">998994284567 SMS O’ZI, 998952264343 SMS AKASI, 998881910375 SMS ONASI, 998881512151 SMS UYI,</t>
        </is>
      </c>
      <c r="G427" s="109" t="inlineStr">
        <is>
          <t xml:space="preserve">SURXONDARYO VILOYATI DENOV TUMANI DAXANA QFY MEXNATOBOD MFY SINA  KO’CHASI 3-UY  </t>
        </is>
      </c>
      <c r="H427" s="110">
        <v>176.0</v>
      </c>
      <c r="I427" s="110">
        <v>33184697.55</v>
      </c>
      <c r="K427" s="109" t="inlineStr">
        <is>
          <t xml:space="preserve">abror tolo qlw kk | 796</t>
        </is>
      </c>
    </row>
    <row r="428">
      <c r="A428" s="109" t="inlineStr">
        <is>
          <t xml:space="preserve">СУРХОНДАРЁ ВИЛОЯТИ</t>
        </is>
      </c>
      <c r="B428" s="109" t="inlineStr">
        <is>
          <t xml:space="preserve">SUPER BRANCH</t>
        </is>
      </c>
      <c r="C428" s="109" t="inlineStr">
        <is>
          <t xml:space="preserve">Ko'tardi</t>
        </is>
      </c>
      <c r="D428" s="109" t="inlineStr">
        <is>
          <t xml:space="preserve">Кр-99037217-1</t>
        </is>
      </c>
      <c r="E428" s="109" t="inlineStr">
        <is>
          <t xml:space="preserve">XUDOYBERDIYEV RUSTAM ASHIROVICH</t>
        </is>
      </c>
      <c r="F428" s="109" t="inlineStr">
        <is>
          <t xml:space="preserve">998888080583 SMS OZI, 998952608388 SMS UKASI, 998952688984 SMS AKASI, 998990619488 SMS UY,</t>
        </is>
      </c>
      <c r="G428" s="109" t="inlineStr">
        <is>
          <t xml:space="preserve">SURXONDARYO VILOYATI DENOV TUMANI SH.RASHIDOV  SIU OQQO’RG’ON MFY TONYULDUZU  112-UY</t>
        </is>
      </c>
      <c r="H428" s="110">
        <v>154.0</v>
      </c>
      <c r="I428" s="110">
        <v>25473147.32</v>
      </c>
      <c r="K428" s="109" t="inlineStr">
        <is>
          <t xml:space="preserve">wahnoz ogan | 707</t>
        </is>
      </c>
    </row>
    <row r="429">
      <c r="A429" s="109" t="inlineStr">
        <is>
          <t xml:space="preserve">СУРХОНДАРЁ ВИЛОЯТИ</t>
        </is>
      </c>
      <c r="B429" s="109" t="inlineStr">
        <is>
          <t xml:space="preserve">SUPER BRANCH</t>
        </is>
      </c>
      <c r="C429" s="109" t="inlineStr">
        <is>
          <t xml:space="preserve">Ko'tardi</t>
        </is>
      </c>
      <c r="D429" s="109" t="inlineStr">
        <is>
          <t xml:space="preserve">Кр-99039320-1</t>
        </is>
      </c>
      <c r="E429" s="109" t="inlineStr">
        <is>
          <t xml:space="preserve">KURBANOV FAZLIDDIN ABDUKAXOROVICH</t>
        </is>
      </c>
      <c r="F429" s="109" t="inlineStr">
        <is>
          <t xml:space="preserve">998991354667 SMS OZI, 998991205994 SMS AYOLI, 998994513084 SMS AKASI, 998745116760 SMS UY,</t>
        </is>
      </c>
      <c r="G429" s="109" t="inlineStr">
        <is>
          <t xml:space="preserve">SURXONDARYO VILOYATI DENOV TUMANI OYBARAK MFY CHINORSOY  KO’CHASI 42-UY</t>
        </is>
      </c>
      <c r="H429" s="110">
        <v>188.0</v>
      </c>
      <c r="I429" s="110">
        <v>22583477.46</v>
      </c>
      <c r="K429" s="109" t="inlineStr">
        <is>
          <t xml:space="preserve">abror tolo qlw kk | 840</t>
        </is>
      </c>
    </row>
    <row r="430">
      <c r="A430" s="109" t="inlineStr">
        <is>
          <t xml:space="preserve">СУРХОНДАРЁ ВИЛОЯТИ</t>
        </is>
      </c>
      <c r="B430" s="109" t="inlineStr">
        <is>
          <t xml:space="preserve">SUPER BRANCH</t>
        </is>
      </c>
      <c r="C430" s="109" t="inlineStr">
        <is>
          <t xml:space="preserve">Ko'tardi</t>
        </is>
      </c>
      <c r="D430" s="109" t="inlineStr">
        <is>
          <t xml:space="preserve">Кр-99040308-1</t>
        </is>
      </c>
      <c r="E430" s="109" t="inlineStr">
        <is>
          <t xml:space="preserve">SUVONOV NURBEK OYBEK O’G’LI</t>
        </is>
      </c>
      <c r="F430" s="109" t="inlineStr">
        <is>
          <t xml:space="preserve">998997511064 SMS OZI, 998952191064 SMS UY begona, 998997310499 SMS KELINI, 998996848911 SMS KELINI 2,</t>
        </is>
      </c>
      <c r="G430" s="109" t="inlineStr">
        <is>
          <t xml:space="preserve">SURXONDARYO VILOYATI BANDIXON TUMANI OBADTURMUSH MFY BEXIZOR 48-UY</t>
        </is>
      </c>
      <c r="H430" s="110">
        <v>185.0</v>
      </c>
      <c r="I430" s="110">
        <v>20451874.3</v>
      </c>
      <c r="K430" s="109" t="inlineStr">
        <is>
          <t xml:space="preserve">abror ogan | 994</t>
        </is>
      </c>
    </row>
    <row r="431">
      <c r="A431" s="109" t="inlineStr">
        <is>
          <t xml:space="preserve">СУРХОНДАРЁ ВИЛОЯТИ</t>
        </is>
      </c>
      <c r="B431" s="109" t="inlineStr">
        <is>
          <t xml:space="preserve">SUPER BRANCH</t>
        </is>
      </c>
      <c r="C431" s="109" t="inlineStr">
        <is>
          <t xml:space="preserve">Ko'tardi</t>
        </is>
      </c>
      <c r="D431" s="109" t="inlineStr">
        <is>
          <t xml:space="preserve">Кр-99039034-2</t>
        </is>
      </c>
      <c r="E431" s="109" t="inlineStr">
        <is>
          <t xml:space="preserve">MUSURMONOV TOXIR TUYCHU O'G'LI</t>
        </is>
      </c>
      <c r="F431" s="109" t="inlineStr">
        <is>
          <t xml:space="preserve">998978415005 SMS OZI, 998880171892 SMS OZI 2, 998880932593 SMS POCHCHASI, 998885367472 SMS UYI,</t>
        </is>
      </c>
      <c r="G431" s="109" t="inlineStr">
        <is>
          <t xml:space="preserve">SURXONDARYO VILOYATI DENOV TUMANI VODIY MFY SHIFOKORLAR KO’CHASI  87-UY</t>
        </is>
      </c>
      <c r="H431" s="110">
        <v>94.0</v>
      </c>
      <c r="I431" s="110">
        <v>19681753.56</v>
      </c>
      <c r="K431" s="109" t="inlineStr">
        <is>
          <t xml:space="preserve">abror tolo qlw kk | 813</t>
        </is>
      </c>
    </row>
    <row r="432">
      <c r="A432" s="109" t="inlineStr">
        <is>
          <t xml:space="preserve">СУРХОНДАРЁ ВИЛОЯТИ</t>
        </is>
      </c>
      <c r="B432" s="109" t="inlineStr">
        <is>
          <t xml:space="preserve">SUPER BRANCH</t>
        </is>
      </c>
      <c r="C432" s="109" t="inlineStr">
        <is>
          <t xml:space="preserve">Ko'tardi</t>
        </is>
      </c>
      <c r="D432" s="109" t="inlineStr">
        <is>
          <t xml:space="preserve">Кр-99038067-1</t>
        </is>
      </c>
      <c r="E432" s="109" t="inlineStr">
        <is>
          <t xml:space="preserve">MURODOVA ZULFINA MIRZOQUL QIZI</t>
        </is>
      </c>
      <c r="F432" s="109" t="inlineStr">
        <is>
          <t xml:space="preserve">998910788393 SMS OZI, 998903783727 SMS QAYNONBASI, 998907497870 SMS SINGLISI,</t>
        </is>
      </c>
      <c r="G432" s="109" t="inlineStr">
        <is>
          <t xml:space="preserve">SURXONDARYO VILOYATI SARIOSIYO TUMANI AIRABORT MFY OQYO'L KUCHASI 1/1-UY 25-XONADON</t>
        </is>
      </c>
      <c r="H432" s="110">
        <v>119.0</v>
      </c>
      <c r="I432" s="110">
        <v>15954625.52</v>
      </c>
      <c r="K432" s="109" t="inlineStr">
        <is>
          <t xml:space="preserve">mowinni sotebdi | 754</t>
        </is>
      </c>
    </row>
    <row r="433">
      <c r="A433" s="109" t="inlineStr">
        <is>
          <t xml:space="preserve">СУРХОНДАРЁ ВИЛОЯТИ</t>
        </is>
      </c>
      <c r="B433" s="109" t="inlineStr">
        <is>
          <t xml:space="preserve">SUPER BRANCH</t>
        </is>
      </c>
      <c r="C433" s="109" t="inlineStr">
        <is>
          <t xml:space="preserve">Ko'tardi</t>
        </is>
      </c>
      <c r="D433" s="109" t="inlineStr">
        <is>
          <t xml:space="preserve">Кр-99022570-7</t>
        </is>
      </c>
      <c r="E433" s="109" t="inlineStr">
        <is>
          <t xml:space="preserve">MAXAMADIYEVA SHAHNOZA RAXMATULLEVNA</t>
        </is>
      </c>
      <c r="F433" s="109" t="inlineStr">
        <is>
          <t xml:space="preserve">998997113009 SMS OZI SHAXNOZA OPANI KREDITI, 99-575-30-09 SMS OPASI, 91-734-30-09 SMS UY,</t>
        </is>
      </c>
      <c r="G433" s="109" t="inlineStr">
        <is>
          <t xml:space="preserve">SURXONDARYO VILOYATI DENOV SHSHAR GULISTON  4-UY</t>
        </is>
      </c>
      <c r="H433" s="110">
        <v>64.0</v>
      </c>
      <c r="I433" s="110">
        <v>13788319.79</v>
      </c>
      <c r="K433" s="109" t="inlineStr">
        <is>
          <t xml:space="preserve">wahnozni krediti | 156</t>
        </is>
      </c>
    </row>
    <row r="434">
      <c r="A434" s="109" t="inlineStr">
        <is>
          <t xml:space="preserve">СУРХОНДАРЁ ВИЛОЯТИ</t>
        </is>
      </c>
      <c r="B434" s="109" t="inlineStr">
        <is>
          <t xml:space="preserve">SUPER BRANCH</t>
        </is>
      </c>
      <c r="C434" s="109" t="inlineStr">
        <is>
          <t xml:space="preserve">Ko'tardi</t>
        </is>
      </c>
      <c r="D434" s="109" t="inlineStr">
        <is>
          <t xml:space="preserve">Кр-99038650-1</t>
        </is>
      </c>
      <c r="E434" s="109" t="inlineStr">
        <is>
          <t xml:space="preserve">MIRZAYEV MURODJON SAMADOVICH</t>
        </is>
      </c>
      <c r="F434" s="109" t="inlineStr">
        <is>
          <t xml:space="preserve">998959402120 SMS OZI , 998337725850 SMS OZI 2, 998978475999 SMS KUYOVI, 998990953755 SMS OGLI,</t>
        </is>
      </c>
      <c r="G434" s="109" t="inlineStr">
        <is>
          <t xml:space="preserve">SURXONDARYO VILOYATI DENOV TUMANI JOMIY MFY JOMIY 159-UY</t>
        </is>
      </c>
      <c r="H434" s="110">
        <v>94.0</v>
      </c>
      <c r="I434" s="110">
        <v>13428403.48</v>
      </c>
      <c r="K434" s="109" t="inlineStr">
        <is>
          <t xml:space="preserve">kuyovi bn gaplawdm murod aka ozi germaniyada | 787</t>
        </is>
      </c>
    </row>
    <row r="435">
      <c r="A435" s="109" t="inlineStr">
        <is>
          <t xml:space="preserve">СУРХОНДАРЁ ВИЛОЯТИ</t>
        </is>
      </c>
      <c r="B435" s="109" t="inlineStr">
        <is>
          <t xml:space="preserve">SUPER BRANCH</t>
        </is>
      </c>
      <c r="C435" s="109" t="inlineStr">
        <is>
          <t xml:space="preserve">Ko'tardi</t>
        </is>
      </c>
      <c r="D435" s="109" t="inlineStr">
        <is>
          <t xml:space="preserve">Кр-99032770-1</t>
        </is>
      </c>
      <c r="E435" s="109" t="inlineStr">
        <is>
          <t xml:space="preserve">ZIYAYEVA ZAMIRA ERDONOVNA</t>
        </is>
      </c>
      <c r="F435" s="109" t="inlineStr">
        <is>
          <t xml:space="preserve">998992021978 SMS OZI, 998979719601 SMS OGLI, 998952364545 SMS AZAMAT AKASI, 998952673434 SMS AKSI TOLOVCHI,</t>
        </is>
      </c>
      <c r="G435" s="109" t="inlineStr">
        <is>
          <t xml:space="preserve">SURXONDARYO VILOYATI DENOV TUMANI DENOV SHAHAR JOMIY MFY, MIRXOND 1-UY</t>
        </is>
      </c>
      <c r="H435" s="110">
        <v>185.0</v>
      </c>
      <c r="I435" s="110">
        <v>13238264.14</v>
      </c>
      <c r="K435" s="109" t="inlineStr">
        <is>
          <t xml:space="preserve">musurmonni kredti | 446</t>
        </is>
      </c>
    </row>
    <row r="436">
      <c r="A436" s="109" t="inlineStr">
        <is>
          <t xml:space="preserve">СУРХОНДАРЁ ВИЛОЯТИ</t>
        </is>
      </c>
      <c r="B436" s="109" t="inlineStr">
        <is>
          <t xml:space="preserve">SUPER BRANCH</t>
        </is>
      </c>
      <c r="C436" s="109" t="inlineStr">
        <is>
          <t xml:space="preserve">Ko'tardi</t>
        </is>
      </c>
      <c r="D436" s="109" t="inlineStr">
        <is>
          <t xml:space="preserve">Кр-99035575-1</t>
        </is>
      </c>
      <c r="E436" s="109" t="inlineStr">
        <is>
          <t xml:space="preserve">AMANOV CHORSHANBI O’ROLOVICH</t>
        </is>
      </c>
      <c r="F436" s="109" t="inlineStr">
        <is>
          <t xml:space="preserve">998770669985 SMS OZI akasi, 998951811145 SMS UKASI, 998771006785 SMS AYOLI, 998888085588 SMS UKASI ozi ,</t>
        </is>
      </c>
      <c r="G436" s="109" t="inlineStr">
        <is>
          <t xml:space="preserve">SURXONDARYO VILOYATI QUMQO’RG’ON  TUMANI QUMQO’RG’ON  QFY CHAYONTEPA MFY X.XOLBAYEV  KO’CHASI 18-UY</t>
        </is>
      </c>
      <c r="H436" s="110">
        <v>77.0</v>
      </c>
      <c r="I436" s="110">
        <v>11561211.16</v>
      </c>
      <c r="K436" s="109" t="inlineStr">
        <is>
          <t xml:space="preserve">abror ogan | 590</t>
        </is>
      </c>
    </row>
    <row r="437">
      <c r="A437" s="109" t="inlineStr">
        <is>
          <t xml:space="preserve">СУРХОНДАРЁ ВИЛОЯТИ</t>
        </is>
      </c>
      <c r="B437" s="109" t="inlineStr">
        <is>
          <t xml:space="preserve">SUPER BRANCH</t>
        </is>
      </c>
      <c r="C437" s="109" t="inlineStr">
        <is>
          <t xml:space="preserve">Ko'tardi</t>
        </is>
      </c>
      <c r="D437" s="109" t="inlineStr">
        <is>
          <t xml:space="preserve">Кр-99039071-1</t>
        </is>
      </c>
      <c r="E437" s="109" t="inlineStr">
        <is>
          <t xml:space="preserve">NOROV OYBEK ABDUSATTOR O’G’LI</t>
        </is>
      </c>
      <c r="F437" s="109" t="inlineStr">
        <is>
          <t xml:space="preserve">998990324390 SMS O’ZI, 998919039933 SMS UY, 998995637474 SMS TO’LOVCHI, 998949420686 SMS O’ZI,</t>
        </is>
      </c>
      <c r="G437" s="109" t="inlineStr">
        <is>
          <t xml:space="preserve">SURXONDARYO VILOYATI SARIOSIYO TUMANI SHARG'UN SHFY BOG' 21-UY</t>
        </is>
      </c>
      <c r="H437" s="110">
        <v>171.0</v>
      </c>
      <c r="I437" s="110">
        <v>9476653.66</v>
      </c>
      <c r="K437" s="109" t="inlineStr">
        <is>
          <t xml:space="preserve">abror tolo qlw kk | 815</t>
        </is>
      </c>
    </row>
    <row r="438">
      <c r="A438" s="109" t="inlineStr">
        <is>
          <t xml:space="preserve">СУРХОНДАРЁ ВИЛОЯТИ</t>
        </is>
      </c>
      <c r="B438" s="109" t="inlineStr">
        <is>
          <t xml:space="preserve">SUPER BRANCH</t>
        </is>
      </c>
      <c r="C438" s="109" t="inlineStr">
        <is>
          <t xml:space="preserve">Ko'tardi</t>
        </is>
      </c>
      <c r="D438" s="109" t="inlineStr">
        <is>
          <t xml:space="preserve">Кр-99019822-4</t>
        </is>
      </c>
      <c r="E438" s="109" t="inlineStr">
        <is>
          <t xml:space="preserve">TOG’AYEV ZAYNIDDIN XAITMUROD O’G’LI</t>
        </is>
      </c>
      <c r="F438" s="109" t="inlineStr">
        <is>
          <t xml:space="preserve">95-079-03-45 SMS , 88-354-19-95 SMS  begona tel qimayla, 99-235-56-93 SMS begona tel qimayla, 998950790395 SMS OZI , 998771230395 SMS OZI, 998951784101 SMS ozi new,</t>
        </is>
      </c>
      <c r="G438" s="109" t="inlineStr">
        <is>
          <t xml:space="preserve">SURXONDARYO VILOYATIUZUN TUMANI BOBOTOG’ QFY BOBOTOQ MFY NAVBAHOR KO’CHASI 10-UY</t>
        </is>
      </c>
      <c r="H438" s="110">
        <v>34.0</v>
      </c>
      <c r="I438" s="110">
        <v>9113505.61</v>
      </c>
      <c r="K438" s="109" t="inlineStr">
        <is>
          <t xml:space="preserve">toydan kyn tolo qlad | 110</t>
        </is>
      </c>
    </row>
    <row r="439">
      <c r="A439" s="109" t="inlineStr">
        <is>
          <t xml:space="preserve">СУРХОНДАРЁ ВИЛОЯТИ</t>
        </is>
      </c>
      <c r="B439" s="109" t="inlineStr">
        <is>
          <t xml:space="preserve">SUPER BRANCH</t>
        </is>
      </c>
      <c r="C439" s="109" t="inlineStr">
        <is>
          <t xml:space="preserve">Ko'tardi</t>
        </is>
      </c>
      <c r="D439" s="109" t="inlineStr">
        <is>
          <t xml:space="preserve">Кр-99031100-2</t>
        </is>
      </c>
      <c r="E439" s="109" t="inlineStr">
        <is>
          <t xml:space="preserve">DO’STQOBILOV BOTIRJON ZOKIRJONOVICH</t>
        </is>
      </c>
      <c r="F439" s="109" t="inlineStr">
        <is>
          <t xml:space="preserve">99-062-17-51 SMS O’ZI, 95-770-09-98  SMS UKASI, 99-258-74-42  SMS ONASI, 88-531-55-47  SMS UY, 998957723696 SMS OZI SHUNGA QILINSIN ,</t>
        </is>
      </c>
      <c r="G439" s="109" t="inlineStr">
        <is>
          <t xml:space="preserve">SURXONDARYO VILOYATI DENOV TUMANI TORTUVLI QFY NAVBAXOR MFY BUXRODINBOLVANI KO’CHASI 53-UY </t>
        </is>
      </c>
      <c r="H439" s="110">
        <v>92.0</v>
      </c>
      <c r="I439" s="110">
        <v>7519626.16</v>
      </c>
      <c r="K439" s="109" t="inlineStr">
        <is>
          <t xml:space="preserve">abror ogan | 370</t>
        </is>
      </c>
    </row>
    <row r="440">
      <c r="A440" s="109" t="inlineStr">
        <is>
          <t xml:space="preserve">СУРХОНДАРЁ ВИЛОЯТИ</t>
        </is>
      </c>
      <c r="B440" s="109" t="inlineStr">
        <is>
          <t xml:space="preserve">SUPER BRANCH</t>
        </is>
      </c>
      <c r="C440" s="109" t="inlineStr">
        <is>
          <t xml:space="preserve">Ko'tardi</t>
        </is>
      </c>
      <c r="D440" s="109" t="inlineStr">
        <is>
          <t xml:space="preserve">Кр-99040217-1</t>
        </is>
      </c>
      <c r="E440" s="109" t="inlineStr">
        <is>
          <t xml:space="preserve">YUSUPOVA ULJON MAMATOVNA</t>
        </is>
      </c>
      <c r="F440" s="109" t="inlineStr">
        <is>
          <t xml:space="preserve">998902252061 SMS OZI, 998995222242 SMS OGLI SHU TULOVCHI FAQAT SHUNGA TEL QILINSIN, 998911913914 SMS JIYANI,</t>
        </is>
      </c>
      <c r="G440" s="109" t="inlineStr">
        <is>
          <t xml:space="preserve">SURXONDARYO VILOYATI OLTINSOY TUMANI XIDIRSHO MFY SOKIN HAYOT KO'CHASI 6-UY</t>
        </is>
      </c>
      <c r="H440" s="110">
        <v>31.0</v>
      </c>
      <c r="I440" s="110">
        <v>5726309.17</v>
      </c>
      <c r="K440" s="109" t="inlineStr">
        <is>
          <t xml:space="preserve">ogli bn gaplawdm oz ozdan tolo qlebdi | 974</t>
        </is>
      </c>
    </row>
    <row r="441">
      <c r="A441" s="109" t="inlineStr">
        <is>
          <t xml:space="preserve">СУРХОНДАРЁ ВИЛОЯТИ</t>
        </is>
      </c>
      <c r="B441" s="109" t="inlineStr">
        <is>
          <t xml:space="preserve">SUPER BRANCH</t>
        </is>
      </c>
      <c r="C441" s="109" t="inlineStr">
        <is>
          <t xml:space="preserve">Ko'tardi</t>
        </is>
      </c>
      <c r="D441" s="109" t="inlineStr">
        <is>
          <t xml:space="preserve">Кр-99010264-3</t>
        </is>
      </c>
      <c r="E441" s="109" t="inlineStr">
        <is>
          <t xml:space="preserve">RO’ZIYEV XOLIYOR ALLANAZAROVICH</t>
        </is>
      </c>
      <c r="F441" s="109" t="inlineStr">
        <is>
          <t xml:space="preserve">91-582-85-90 SMS, 91-512-64-92  SMS O’G’LI NOMOZ, 91-228-85-09  SMS KELINI MUBORAK, 91-234-52-59 SMS UY, 998888100417 SMS NEW,</t>
        </is>
      </c>
      <c r="G441" s="109" t="inlineStr">
        <is>
          <t xml:space="preserve">SURXONDARYO VILOYATI SHO’RCHI TUMANI ALPIMISH QFY TAMADDUM MFY 471-UY</t>
        </is>
      </c>
      <c r="H441" s="110">
        <v>31.0</v>
      </c>
      <c r="I441" s="110">
        <v>5685050.49</v>
      </c>
      <c r="K441" s="109" t="inlineStr">
        <is>
          <t xml:space="preserve">abror wahnoz ogan | 47</t>
        </is>
      </c>
    </row>
    <row r="442">
      <c r="A442" s="109" t="inlineStr">
        <is>
          <t xml:space="preserve">СУРХОНДАРЁ ВИЛОЯТИ</t>
        </is>
      </c>
      <c r="B442" s="109" t="inlineStr">
        <is>
          <t xml:space="preserve">SUPER BRANCH</t>
        </is>
      </c>
      <c r="C442" s="109" t="inlineStr">
        <is>
          <t xml:space="preserve">Ko'tardi</t>
        </is>
      </c>
      <c r="D442" s="109" t="inlineStr">
        <is>
          <t xml:space="preserve">Кр-99037169-1</t>
        </is>
      </c>
      <c r="E442" s="109" t="inlineStr">
        <is>
          <t xml:space="preserve">GAYDAROVA SHOIRA YUSUPOVNA</t>
        </is>
      </c>
      <c r="F442" s="109" t="inlineStr">
        <is>
          <t xml:space="preserve">998915185292 SMS OZI, 796268919057 SMS ROSSIYA TELEGRAMI, 998950992302 SMS QIZI, 998970994990 SMS UYI,</t>
        </is>
      </c>
      <c r="G442" s="109" t="inlineStr">
        <is>
          <t xml:space="preserve">SURXONDARYO VILOYATI DENOV TUMANI MEXR OQIBAT MFY SH.RASHIDOV 4-DOM 17-KVARTERA</t>
        </is>
      </c>
      <c r="H442" s="110">
        <v>34.0</v>
      </c>
      <c r="I442" s="110">
        <v>5295867.27</v>
      </c>
      <c r="K442" s="109" t="inlineStr">
        <is>
          <t xml:space="preserve">wahnoz ogan | 698</t>
        </is>
      </c>
    </row>
    <row r="443">
      <c r="A443" s="109" t="inlineStr">
        <is>
          <t xml:space="preserve">СУРХОНДАРЁ ВИЛОЯТИ</t>
        </is>
      </c>
      <c r="B443" s="109" t="inlineStr">
        <is>
          <t xml:space="preserve">SUPER BRANCH</t>
        </is>
      </c>
      <c r="C443" s="109" t="inlineStr">
        <is>
          <t xml:space="preserve">Ko'tardi</t>
        </is>
      </c>
      <c r="D443" s="109" t="inlineStr">
        <is>
          <t xml:space="preserve">Кр-99058385-1</t>
        </is>
      </c>
      <c r="E443" s="109" t="inlineStr">
        <is>
          <t xml:space="preserve">RAXMATOVA MAFTUNA AXMADOVNA</t>
        </is>
      </c>
      <c r="F443" s="109" t="inlineStr">
        <is>
          <t xml:space="preserve">998942349989 SMS ukasi, 998932508896 SMS uzi , 998932735262 SMS dadasi,</t>
        </is>
      </c>
      <c r="G443" s="109" t="inlineStr">
        <is>
          <t xml:space="preserve">DENOV TUMANI</t>
        </is>
      </c>
      <c r="H443" s="110">
        <v>3.0</v>
      </c>
      <c r="I443" s="110">
        <v>5097805.14</v>
      </c>
      <c r="K443" s="109" t="inlineStr">
        <is>
          <t xml:space="preserve">ogli bn gaplawdm oy oxrrogida tolo qlad | 1690</t>
        </is>
      </c>
    </row>
    <row r="444">
      <c r="A444" s="109" t="inlineStr">
        <is>
          <t xml:space="preserve">СУРХОНДАРЁ ВИЛОЯТИ</t>
        </is>
      </c>
      <c r="B444" s="109" t="inlineStr">
        <is>
          <t xml:space="preserve">SUPER BRANCH</t>
        </is>
      </c>
      <c r="C444" s="109" t="inlineStr">
        <is>
          <t xml:space="preserve">Ko'tardi</t>
        </is>
      </c>
      <c r="D444" s="109" t="inlineStr">
        <is>
          <t xml:space="preserve">Кр-99039907-1</t>
        </is>
      </c>
      <c r="E444" s="109" t="inlineStr">
        <is>
          <t xml:space="preserve">MURATALIYEV RUZI ERGASHEVICH</t>
        </is>
      </c>
      <c r="F444" s="109" t="inlineStr">
        <is>
          <t xml:space="preserve">998938885958 SMS OZI, 998938840370 SMS ORTOGI, 998938880370 SMS OGLI, 998944081995 SMS OGLI,</t>
        </is>
      </c>
      <c r="G444" s="109" t="inlineStr">
        <is>
          <t xml:space="preserve">SURXONDARYO VILOYATI, JARQO’RG’ON TUMANI ,NURLIDIYOR MFY, CH. TOSHBOLTAYEV KO’CHASI ,10-UY</t>
        </is>
      </c>
      <c r="H444" s="110">
        <v>3.0</v>
      </c>
      <c r="I444" s="110">
        <v>4832433.03</v>
      </c>
      <c r="K444" s="109" t="inlineStr">
        <is>
          <t xml:space="preserve">14 санагача ёпиб бераман деб вада берди</t>
        </is>
      </c>
    </row>
    <row r="445">
      <c r="A445" s="109" t="inlineStr">
        <is>
          <t xml:space="preserve">СУРХОНДАРЁ ВИЛОЯТИ</t>
        </is>
      </c>
      <c r="B445" s="109" t="inlineStr">
        <is>
          <t xml:space="preserve">SUPER BRANCH</t>
        </is>
      </c>
      <c r="C445" s="109" t="inlineStr">
        <is>
          <t xml:space="preserve">Ko'tardi</t>
        </is>
      </c>
      <c r="D445" s="109" t="inlineStr">
        <is>
          <t xml:space="preserve">Кр-99057364-2</t>
        </is>
      </c>
      <c r="E445" s="109" t="inlineStr">
        <is>
          <t xml:space="preserve">RAXMATULLAYEVA IRODA SAYDULLO QIZI</t>
        </is>
      </c>
      <c r="F445" s="109" t="inlineStr">
        <is>
          <t xml:space="preserve">998903771990 SMS OZI, 998777291004 SMS OZI BEGONA, 998975306012 SMS OZI 2, 998888509585 SMS O'ZI NEW,</t>
        </is>
      </c>
      <c r="G445" s="109" t="inlineStr">
        <is>
          <t xml:space="preserve">SURXONDARYO VILOYATI DENOV TUMANI A.JOMIY MFY NODIRABEGIM KO’CHASI 65-UY</t>
        </is>
      </c>
      <c r="H445" s="110">
        <v>3.0</v>
      </c>
      <c r="I445" s="110">
        <v>4664870.67</v>
      </c>
      <c r="K445" s="109" t="inlineStr">
        <is>
          <t xml:space="preserve">onasi bn gaplawdm erm kesa etaman tolo qlad dd | 1623</t>
        </is>
      </c>
    </row>
    <row r="446">
      <c r="A446" s="109" t="inlineStr">
        <is>
          <t xml:space="preserve">СУРХОНДАРЁ ВИЛОЯТИ</t>
        </is>
      </c>
      <c r="B446" s="109" t="inlineStr">
        <is>
          <t xml:space="preserve">SUPER BRANCH</t>
        </is>
      </c>
      <c r="C446" s="109" t="inlineStr">
        <is>
          <t xml:space="preserve">Ko'tardi</t>
        </is>
      </c>
      <c r="D446" s="109" t="inlineStr">
        <is>
          <t xml:space="preserve">Кр-99037958-1</t>
        </is>
      </c>
      <c r="E446" s="109" t="inlineStr">
        <is>
          <t xml:space="preserve">ESANOVA KAMOLA YULDASHEVNA</t>
        </is>
      </c>
      <c r="F446" s="109" t="inlineStr">
        <is>
          <t xml:space="preserve">998939679008 SMS OZI, 998935858080 SMS ERI, 998917141955 SMS ONASI, 998905239973 SMS OPASI,</t>
        </is>
      </c>
      <c r="G446" s="109" t="inlineStr">
        <is>
          <t xml:space="preserve">SURXONDARYO VILOYATI BOYSUN TUMANI POYGABOSHI MFY SEVINCH  K’OCHASI 35-UY </t>
        </is>
      </c>
      <c r="H446" s="110">
        <v>2.0</v>
      </c>
      <c r="I446" s="110">
        <v>4574307.96</v>
      </c>
      <c r="K446" s="109" t="inlineStr">
        <is>
          <t xml:space="preserve">15 сана</t>
        </is>
      </c>
    </row>
    <row r="447">
      <c r="A447" s="109" t="inlineStr">
        <is>
          <t xml:space="preserve">СУРХОНДАРЁ ВИЛОЯТИ</t>
        </is>
      </c>
      <c r="B447" s="109" t="inlineStr">
        <is>
          <t xml:space="preserve">SUPER BRANCH</t>
        </is>
      </c>
      <c r="C447" s="109" t="inlineStr">
        <is>
          <t xml:space="preserve">Ko'tardi</t>
        </is>
      </c>
      <c r="D447" s="109" t="inlineStr">
        <is>
          <t xml:space="preserve">Кр-99037453-1</t>
        </is>
      </c>
      <c r="E447" s="109" t="inlineStr">
        <is>
          <t xml:space="preserve">KENJAYEVA FERUZA ISMATOVNA</t>
        </is>
      </c>
      <c r="F447" s="109" t="inlineStr">
        <is>
          <t xml:space="preserve">998991366283 SMS OZI, 998996737181 SMS TOLOVCHI , 998991678777 SMS O’G’LI, 998997725811 SMS O’G’LI,</t>
        </is>
      </c>
      <c r="G447" s="109" t="inlineStr">
        <is>
          <t xml:space="preserve">SURXONDARYO VILOYATI UZUN  TUMANI TOLTO’GAY  MFY IBNISINON 2-UY</t>
        </is>
      </c>
      <c r="H447" s="110">
        <v>22.0</v>
      </c>
      <c r="I447" s="110">
        <v>4370453.38</v>
      </c>
      <c r="K447" s="109" t="inlineStr">
        <is>
          <t xml:space="preserve">15 dan kyn tolov qlad | 716</t>
        </is>
      </c>
    </row>
    <row r="448">
      <c r="A448" s="109" t="inlineStr">
        <is>
          <t xml:space="preserve">СУРХОНДАРЁ ВИЛОЯТИ</t>
        </is>
      </c>
      <c r="B448" s="109" t="inlineStr">
        <is>
          <t xml:space="preserve">SUPER BRANCH</t>
        </is>
      </c>
      <c r="C448" s="109" t="inlineStr">
        <is>
          <t xml:space="preserve">Ko'tardi</t>
        </is>
      </c>
      <c r="D448" s="109" t="inlineStr">
        <is>
          <t xml:space="preserve">Кр-99037147-1</t>
        </is>
      </c>
      <c r="E448" s="109" t="inlineStr">
        <is>
          <t xml:space="preserve">BURIYEV DAVRON RAVUTOVICH</t>
        </is>
      </c>
      <c r="F448" s="109" t="inlineStr">
        <is>
          <t xml:space="preserve">998772024402 SMS OZI, 998771244402 SMS UYI, 998996641381 SMS  AKASI, 998915183009 SMS UKASI, 998774124402 SMS AYOLI ,</t>
        </is>
      </c>
      <c r="G448" s="109" t="inlineStr">
        <is>
          <t xml:space="preserve">SURXONDARYO VILOYATI DENOV SHAHAR TOTUVLI OLIY QADIRYAT 47-UY</t>
        </is>
      </c>
      <c r="H448" s="110">
        <v>3.0</v>
      </c>
      <c r="I448" s="110">
        <v>4066760.74</v>
      </c>
      <c r="K448" s="109" t="inlineStr">
        <is>
          <t xml:space="preserve">mayda mayda qlb tolov qlad | 696</t>
        </is>
      </c>
    </row>
    <row r="449">
      <c r="A449" s="109" t="inlineStr">
        <is>
          <t xml:space="preserve">СУРХОНДАРЁ ВИЛОЯТИ</t>
        </is>
      </c>
      <c r="B449" s="109" t="inlineStr">
        <is>
          <t xml:space="preserve">SUPER BRANCH</t>
        </is>
      </c>
      <c r="C449" s="109" t="inlineStr">
        <is>
          <t xml:space="preserve">Обещали</t>
        </is>
      </c>
      <c r="D449" s="109" t="inlineStr">
        <is>
          <t xml:space="preserve">Кр-99016214-6</t>
        </is>
      </c>
      <c r="E449" s="109" t="inlineStr">
        <is>
          <t xml:space="preserve">QAYUMOV BOBOXON JUMAYEVICH</t>
        </is>
      </c>
      <c r="F449" s="109" t="inlineStr">
        <is>
          <t xml:space="preserve">97-793-15-12 SMS UZI, 95-501-40-42 SMS UZI , 99-168-92-80 SMS UYI Begona, 998975300046 SMS ONASI,</t>
        </is>
      </c>
      <c r="G449" s="109" t="inlineStr">
        <is>
          <t xml:space="preserve">SOXIBKOR QFY EZGULIK MFY MUSTAQILLIK KO’CHASI 28-UY</t>
        </is>
      </c>
      <c r="H449" s="110">
        <v>3.0</v>
      </c>
      <c r="I449" s="110">
        <v>3529620.55</v>
      </c>
      <c r="K449" s="109" t="inlineStr">
        <is>
          <t xml:space="preserve">qisman tolo qldi erte yopad qoganin | 81</t>
        </is>
      </c>
    </row>
    <row r="450">
      <c r="A450" s="109" t="inlineStr">
        <is>
          <t xml:space="preserve">СУРХОНДАРЁ ВИЛОЯТИ</t>
        </is>
      </c>
      <c r="B450" s="109" t="inlineStr">
        <is>
          <t xml:space="preserve">SUPER BRANCH</t>
        </is>
      </c>
      <c r="C450" s="109" t="inlineStr">
        <is>
          <t xml:space="preserve">Ko'tardi</t>
        </is>
      </c>
      <c r="D450" s="109" t="inlineStr">
        <is>
          <t xml:space="preserve">Кр-99033334-3</t>
        </is>
      </c>
      <c r="E450" s="109" t="inlineStr">
        <is>
          <t xml:space="preserve">JUMAYEV FAXRIDDIN TOHIR O’G’LI</t>
        </is>
      </c>
      <c r="F450" s="109" t="inlineStr">
        <is>
          <t xml:space="preserve">998771679997 SMS O’ZI, 998917147071 SMS AYOLI, 998917327512 SMS ONASI, 998915817170 SMS QAYNONASI,</t>
        </is>
      </c>
      <c r="G450" s="109" t="inlineStr">
        <is>
          <t xml:space="preserve">SURXONDARYO VILOYATI DENOV SHAHRI SANOATCHILIK MFY BIBIXONIM KO'CHASI 25B-UY</t>
        </is>
      </c>
      <c r="H450" s="110">
        <v>3.0</v>
      </c>
      <c r="I450" s="110">
        <v>3200560.17</v>
      </c>
      <c r="K450" s="109" t="inlineStr">
        <is>
          <t xml:space="preserve">ayoli bn gaplawdm 15 dan kyn tolo qlaman dd | 480</t>
        </is>
      </c>
    </row>
    <row r="451">
      <c r="A451" s="109" t="inlineStr">
        <is>
          <t xml:space="preserve">СУРХОНДАРЁ ВИЛОЯТИ</t>
        </is>
      </c>
      <c r="B451" s="109" t="inlineStr">
        <is>
          <t xml:space="preserve">SUPER BRANCH</t>
        </is>
      </c>
      <c r="C451" s="109" t="inlineStr">
        <is>
          <t xml:space="preserve">Ko'tardi</t>
        </is>
      </c>
      <c r="D451" s="109" t="inlineStr">
        <is>
          <t xml:space="preserve">Кр-99039843-1</t>
        </is>
      </c>
      <c r="E451" s="109" t="inlineStr">
        <is>
          <t xml:space="preserve">MARDAYEV RUSLAN MAMATALIYEVICH</t>
        </is>
      </c>
      <c r="F451" s="109" t="inlineStr">
        <is>
          <t xml:space="preserve">998970397888 SMS OZI, 998975310659 SMS OTASAI, 998976961461 SMS ONASI, 998886929191 SMS UKASI,</t>
        </is>
      </c>
      <c r="G451" s="109" t="inlineStr">
        <is>
          <t xml:space="preserve">SURXONDARYO VILOYAT MUZRABOT TUMAN XALQYO’LI MFY O’RMON XO’JALIGI KO’CHASI 34-UY</t>
        </is>
      </c>
      <c r="H451" s="110">
        <v>3.0</v>
      </c>
      <c r="I451" s="110">
        <v>2820762.36</v>
      </c>
      <c r="K451" s="109" t="inlineStr">
        <is>
          <t xml:space="preserve">отасига айтилди угли антена йук жойда ишлайди экан</t>
        </is>
      </c>
    </row>
    <row r="452">
      <c r="A452" s="109" t="inlineStr">
        <is>
          <t xml:space="preserve">СУРХОНДАРЁ ВИЛОЯТИ</t>
        </is>
      </c>
      <c r="B452" s="109" t="inlineStr">
        <is>
          <t xml:space="preserve">SUPER BRANCH</t>
        </is>
      </c>
      <c r="C452" s="109" t="inlineStr">
        <is>
          <t xml:space="preserve">Ko'tardi</t>
        </is>
      </c>
      <c r="D452" s="109" t="inlineStr">
        <is>
          <t xml:space="preserve">Кр-99037123-1</t>
        </is>
      </c>
      <c r="E452" s="109" t="inlineStr">
        <is>
          <t xml:space="preserve">UMAROV ISROYILJON MAMAJONOVICH</t>
        </is>
      </c>
      <c r="F452" s="109" t="inlineStr">
        <is>
          <t xml:space="preserve">998993451982 SMS OZI, 998885311221 SMS UY, 998900400044 SMS OGLI BEGONA, 998882479680 SMS AKASI, 998975351151 SMS O'ZI , 998772751151 ozi new,</t>
        </is>
      </c>
      <c r="G452" s="109" t="inlineStr">
        <is>
          <t xml:space="preserve">SURXONDARYO VILOYATI DENOV TUMANI TOTUVLI MFY GULBAHOR K’OCHASI 78-UY</t>
        </is>
      </c>
      <c r="H452" s="110">
        <v>6.0</v>
      </c>
      <c r="I452" s="110">
        <v>2686987.14</v>
      </c>
      <c r="K452" s="109" t="inlineStr">
        <is>
          <t xml:space="preserve">dosti kotard isroyiljon ozi cetda pul tawedi | 693</t>
        </is>
      </c>
    </row>
    <row r="453">
      <c r="A453" s="109" t="inlineStr">
        <is>
          <t xml:space="preserve">СУРХОНДАРЁ ВИЛОЯТИ</t>
        </is>
      </c>
      <c r="B453" s="109" t="inlineStr">
        <is>
          <t xml:space="preserve">SUPER BRANCH</t>
        </is>
      </c>
      <c r="C453" s="109" t="inlineStr">
        <is>
          <t xml:space="preserve">Ko'tardi</t>
        </is>
      </c>
      <c r="D453" s="109" t="inlineStr">
        <is>
          <t xml:space="preserve">Кр-99038880-1</t>
        </is>
      </c>
      <c r="E453" s="109" t="inlineStr">
        <is>
          <t xml:space="preserve">ULUG’BERDIYEVA SEVARA ESHDAVLATOVNA</t>
        </is>
      </c>
      <c r="F453" s="109" t="inlineStr">
        <is>
          <t xml:space="preserve">998977398486 SMS OZI, 998979078486 SMS UY, 998907472609 SMS AKASI, 998915878454 SMS NAZIR AKA ,</t>
        </is>
      </c>
      <c r="G453" s="109" t="inlineStr">
        <is>
          <t xml:space="preserve">SHO’RCHI TUMANI</t>
        </is>
      </c>
      <c r="H453" s="110">
        <v>23.0</v>
      </c>
      <c r="I453" s="110">
        <v>2533666.85</v>
      </c>
      <c r="K453" s="109" t="inlineStr">
        <is>
          <t xml:space="preserve">abror tolo qlw kk | 805</t>
        </is>
      </c>
    </row>
    <row r="454">
      <c r="A454" s="109" t="inlineStr">
        <is>
          <t xml:space="preserve">СУРХОНДАРЁ ВИЛОЯТИ</t>
        </is>
      </c>
      <c r="B454" s="109" t="inlineStr">
        <is>
          <t xml:space="preserve">SUPER BRANCH</t>
        </is>
      </c>
      <c r="C454" s="109" t="inlineStr">
        <is>
          <t xml:space="preserve">Ko'tardi</t>
        </is>
      </c>
      <c r="D454" s="109" t="inlineStr">
        <is>
          <t xml:space="preserve">Кр-99021671-3</t>
        </is>
      </c>
      <c r="E454" s="109" t="inlineStr">
        <is>
          <t xml:space="preserve">SAFAROVA ILMIRA BOZOR QIZI</t>
        </is>
      </c>
      <c r="F454" s="109" t="inlineStr">
        <is>
          <t xml:space="preserve">99-718-98-01 SMS OZI, 88-301-93-01  SMS UY BEGONA , 95-222-35-71 SMS , 998951906881 akasi tolovchi,</t>
        </is>
      </c>
      <c r="G454" s="109" t="inlineStr">
        <is>
          <t xml:space="preserve">SURXONDARYO VILOYATI DENOV TUMANI LAG’MONOTA MFY BAXT K’OCHASI 39-UY </t>
        </is>
      </c>
      <c r="H454" s="110">
        <v>3.0</v>
      </c>
      <c r="I454" s="110">
        <v>2394479.78</v>
      </c>
      <c r="K454" s="109" t="inlineStr">
        <is>
          <t xml:space="preserve">oyni oxrda tolo qlad | 142</t>
        </is>
      </c>
    </row>
    <row r="455">
      <c r="A455" s="109" t="inlineStr">
        <is>
          <t xml:space="preserve">СУРХОНДАРЁ ВИЛОЯТИ</t>
        </is>
      </c>
      <c r="B455" s="109" t="inlineStr">
        <is>
          <t xml:space="preserve">SUPER BRANCH</t>
        </is>
      </c>
      <c r="C455" s="109" t="inlineStr">
        <is>
          <t xml:space="preserve">Ko'tardi</t>
        </is>
      </c>
      <c r="D455" s="109" t="inlineStr">
        <is>
          <t xml:space="preserve">Кр-99036477-1</t>
        </is>
      </c>
      <c r="E455" s="109" t="inlineStr">
        <is>
          <t xml:space="preserve">MALIKOVA DILFUZA FARXODOVNA</t>
        </is>
      </c>
      <c r="F455" s="109" t="inlineStr">
        <is>
          <t xml:space="preserve">998942626009 SMS OZI, 998888100600 SMS DOSTI, 998919000061 SMS ERI, 998947086666 SMS ERI,</t>
        </is>
      </c>
      <c r="G455" s="109" t="inlineStr">
        <is>
          <t xml:space="preserve">SURXANDARYO VILOYATI SHEROBOD TUMANI HO’JGI MAXALLASI SH.SHOBERDIYEV KUCHASI 59 UY</t>
        </is>
      </c>
      <c r="H455" s="110">
        <v>3.0</v>
      </c>
      <c r="I455" s="110">
        <v>2366744.25</v>
      </c>
      <c r="K455" s="109" t="inlineStr">
        <is>
          <t xml:space="preserve">16 санада эри тулов килишини айтди | фелиалга айтиш керак</t>
        </is>
      </c>
    </row>
    <row r="456">
      <c r="A456" s="109" t="inlineStr">
        <is>
          <t xml:space="preserve">СУРХОНДАРЁ ВИЛОЯТИ</t>
        </is>
      </c>
      <c r="B456" s="109" t="inlineStr">
        <is>
          <t xml:space="preserve">SUPER BRANCH</t>
        </is>
      </c>
      <c r="C456" s="109" t="inlineStr">
        <is>
          <t xml:space="preserve">Ko'tardi</t>
        </is>
      </c>
      <c r="D456" s="109" t="inlineStr">
        <is>
          <t xml:space="preserve">Кр-99035839-1</t>
        </is>
      </c>
      <c r="E456" s="109" t="inlineStr">
        <is>
          <t xml:space="preserve">NAZAROV SOATMUROT BOBONAZAROVICH</t>
        </is>
      </c>
      <c r="F456" s="109" t="inlineStr">
        <is>
          <t xml:space="preserve">998904112878 SMS tulovchi quruvchi, 998915861956 SMS OZI, 998915103380 SMS UY, 998952790593 SMS OGLI,</t>
        </is>
      </c>
      <c r="G456" s="109" t="inlineStr">
        <is>
          <t xml:space="preserve">SURXONDARYO VILOYATI DENOV TUMANI XAYRABOD QFY PAXTAKURASH MFY SURXONDARYO KO'CHASI 22-UY</t>
        </is>
      </c>
      <c r="H456" s="110">
        <v>3.0</v>
      </c>
      <c r="I456" s="110">
        <v>2336918.7</v>
      </c>
      <c r="K456" s="109" t="inlineStr">
        <is>
          <t xml:space="preserve">15 dan kyn tolov qladi | 616</t>
        </is>
      </c>
    </row>
    <row r="457">
      <c r="A457" s="109" t="inlineStr">
        <is>
          <t xml:space="preserve">СУРХОНДАРЁ ВИЛОЯТИ</t>
        </is>
      </c>
      <c r="B457" s="109" t="inlineStr">
        <is>
          <t xml:space="preserve">SUPER BRANCH</t>
        </is>
      </c>
      <c r="C457" s="109" t="inlineStr">
        <is>
          <t xml:space="preserve">Ko'tardi</t>
        </is>
      </c>
      <c r="D457" s="109" t="inlineStr">
        <is>
          <t xml:space="preserve">Кр-99035122-4</t>
        </is>
      </c>
      <c r="E457" s="109" t="inlineStr">
        <is>
          <t xml:space="preserve">METTIYEVA MAYRAMXON QURBONOVNA</t>
        </is>
      </c>
      <c r="F457" s="109" t="inlineStr">
        <is>
          <t xml:space="preserve">998507288828 SMS O’ZI, 998881929086 SMS UY, 998919101784 SMS ERI, 998887289693 SMS QIZI,</t>
        </is>
      </c>
      <c r="G457" s="109" t="inlineStr">
        <is>
          <t xml:space="preserve">SURXONDARYO VILOYATI SHORCHI TUMANI GO’ZALLIK MFY BOSTON KO’CHASI 17-UY</t>
        </is>
      </c>
      <c r="H457" s="110">
        <v>3.0</v>
      </c>
      <c r="I457" s="110">
        <v>2317212.25</v>
      </c>
      <c r="K457" s="109" t="inlineStr">
        <is>
          <t xml:space="preserve">qzi kotard ayam kesn etaman dd | 569</t>
        </is>
      </c>
    </row>
    <row r="458">
      <c r="A458" s="109" t="inlineStr">
        <is>
          <t xml:space="preserve">СУРХОНДАРЁ ВИЛОЯТИ</t>
        </is>
      </c>
      <c r="B458" s="109" t="inlineStr">
        <is>
          <t xml:space="preserve">SUPER BRANCH</t>
        </is>
      </c>
      <c r="C458" s="109" t="inlineStr">
        <is>
          <t xml:space="preserve">Ko'tardi</t>
        </is>
      </c>
      <c r="D458" s="109" t="inlineStr">
        <is>
          <t xml:space="preserve">Кр-99022239-5</t>
        </is>
      </c>
      <c r="E458" s="109" t="inlineStr">
        <is>
          <t xml:space="preserve">MAXMUDOV AZAMAT ABDUXALIMOVICH</t>
        </is>
      </c>
      <c r="F458" s="109" t="inlineStr">
        <is>
          <t xml:space="preserve">99-428-85-81 SMS, 93-838-85-01  SMS UY, 91-581-86-56  SMS ZALOGADATEL, 998947851179 shu raqamdan tel qildi azamat ,</t>
        </is>
      </c>
      <c r="G458" s="109" t="inlineStr">
        <is>
          <t xml:space="preserve">SURXONDARYO VILOYATI SARIOSIYO TUMANI SUFIYON QFY NIHOLZOR MFY TINCHLIK K’OCHASI 46-UY</t>
        </is>
      </c>
      <c r="H458" s="110">
        <v>3.0</v>
      </c>
      <c r="I458" s="110">
        <v>2293627.08</v>
      </c>
      <c r="K458" s="109" t="inlineStr">
        <is>
          <t xml:space="preserve">25 dan kyn tolo qlad | 154</t>
        </is>
      </c>
    </row>
    <row r="459">
      <c r="A459" s="109" t="inlineStr">
        <is>
          <t xml:space="preserve">СУРХОНДАРЁ ВИЛОЯТИ</t>
        </is>
      </c>
      <c r="B459" s="109" t="inlineStr">
        <is>
          <t xml:space="preserve">SUPER BRANCH</t>
        </is>
      </c>
      <c r="C459" s="109" t="inlineStr">
        <is>
          <t xml:space="preserve">Ko'tardi</t>
        </is>
      </c>
      <c r="D459" s="109" t="inlineStr">
        <is>
          <t xml:space="preserve">Кр-99038307-1</t>
        </is>
      </c>
      <c r="E459" s="109" t="inlineStr">
        <is>
          <t xml:space="preserve">RAXMONOV BUNYOD ASADOVICH</t>
        </is>
      </c>
      <c r="F459" s="109" t="inlineStr">
        <is>
          <t xml:space="preserve">998975367277 SMS OZI, 998771262677 SMS AKASI, 998771071776 SMS UYI,</t>
        </is>
      </c>
      <c r="G459" s="109" t="inlineStr">
        <is>
          <t xml:space="preserve">SURXONDARYO VILOYATI OLTINSOY TUMANI ZARDAKUL MFY OLMAZOR 378 A UY</t>
        </is>
      </c>
      <c r="H459" s="110">
        <v>17.0</v>
      </c>
      <c r="I459" s="110">
        <v>2235427.73</v>
      </c>
      <c r="K459" s="109" t="inlineStr">
        <is>
          <t xml:space="preserve">abror ogan | 763</t>
        </is>
      </c>
    </row>
    <row r="460">
      <c r="A460" s="109" t="inlineStr">
        <is>
          <t xml:space="preserve">СУРХОНДАРЁ ВИЛОЯТИ</t>
        </is>
      </c>
      <c r="B460" s="109" t="inlineStr">
        <is>
          <t xml:space="preserve">SUPER BRANCH</t>
        </is>
      </c>
      <c r="C460" s="109" t="inlineStr">
        <is>
          <t xml:space="preserve">Ko'tardi</t>
        </is>
      </c>
      <c r="D460" s="109" t="inlineStr">
        <is>
          <t xml:space="preserve">Кр-99039689-2</t>
        </is>
      </c>
      <c r="E460" s="109" t="inlineStr">
        <is>
          <t xml:space="preserve">TOGOYMURADOV FARXOD TO’LQINOVICH</t>
        </is>
      </c>
      <c r="F460" s="109" t="inlineStr">
        <is>
          <t xml:space="preserve">998999457409 SMS OZI, 998950787747 SMS OGLI, 998990130098 SMS OGLI,</t>
        </is>
      </c>
      <c r="G460" s="109" t="inlineStr">
        <is>
          <t xml:space="preserve">SURXONDARYO VILOYAT, ANGOR TUMAN FAROVON MFY 20W/200-UY</t>
        </is>
      </c>
      <c r="H460" s="110">
        <v>3.0</v>
      </c>
      <c r="I460" s="110">
        <v>2110347.58</v>
      </c>
      <c r="K460" s="109" t="inlineStr">
        <is>
          <t xml:space="preserve">13 санада тулов килади</t>
        </is>
      </c>
    </row>
    <row r="461">
      <c r="A461" s="109" t="inlineStr">
        <is>
          <t xml:space="preserve">СУРХОНДАРЁ ВИЛОЯТИ</t>
        </is>
      </c>
      <c r="B461" s="109" t="inlineStr">
        <is>
          <t xml:space="preserve">SUPER BRANCH</t>
        </is>
      </c>
      <c r="C461" s="109" t="inlineStr">
        <is>
          <t xml:space="preserve">Ko'tardi</t>
        </is>
      </c>
      <c r="D461" s="109" t="inlineStr">
        <is>
          <t xml:space="preserve">Кр-99024483-2</t>
        </is>
      </c>
      <c r="E461" s="109" t="inlineStr">
        <is>
          <t xml:space="preserve">DONAYEV OLIM ERGASHEVICH</t>
        </is>
      </c>
      <c r="F461" s="109" t="inlineStr">
        <is>
          <t xml:space="preserve">998994029792 SMS OZI, 998975368566 SMS AKASI, 998992948821 SMS UYI, 998972441330 SMS AKASI,</t>
        </is>
      </c>
      <c r="G461" s="109" t="inlineStr">
        <is>
          <t xml:space="preserve">SURXONDARYO VILOYATI DENOV TUMANI KORAXON MFY KARVANYOLI KO’CHASI 100-UY  </t>
        </is>
      </c>
      <c r="H461" s="110">
        <v>3.0</v>
      </c>
      <c r="I461" s="110">
        <v>2094607.45</v>
      </c>
      <c r="K461" s="109" t="inlineStr">
        <is>
          <t xml:space="preserve">abror yopadi | 180</t>
        </is>
      </c>
    </row>
    <row r="462">
      <c r="A462" s="109" t="inlineStr">
        <is>
          <t xml:space="preserve">СУРХОНДАРЁ ВИЛОЯТИ</t>
        </is>
      </c>
      <c r="B462" s="109" t="inlineStr">
        <is>
          <t xml:space="preserve">SUPER BRANCH</t>
        </is>
      </c>
      <c r="C462" s="109" t="inlineStr">
        <is>
          <t xml:space="preserve">Ko'tardi</t>
        </is>
      </c>
      <c r="D462" s="109" t="inlineStr">
        <is>
          <t xml:space="preserve">Кр-99025697-2</t>
        </is>
      </c>
      <c r="E462" s="109" t="inlineStr">
        <is>
          <t xml:space="preserve">KIPCHAKOV RUSTAM SULTANOVICH</t>
        </is>
      </c>
      <c r="F462" s="109" t="inlineStr">
        <is>
          <t xml:space="preserve">91-134-38-00 SMS, 90-246-76-15 SMS UY, 95-103-38-00 SMS OILASI, 91-967-50-50 SMS O’G’LI,</t>
        </is>
      </c>
      <c r="G462" s="109" t="inlineStr">
        <is>
          <t xml:space="preserve">SURXONDARYO VILOYATI DENOV SHAXAR ISTIQLOL MFY XUSAYN BOYQORO KOCHASI 5-UY</t>
        </is>
      </c>
      <c r="H462" s="110">
        <v>3.0</v>
      </c>
      <c r="I462" s="110">
        <v>2087479.83</v>
      </c>
      <c r="K462" s="109" t="inlineStr">
        <is>
          <t xml:space="preserve">abror yopadi | 194</t>
        </is>
      </c>
    </row>
    <row r="463">
      <c r="A463" s="109" t="inlineStr">
        <is>
          <t xml:space="preserve">СУРХОНДАРЁ ВИЛОЯТИ</t>
        </is>
      </c>
      <c r="B463" s="109" t="inlineStr">
        <is>
          <t xml:space="preserve">SUPER BRANCH</t>
        </is>
      </c>
      <c r="C463" s="109" t="inlineStr">
        <is>
          <t xml:space="preserve">Ko'tardi</t>
        </is>
      </c>
      <c r="D463" s="109" t="inlineStr">
        <is>
          <t xml:space="preserve">Кр-99040116-2</t>
        </is>
      </c>
      <c r="E463" s="109" t="inlineStr">
        <is>
          <t xml:space="preserve">KAMOLOV XAMZA BOBONIYOZ O’G’LI</t>
        </is>
      </c>
      <c r="F463" s="109" t="inlineStr">
        <is>
          <t xml:space="preserve">+998900723252 SMS O’ZI, 998930400619 SMS UKASI, 998978080827 SMS AYOLI, 998902569698 SMS OTASI, 998906639649 SMS AYOLI,</t>
        </is>
      </c>
      <c r="G463" s="109" t="inlineStr">
        <is>
          <t xml:space="preserve">Сурхандарьинская область, Денауский район, Шахринав МСГ, ул. Қизилсув, дом 70</t>
        </is>
      </c>
      <c r="I463" s="110">
        <v>1962988.82</v>
      </c>
      <c r="K463" s="109" t="inlineStr">
        <is>
          <t xml:space="preserve">duwanb kuni tolo qlad | 951</t>
        </is>
      </c>
    </row>
    <row r="464">
      <c r="A464" s="109" t="inlineStr">
        <is>
          <t xml:space="preserve">СУРХОНДАРЁ ВИЛОЯТИ</t>
        </is>
      </c>
      <c r="B464" s="109" t="inlineStr">
        <is>
          <t xml:space="preserve">SUPER BRANCH</t>
        </is>
      </c>
      <c r="C464" s="109" t="inlineStr">
        <is>
          <t xml:space="preserve">Ko'tardi</t>
        </is>
      </c>
      <c r="D464" s="109" t="inlineStr">
        <is>
          <t xml:space="preserve">Кр-99053010-1</t>
        </is>
      </c>
      <c r="E464" s="109" t="inlineStr">
        <is>
          <t xml:space="preserve">TUXTAYEV AKBAR XAYRULLA O’G’LI</t>
        </is>
      </c>
      <c r="F464" s="109" t="inlineStr">
        <is>
          <t xml:space="preserve">998902884898 SMS OZI, 998931739806 SMS AYOLI, 998942673698 SMS DADASI, 998937040616 SMS ONASI,</t>
        </is>
      </c>
      <c r="G464" s="109" t="inlineStr">
        <is>
          <t xml:space="preserve">SURXANDARYO VILOYATI MUZRABOT TUMANI MEXNATOBOD MFY QAXRAMON-1 GUZARI 56-UY</t>
        </is>
      </c>
      <c r="H464" s="110">
        <v>3.0</v>
      </c>
      <c r="I464" s="110">
        <v>1778525.34</v>
      </c>
      <c r="K464" s="109" t="inlineStr">
        <is>
          <t xml:space="preserve">хотини бн гаплашилди шу ойдан колдирмай тулов килишини айтди</t>
        </is>
      </c>
    </row>
    <row r="465">
      <c r="A465" s="109" t="inlineStr">
        <is>
          <t xml:space="preserve">СУРХОНДАРЁ ВИЛОЯТИ</t>
        </is>
      </c>
      <c r="B465" s="109" t="inlineStr">
        <is>
          <t xml:space="preserve">SUPER BRANCH</t>
        </is>
      </c>
      <c r="C465" s="109" t="inlineStr">
        <is>
          <t xml:space="preserve">Ko'tardi</t>
        </is>
      </c>
      <c r="D465" s="109" t="inlineStr">
        <is>
          <t xml:space="preserve">Кр-99055707-1</t>
        </is>
      </c>
      <c r="E465" s="109" t="inlineStr">
        <is>
          <t xml:space="preserve">ALLAQULOV BEGALI NORBOYEVICH</t>
        </is>
      </c>
      <c r="F465" s="109" t="inlineStr">
        <is>
          <t xml:space="preserve">998905204042 SMS, 998993005750 SMS, 998994661110 SMS,</t>
        </is>
      </c>
      <c r="G465" s="109" t="inlineStr">
        <is>
          <t xml:space="preserve">MUZRABOT TUMANI</t>
        </is>
      </c>
      <c r="H465" s="110">
        <v>3.0</v>
      </c>
      <c r="I465" s="110">
        <v>1765826.31</v>
      </c>
      <c r="K465" s="109" t="inlineStr">
        <is>
          <t xml:space="preserve">фелиал менга тел килсин ташаб бераман деди</t>
        </is>
      </c>
    </row>
    <row r="466">
      <c r="A466" s="109" t="inlineStr">
        <is>
          <t xml:space="preserve">СУРХОНДАРЁ ВИЛОЯТИ</t>
        </is>
      </c>
      <c r="B466" s="109" t="inlineStr">
        <is>
          <t xml:space="preserve">SUPER BRANCH</t>
        </is>
      </c>
      <c r="C466" s="109" t="inlineStr">
        <is>
          <t xml:space="preserve">Ko'tardi</t>
        </is>
      </c>
      <c r="D466" s="109" t="inlineStr">
        <is>
          <t xml:space="preserve">Кр-99014251-5</t>
        </is>
      </c>
      <c r="E466" s="109" t="inlineStr">
        <is>
          <t xml:space="preserve">QULTURAYEV ERKIN NORMURATOVICH</t>
        </is>
      </c>
      <c r="F466" s="109" t="inlineStr">
        <is>
          <t xml:space="preserve">99-585-33-40 SMS , 91-077-87-80 SMS  UKASI AVAZBEK, 90-747-12-15 SMS  O’G’LI MUXRIDDIN, 91-574-59-37 SMS  UY, 90-375-04-75 SMS OZI SHU , 998915740475 ozi  new,</t>
        </is>
      </c>
      <c r="G466" s="109" t="inlineStr">
        <is>
          <t xml:space="preserve">SURXONDARYO VILOYATI DENOV TUMANI CHAMBIL MFY TINCHLIK KO’CHASI 67-UY</t>
        </is>
      </c>
      <c r="H466" s="110">
        <v>3.0</v>
      </c>
      <c r="I466" s="110">
        <v>1696767.27</v>
      </c>
      <c r="K466" s="109" t="inlineStr">
        <is>
          <t xml:space="preserve">abror bn wahnoz ogan | 77</t>
        </is>
      </c>
    </row>
    <row r="467">
      <c r="A467" s="109" t="inlineStr">
        <is>
          <t xml:space="preserve">СУРХОНДАРЁ ВИЛОЯТИ</t>
        </is>
      </c>
      <c r="B467" s="109" t="inlineStr">
        <is>
          <t xml:space="preserve">SUPER BRANCH</t>
        </is>
      </c>
      <c r="C467" s="109" t="inlineStr">
        <is>
          <t xml:space="preserve">Оплатил дозвон</t>
        </is>
      </c>
      <c r="D467" s="109" t="inlineStr">
        <is>
          <t xml:space="preserve">Кр-99061497-1</t>
        </is>
      </c>
      <c r="E467" s="109" t="inlineStr">
        <is>
          <t xml:space="preserve">XIDIROV O’TKIRBEK BAHODIR O’G’LI</t>
        </is>
      </c>
      <c r="F467" s="109" t="inlineStr">
        <is>
          <t xml:space="preserve">+998945124647 SMS OZI, 998919073838 SMS HAMKASBI, 998958702770 SMS AKASI,</t>
        </is>
      </c>
      <c r="G467" s="109" t="inlineStr">
        <is>
          <t xml:space="preserve">SURXONDARYO VILOYATI OLTINSOY TUMANI TO’XTAMISH SUVLISOY QISHLOG’I 57-UY</t>
        </is>
      </c>
      <c r="H467" s="110">
        <v>3.0</v>
      </c>
      <c r="I467" s="110">
        <v>1545007.45</v>
      </c>
      <c r="J467" s="110">
        <v>1545007.45</v>
      </c>
      <c r="K467" s="109" t="inlineStr">
        <is>
          <t xml:space="preserve">oylik tolovi yopildi | 1780</t>
        </is>
      </c>
    </row>
    <row r="468">
      <c r="A468" s="109" t="inlineStr">
        <is>
          <t xml:space="preserve">СУРХОНДАРЁ ВИЛОЯТИ</t>
        </is>
      </c>
      <c r="B468" s="109" t="inlineStr">
        <is>
          <t xml:space="preserve">SUPER BRANCH</t>
        </is>
      </c>
      <c r="C468" s="109" t="inlineStr">
        <is>
          <t xml:space="preserve">Ko'tardi</t>
        </is>
      </c>
      <c r="D468" s="109" t="inlineStr">
        <is>
          <t xml:space="preserve">Кр-99020977-6</t>
        </is>
      </c>
      <c r="E468" s="109" t="inlineStr">
        <is>
          <t xml:space="preserve">KASIMOV OYBEK ACHILOVICH</t>
        </is>
      </c>
      <c r="F468" s="109" t="inlineStr">
        <is>
          <t xml:space="preserve">91-587-81-81 SMS OZI, 93-798-82-82  SMS UY, 91-510-24-44 SMS , +998915878181 Primary phone from road24, 998915878181 Primary phone from road24,</t>
        </is>
      </c>
      <c r="G468" s="109" t="inlineStr">
        <is>
          <t xml:space="preserve">Сурхандарьинская область, Кизирикский район, Етимқум МСГ, ул. Ислом Каримов, дом 25</t>
        </is>
      </c>
      <c r="H468" s="110">
        <v>3.0</v>
      </c>
      <c r="I468" s="110">
        <v>1491972.03</v>
      </c>
      <c r="K468" s="109" t="inlineStr">
        <is>
          <t xml:space="preserve">хотини бн гаплашилди 915102424 Душанба куни тулов килишини айтди</t>
        </is>
      </c>
    </row>
    <row r="469">
      <c r="A469" s="109" t="inlineStr">
        <is>
          <t xml:space="preserve">СУРХОНДАРЁ ВИЛОЯТИ</t>
        </is>
      </c>
      <c r="B469" s="109" t="inlineStr">
        <is>
          <t xml:space="preserve">SUPER BRANCH</t>
        </is>
      </c>
      <c r="C469" s="109" t="inlineStr">
        <is>
          <t xml:space="preserve">Ko'tardi</t>
        </is>
      </c>
      <c r="D469" s="109" t="inlineStr">
        <is>
          <t xml:space="preserve">Кр-99039405-1</t>
        </is>
      </c>
      <c r="E469" s="109" t="inlineStr">
        <is>
          <t xml:space="preserve">XURRAMOV HUSNIDDIN XAYRULLAYEVICH</t>
        </is>
      </c>
      <c r="F469" s="109" t="inlineStr">
        <is>
          <t xml:space="preserve">998884466040 SMS OZI, 998881941101 SMS SHERIGI, 998888720097 SMS ZALOGATEL, 998334200404 SMS OZI,</t>
        </is>
      </c>
      <c r="G469" s="109" t="inlineStr">
        <is>
          <t xml:space="preserve">SURXONDARYO VILOYATI DENOV TUMANI XAYRABOD QFY SHAMOLI MFY TOJIMAHAL 39-UY</t>
        </is>
      </c>
      <c r="H469" s="110">
        <v>1.0</v>
      </c>
      <c r="I469" s="110">
        <v>1354370.23</v>
      </c>
      <c r="K469" s="109" t="inlineStr">
        <is>
          <t xml:space="preserve">kyng hafta tolo qlad | 857</t>
        </is>
      </c>
    </row>
    <row r="470">
      <c r="A470" s="109" t="inlineStr">
        <is>
          <t xml:space="preserve">СУРХОНДАРЁ ВИЛОЯТИ</t>
        </is>
      </c>
      <c r="B470" s="109" t="inlineStr">
        <is>
          <t xml:space="preserve">SUPER BRANCH</t>
        </is>
      </c>
      <c r="C470" s="109" t="inlineStr">
        <is>
          <t xml:space="preserve">Ko'tardi</t>
        </is>
      </c>
      <c r="D470" s="109" t="inlineStr">
        <is>
          <t xml:space="preserve">Кр-99063093-1</t>
        </is>
      </c>
      <c r="E470" s="109" t="inlineStr">
        <is>
          <t xml:space="preserve">SHOPULATOV JAHONGIR OTABEK O’G’LI</t>
        </is>
      </c>
      <c r="F470" s="109" t="inlineStr">
        <is>
          <t xml:space="preserve">998937989939 OZI, 998919065400 AKASI,</t>
        </is>
      </c>
      <c r="G470" s="109" t="inlineStr">
        <is>
          <t xml:space="preserve">SURXONDARYO VILOYATI TERMIZ TUMAN JOYJANGAL MFY NURONIY KO’CHASI 102-UY</t>
        </is>
      </c>
      <c r="H470" s="110">
        <v>3.0</v>
      </c>
      <c r="I470" s="110">
        <v>1310068.45</v>
      </c>
      <c r="K470" s="109" t="inlineStr">
        <is>
          <t xml:space="preserve">ходим ой охиригача</t>
        </is>
      </c>
    </row>
    <row r="471">
      <c r="A471" s="109" t="inlineStr">
        <is>
          <t xml:space="preserve">СУРХОНДАРЁ ВИЛОЯТИ</t>
        </is>
      </c>
      <c r="B471" s="109" t="inlineStr">
        <is>
          <t xml:space="preserve">SUPER BRANCH</t>
        </is>
      </c>
      <c r="C471" s="109" t="inlineStr">
        <is>
          <t xml:space="preserve">Ko'tardi</t>
        </is>
      </c>
      <c r="D471" s="109" t="inlineStr">
        <is>
          <t xml:space="preserve">Кр-99033434-2</t>
        </is>
      </c>
      <c r="E471" s="109" t="inlineStr">
        <is>
          <t xml:space="preserve">KARAYEVA UMIDA SHAMSIDDINOVNA</t>
        </is>
      </c>
      <c r="F471" s="109" t="inlineStr">
        <is>
          <t xml:space="preserve">998953102200 SMS O’ZI, 998996144777 SMS ERI, 998952260624 SMS UKASI, 998995522016 SMS TELEGRAM NOMER,</t>
        </is>
      </c>
      <c r="G471" s="109" t="inlineStr">
        <is>
          <t xml:space="preserve">SURXONDARYO VILOYATI DENOV TUMANI PISTAMOZOR  MFY LOCHIN DEKONCHLIK  51-UY</t>
        </is>
      </c>
      <c r="H471" s="110">
        <v>2.0</v>
      </c>
      <c r="I471" s="110">
        <v>1149232.06</v>
      </c>
      <c r="K471" s="109" t="inlineStr">
        <is>
          <t xml:space="preserve">oyni oxrda yigib tolo qlad ozi taxi qlad | 491</t>
        </is>
      </c>
    </row>
    <row r="472">
      <c r="A472" s="109" t="inlineStr">
        <is>
          <t xml:space="preserve">СУРХОНДАРЁ ВИЛОЯТИ</t>
        </is>
      </c>
      <c r="B472" s="109" t="inlineStr">
        <is>
          <t xml:space="preserve">SUPER BRANCH</t>
        </is>
      </c>
      <c r="C472" s="109" t="inlineStr">
        <is>
          <t xml:space="preserve">Ko'tardi</t>
        </is>
      </c>
      <c r="D472" s="109" t="inlineStr">
        <is>
          <t xml:space="preserve">Кр-99040374-1</t>
        </is>
      </c>
      <c r="E472" s="109" t="inlineStr">
        <is>
          <t xml:space="preserve">KARSHIYEV TAJIMURAT PRIMOVICH</t>
        </is>
      </c>
      <c r="F472" s="109" t="inlineStr">
        <is>
          <t xml:space="preserve">998993876160 SMS OZI, 998997284700 SMS OGLI, 998991496886 SMS OGLI,</t>
        </is>
      </c>
      <c r="G472" s="109" t="inlineStr">
        <is>
          <t xml:space="preserve">SURXONDARYO VILOYATI QUMQO'RG'ON TUMANI DAVLATSOY MAXALLASI USTALAR KO'CHASI 26-UY</t>
        </is>
      </c>
      <c r="I472" s="110">
        <v>1107874.4</v>
      </c>
      <c r="K472" s="109" t="inlineStr">
        <is>
          <t xml:space="preserve">ogli kotardi etaman dd | 1007</t>
        </is>
      </c>
    </row>
    <row r="473">
      <c r="A473" s="109" t="inlineStr">
        <is>
          <t xml:space="preserve">СУРХОНДАРЁ ВИЛОЯТИ</t>
        </is>
      </c>
      <c r="B473" s="109" t="inlineStr">
        <is>
          <t xml:space="preserve">SUPER BRANCH</t>
        </is>
      </c>
      <c r="C473" s="109" t="inlineStr">
        <is>
          <t xml:space="preserve">Обещали</t>
        </is>
      </c>
      <c r="D473" s="109" t="inlineStr">
        <is>
          <t xml:space="preserve">Кр-99030594-2</t>
        </is>
      </c>
      <c r="E473" s="109" t="inlineStr">
        <is>
          <t xml:space="preserve">SHAIMOV NODIRBEK ISMOILOVICH</t>
        </is>
      </c>
      <c r="F473" s="109" t="inlineStr">
        <is>
          <t xml:space="preserve">97-076-89-99 SMS O’ZI, 97-194-39-99  SMS UKASI, 99-599-99-43  SMS UKASI 2 begona tel qimanglar, 50-071-10-03  SMS UY begona,</t>
        </is>
      </c>
      <c r="G473" s="109" t="inlineStr">
        <is>
          <t xml:space="preserve">SURXONDARYO VILOYATI DENOV TUMANI XAZARBOG QFY CHORGUL MFY TARQULAT KO’CHASI 12-UY</t>
        </is>
      </c>
      <c r="H473" s="110">
        <v>3.0</v>
      </c>
      <c r="I473" s="110">
        <v>1060748.39</v>
      </c>
      <c r="K473" s="109" t="inlineStr">
        <is>
          <t xml:space="preserve">duwanb kuni tolo qlad | 356</t>
        </is>
      </c>
    </row>
    <row r="474">
      <c r="A474" s="109" t="inlineStr">
        <is>
          <t xml:space="preserve">СУРХОНДАРЁ ВИЛОЯТИ</t>
        </is>
      </c>
      <c r="B474" s="109" t="inlineStr">
        <is>
          <t xml:space="preserve">SUPER BRANCH</t>
        </is>
      </c>
      <c r="C474" s="109" t="inlineStr">
        <is>
          <t xml:space="preserve">Обещали</t>
        </is>
      </c>
      <c r="D474" s="109" t="inlineStr">
        <is>
          <t xml:space="preserve">Кр-99052962-3</t>
        </is>
      </c>
      <c r="E474" s="109" t="inlineStr">
        <is>
          <t xml:space="preserve">QODIROV KOMIL ZULFIQAROVICH</t>
        </is>
      </c>
      <c r="F474" s="109" t="inlineStr">
        <is>
          <t xml:space="preserve">+998991477887 SMS OZI, 998942425080 SMS AYOLI, 998974448203 SMS OZI 2,</t>
        </is>
      </c>
      <c r="G474" s="109" t="inlineStr">
        <is>
          <t xml:space="preserve">SURXONDARYO VOLOYATI QUMQO’RG’ON TUMANI IIB</t>
        </is>
      </c>
      <c r="H474" s="110">
        <v>3.0</v>
      </c>
      <c r="I474" s="110">
        <v>1041921.27</v>
      </c>
      <c r="K474" s="109" t="inlineStr">
        <is>
          <t xml:space="preserve">10 cisiga tolo qlad | 1510</t>
        </is>
      </c>
    </row>
    <row r="475">
      <c r="A475" s="109" t="inlineStr">
        <is>
          <t xml:space="preserve">СУРХОНДАРЁ ВИЛОЯТИ</t>
        </is>
      </c>
      <c r="B475" s="109" t="inlineStr">
        <is>
          <t xml:space="preserve">SUPER BRANCH</t>
        </is>
      </c>
      <c r="C475" s="109" t="inlineStr">
        <is>
          <t xml:space="preserve">Ko'tardi</t>
        </is>
      </c>
      <c r="D475" s="109" t="inlineStr">
        <is>
          <t xml:space="preserve">Кр-99030613-2</t>
        </is>
      </c>
      <c r="E475" s="109" t="inlineStr">
        <is>
          <t xml:space="preserve">QURBONOV NURSULTON BEGALIYEVICH</t>
        </is>
      </c>
      <c r="F475" s="109" t="inlineStr">
        <is>
          <t xml:space="preserve">998905232918 SMS UY, 998916339707 SMS UKASI ERALI, 998941624149 SMS AYOLI, 998771091897 SMS OZI TOLOVCHI,</t>
        </is>
      </c>
      <c r="G475" s="109" t="inlineStr">
        <is>
          <t xml:space="preserve">SURXONDARYO VILOYATI DENOV  TUMANI XAZARBOG’ QFY QOVUNLI SOY MFY QOVUNLISOY KUCHASI  11-UY</t>
        </is>
      </c>
      <c r="H475" s="110">
        <v>3.0</v>
      </c>
      <c r="I475" s="110">
        <v>823825.79</v>
      </c>
      <c r="K475" s="109" t="inlineStr">
        <is>
          <t xml:space="preserve">ayoli kotardi etb qoyama dd | 358</t>
        </is>
      </c>
    </row>
    <row r="476">
      <c r="A476" s="109" t="inlineStr">
        <is>
          <t xml:space="preserve">СУРХОНДАРЁ ВИЛОЯТИ</t>
        </is>
      </c>
      <c r="B476" s="109" t="inlineStr">
        <is>
          <t xml:space="preserve">SUPER BRANCH</t>
        </is>
      </c>
      <c r="C476" s="109" t="inlineStr">
        <is>
          <t xml:space="preserve">Оплатил дозвон</t>
        </is>
      </c>
      <c r="D476" s="109" t="inlineStr">
        <is>
          <t xml:space="preserve">Кр-99022504-4</t>
        </is>
      </c>
      <c r="E476" s="109" t="inlineStr">
        <is>
          <t xml:space="preserve">MUQUMOVA MAXFURAT QUVOTOVNA</t>
        </is>
      </c>
      <c r="F476" s="109" t="inlineStr">
        <is>
          <t xml:space="preserve">91-229-38-19 SMS, 91-715-95-96  SMS UY, 91-075-20-16  SMS O’G’LI BEKZOD, 998917191006 SMS ozi, 998882439996 SMS OZI TOLOVCHI , 998887239996 SMS new uzi,</t>
        </is>
      </c>
      <c r="G476" s="109" t="inlineStr">
        <is>
          <t xml:space="preserve">SURXONDARYO VILOYATI SHO’RCHI TUMANI YANGIBOZOR QFY OQQURG’ON MFY MUSTAQILLIK KO’CHASI 132-UY</t>
        </is>
      </c>
      <c r="H476" s="110">
        <v>3.0</v>
      </c>
      <c r="I476" s="110">
        <v>590942.28</v>
      </c>
      <c r="J476" s="110">
        <v>590942.28</v>
      </c>
      <c r="K476" s="109" t="inlineStr">
        <is>
          <t xml:space="preserve">oylik tolovi yopild | 155</t>
        </is>
      </c>
    </row>
    <row r="477">
      <c r="A477" s="109" t="inlineStr">
        <is>
          <t xml:space="preserve">СУРХОНДАРЁ ВИЛОЯТИ</t>
        </is>
      </c>
      <c r="B477" s="109" t="inlineStr">
        <is>
          <t xml:space="preserve">SUPER BRANCH</t>
        </is>
      </c>
      <c r="C477" s="109" t="inlineStr">
        <is>
          <t xml:space="preserve">Оплатил дозвон</t>
        </is>
      </c>
      <c r="D477" s="109" t="inlineStr">
        <is>
          <t xml:space="preserve">Кр-99033003-2</t>
        </is>
      </c>
      <c r="E477" s="109" t="inlineStr">
        <is>
          <t xml:space="preserve">MAMATMUROTOV SIROJIDDIN  ABDIKADIROVICH</t>
        </is>
      </c>
      <c r="F477" s="109" t="inlineStr">
        <is>
          <t xml:space="preserve">998990928761 SMS O’ZI, 998880431616 SMS UY, 998595373735 SMS OILASI, 998888490130 SMS UKASI,</t>
        </is>
      </c>
      <c r="G477" s="109" t="inlineStr">
        <is>
          <t xml:space="preserve">SURXANDARYO VILOYATI DENOV TUMANI BOG’ISHAMOL MFY O’RIKZOR KOCHASI 1-UY</t>
        </is>
      </c>
      <c r="H477" s="110">
        <v>2.0</v>
      </c>
      <c r="I477" s="110">
        <v>501843.97</v>
      </c>
      <c r="J477" s="110">
        <v>501843.97</v>
      </c>
      <c r="K477" s="109" t="inlineStr">
        <is>
          <t xml:space="preserve">krediti yopild | 459</t>
        </is>
      </c>
    </row>
    <row r="478">
      <c r="A478" s="109" t="inlineStr">
        <is>
          <t xml:space="preserve">СУРХОНДАРЁ ВИЛОЯТИ</t>
        </is>
      </c>
      <c r="B478" s="109" t="inlineStr">
        <is>
          <t xml:space="preserve">SUPER BRANCH</t>
        </is>
      </c>
      <c r="C478" s="109" t="inlineStr">
        <is>
          <t xml:space="preserve">Обещали</t>
        </is>
      </c>
      <c r="D478" s="109" t="inlineStr">
        <is>
          <t xml:space="preserve">Кр-99040166-1</t>
        </is>
      </c>
      <c r="E478" s="109" t="inlineStr">
        <is>
          <t xml:space="preserve">BEKMURODOV SHUXRAT XOLMO’MIN O’G’LI</t>
        </is>
      </c>
      <c r="F478" s="109" t="inlineStr">
        <is>
          <t xml:space="preserve">998770390302 SMS OZI, 998951060164 SMS AYOLI, 998902397676 SMS DADASI,</t>
        </is>
      </c>
      <c r="G478" s="109" t="inlineStr">
        <is>
          <t xml:space="preserve">SURXONDARYO VILOYATI, SHEROBOD TUMANI, VANDOB MFY, 29- UY</t>
        </is>
      </c>
      <c r="I478" s="110">
        <v>316988.03</v>
      </c>
      <c r="K478" s="109" t="inlineStr">
        <is>
          <t xml:space="preserve">бугун</t>
        </is>
      </c>
    </row>
    <row r="479">
      <c r="A479" s="111" t="inlineStr">
        <is>
          <t xml:space="preserve">СУРХОНДАРЁ ВИЛОЯТИ</t>
        </is>
      </c>
      <c r="B479" s="111" t="inlineStr">
        <is>
          <t xml:space="preserve">Денов филиали</t>
        </is>
      </c>
      <c r="C479" s="111" t="inlineStr">
        <is>
          <t xml:space="preserve">Ko'tardi</t>
        </is>
      </c>
      <c r="D479" s="111" t="inlineStr">
        <is>
          <t xml:space="preserve">Кр-99031106-8</t>
        </is>
      </c>
      <c r="E479" s="111" t="inlineStr">
        <is>
          <t xml:space="preserve">ESHONQULOVA MALOXAT DONIYOROVNA</t>
        </is>
      </c>
      <c r="F479" s="111" t="inlineStr">
        <is>
          <t xml:space="preserve">998994258000 SMS O’ZI TULOVCHI, 998998278000 SMS OZI, 97-076-99-01  SMS SINGLISI, 998770889901 SMS uzi new raqami, 998996799892 SMS UKASI, 998997113009 SMS O’ZI,</t>
        </is>
      </c>
      <c r="G479" s="111" t="inlineStr">
        <is>
          <t xml:space="preserve">SH.RASHIDOV 186-UY 7-XONADON</t>
        </is>
      </c>
      <c r="H479" s="112">
        <v>125.0</v>
      </c>
      <c r="I479" s="112">
        <v>96401023.76</v>
      </c>
      <c r="K479" s="111" t="inlineStr">
        <is>
          <t xml:space="preserve">wahnoz ogan | 371</t>
        </is>
      </c>
    </row>
    <row r="480">
      <c r="A480" s="111" t="inlineStr">
        <is>
          <t xml:space="preserve">СУРХОНДАРЁ ВИЛОЯТИ</t>
        </is>
      </c>
      <c r="B480" s="111" t="inlineStr">
        <is>
          <t xml:space="preserve">Денов филиали</t>
        </is>
      </c>
      <c r="C480" s="111" t="inlineStr">
        <is>
          <t xml:space="preserve">Ko'tardi</t>
        </is>
      </c>
      <c r="D480" s="111" t="inlineStr">
        <is>
          <t xml:space="preserve">Кр-99040524-1</t>
        </is>
      </c>
      <c r="E480" s="111" t="inlineStr">
        <is>
          <t xml:space="preserve">BOBORAJABOV MUSLIMBEK OLIMJONOVICH</t>
        </is>
      </c>
      <c r="F480" s="111" t="inlineStr">
        <is>
          <t xml:space="preserve">998910774888 SMS OZI, 998915119511 SMS UY otasi, 998917117900 SMS onasi,</t>
        </is>
      </c>
      <c r="G480" s="111" t="inlineStr">
        <is>
          <t xml:space="preserve">ДЕНОВ ҚФЙ, ГУЛИСТОН МФЙ,  uy:Б/Н</t>
        </is>
      </c>
      <c r="H480" s="112">
        <v>217.0</v>
      </c>
      <c r="I480" s="112">
        <v>63188206.94</v>
      </c>
      <c r="K480" s="111" t="inlineStr">
        <is>
          <t xml:space="preserve">abror ogan | 1040</t>
        </is>
      </c>
    </row>
    <row r="481">
      <c r="A481" s="111" t="inlineStr">
        <is>
          <t xml:space="preserve">СУРХОНДАРЁ ВИЛОЯТИ</t>
        </is>
      </c>
      <c r="B481" s="111" t="inlineStr">
        <is>
          <t xml:space="preserve">Денов филиали</t>
        </is>
      </c>
      <c r="C481" s="111" t="inlineStr">
        <is>
          <t xml:space="preserve">Ko'tardi</t>
        </is>
      </c>
      <c r="D481" s="111" t="inlineStr">
        <is>
          <t xml:space="preserve">Кр-99041196-1</t>
        </is>
      </c>
      <c r="E481" s="111" t="inlineStr">
        <is>
          <t xml:space="preserve">AZIZOVA GULZAR TAJIYEVNA</t>
        </is>
      </c>
      <c r="F481" s="111" t="inlineStr">
        <is>
          <t xml:space="preserve">+998904196364 SMS O’ZI, 998915773010 SMS UY, 998917277694 SMS O’G’LI,</t>
        </is>
      </c>
      <c r="G481" s="111" t="inlineStr">
        <is>
          <t xml:space="preserve">ТЕЛПАКЧИНОР ҚФЙ, УЗУН ҚИШЛОҚ МФЙ, ТЕЛПАКЧИНОР ҚФЙ, УЗУН ҚИШЛОҚ МФЙ, ЧАНГАК КИШЛОГИ,  uy:.</t>
        </is>
      </c>
      <c r="H481" s="112">
        <v>156.0</v>
      </c>
      <c r="I481" s="112">
        <v>40860311.16</v>
      </c>
      <c r="K481" s="111" t="inlineStr">
        <is>
          <t xml:space="preserve">wahnoz ogan wu tolo qlad | 1125</t>
        </is>
      </c>
    </row>
    <row r="482">
      <c r="A482" s="111" t="inlineStr">
        <is>
          <t xml:space="preserve">СУРХОНДАРЁ ВИЛОЯТИ</t>
        </is>
      </c>
      <c r="B482" s="111" t="inlineStr">
        <is>
          <t xml:space="preserve">Денов филиали</t>
        </is>
      </c>
      <c r="C482" s="111" t="inlineStr">
        <is>
          <t xml:space="preserve">Ko'tardi</t>
        </is>
      </c>
      <c r="D482" s="111" t="inlineStr">
        <is>
          <t xml:space="preserve">Кр-99029760-1</t>
        </is>
      </c>
      <c r="E482" s="111" t="inlineStr">
        <is>
          <t xml:space="preserve">MENGNAROV ERKIN DJABBAROVICH</t>
        </is>
      </c>
      <c r="F482" s="111" t="inlineStr">
        <is>
          <t xml:space="preserve">90-294-46-11 uzi, 97-331-00-95 UY, 88-617-09-99 OILASI, 998959405510 SMS OGLI ,</t>
        </is>
      </c>
      <c r="G482" s="111" t="inlineStr">
        <is>
          <t xml:space="preserve">SURXANDARYO VILOYATI DENOV TUMANI CHUQURQISHLOQ MFY SURXONOBOD KO’CHASI 58-UY</t>
        </is>
      </c>
      <c r="H482" s="112">
        <v>143.0</v>
      </c>
      <c r="I482" s="112">
        <v>25117989.73</v>
      </c>
      <c r="K482" s="111" t="inlineStr">
        <is>
          <t xml:space="preserve">abror ogan | 329</t>
        </is>
      </c>
    </row>
    <row r="483">
      <c r="A483" s="111" t="inlineStr">
        <is>
          <t xml:space="preserve">СУРХОНДАРЁ ВИЛОЯТИ</t>
        </is>
      </c>
      <c r="B483" s="111" t="inlineStr">
        <is>
          <t xml:space="preserve">Денов филиали</t>
        </is>
      </c>
      <c r="C483" s="111" t="inlineStr">
        <is>
          <t xml:space="preserve">Ko'tardi</t>
        </is>
      </c>
      <c r="D483" s="111" t="inlineStr">
        <is>
          <t xml:space="preserve">Кр-99032943-1</t>
        </is>
      </c>
      <c r="E483" s="111" t="inlineStr">
        <is>
          <t xml:space="preserve">RAXIMBADALOV ALISHER NAMAZALIYEVICH</t>
        </is>
      </c>
      <c r="F483" s="111" t="inlineStr">
        <is>
          <t xml:space="preserve">998978490308 SMS O’ZI, 998995767713 SMS OTASI, 998904101090 SMS ONASI, 998950442969 SMS AMAKISI,</t>
        </is>
      </c>
      <c r="G483" s="111" t="inlineStr">
        <is>
          <t xml:space="preserve">SURXONDARYO VILOYATI UZUN TUMANI ITTIFOQ MFY SHODLIK KO’CHASI 98-UY</t>
        </is>
      </c>
      <c r="H483" s="112">
        <v>169.0</v>
      </c>
      <c r="I483" s="112">
        <v>25034438.0</v>
      </c>
      <c r="K483" s="111" t="inlineStr">
        <is>
          <t xml:space="preserve">abror ogan | 455</t>
        </is>
      </c>
    </row>
    <row r="484">
      <c r="A484" s="111" t="inlineStr">
        <is>
          <t xml:space="preserve">СУРХОНДАРЁ ВИЛОЯТИ</t>
        </is>
      </c>
      <c r="B484" s="111" t="inlineStr">
        <is>
          <t xml:space="preserve">Денов филиали</t>
        </is>
      </c>
      <c r="C484" s="111" t="inlineStr">
        <is>
          <t xml:space="preserve">Ko'tardi</t>
        </is>
      </c>
      <c r="D484" s="111" t="inlineStr">
        <is>
          <t xml:space="preserve">Кр-99040622-1</t>
        </is>
      </c>
      <c r="E484" s="111" t="inlineStr">
        <is>
          <t xml:space="preserve">TURDIYEV ASLIDDIN CHORIYEVICH</t>
        </is>
      </c>
      <c r="F484" s="111" t="inlineStr">
        <is>
          <t xml:space="preserve">+998906450323 SMS O’ZI, 998774540323 SMS OILASI, 998997179198 SMS UY,</t>
        </is>
      </c>
      <c r="G484" s="111" t="inlineStr">
        <is>
          <t xml:space="preserve">АНБАРСОЙ ҚФЙ, ОБОДОН МФЙ,  uy:Б/Н</t>
        </is>
      </c>
      <c r="H484" s="112">
        <v>125.0</v>
      </c>
      <c r="I484" s="112">
        <v>22202576.6</v>
      </c>
      <c r="K484" s="111" t="inlineStr">
        <is>
          <t xml:space="preserve">abror ogan | 1052</t>
        </is>
      </c>
    </row>
    <row r="485">
      <c r="A485" s="111" t="inlineStr">
        <is>
          <t xml:space="preserve">СУРХОНДАРЁ ВИЛОЯТИ</t>
        </is>
      </c>
      <c r="B485" s="111" t="inlineStr">
        <is>
          <t xml:space="preserve">Денов филиали</t>
        </is>
      </c>
      <c r="C485" s="111" t="inlineStr">
        <is>
          <t xml:space="preserve">Ko'tardi</t>
        </is>
      </c>
      <c r="D485" s="111" t="inlineStr">
        <is>
          <t xml:space="preserve">Кр-99028836-1</t>
        </is>
      </c>
      <c r="E485" s="111" t="inlineStr">
        <is>
          <t xml:space="preserve">SALOHOV ABDULQODIR MUHIDDIN O’G’LI</t>
        </is>
      </c>
      <c r="F485" s="111" t="inlineStr">
        <is>
          <t xml:space="preserve">998995394343 SMS OZI, 88-176-56-61   SMS DADASI, 97-863-08-02  SMS ONASI, 77-097-54-97  SMS OSHNOSI,</t>
        </is>
      </c>
      <c r="G485" s="111" t="inlineStr">
        <is>
          <t xml:space="preserve">SURXONDARYO VILOYATI DENOV  TUMANI TOTUVLIK MFY XAYOT  KO’CHASI   40-UY</t>
        </is>
      </c>
      <c r="H485" s="112">
        <v>136.0</v>
      </c>
      <c r="I485" s="112">
        <v>19531405.0</v>
      </c>
      <c r="K485" s="111" t="inlineStr">
        <is>
          <t xml:space="preserve">abror ogan | 289</t>
        </is>
      </c>
    </row>
    <row r="486">
      <c r="A486" s="111" t="inlineStr">
        <is>
          <t xml:space="preserve">СУРХОНДАРЁ ВИЛОЯТИ</t>
        </is>
      </c>
      <c r="B486" s="111" t="inlineStr">
        <is>
          <t xml:space="preserve">Денов филиали</t>
        </is>
      </c>
      <c r="C486" s="111" t="inlineStr">
        <is>
          <t xml:space="preserve">Ko'tardi</t>
        </is>
      </c>
      <c r="D486" s="111" t="inlineStr">
        <is>
          <t xml:space="preserve">Кр-99030594-1</t>
        </is>
      </c>
      <c r="E486" s="111" t="inlineStr">
        <is>
          <t xml:space="preserve">SHAIMOV NODIRBEK ISMOILOVICH</t>
        </is>
      </c>
      <c r="F486" s="111" t="inlineStr">
        <is>
          <t xml:space="preserve">97-076-89-99 SMS O’ZI, 97-194-39-99  SMS UKASI, 99-599-99-43  SMS UKASI 2 begona tel qimanglar, 50-071-10-03  SMS UY begona,</t>
        </is>
      </c>
      <c r="G486" s="111" t="inlineStr">
        <is>
          <t xml:space="preserve">SURXONDARYO VILOYATI DENOV TUMANI XAZARBOG QFY CHORGUL MFY TARQULAT KO’CHASI 12-UY</t>
        </is>
      </c>
      <c r="H486" s="112">
        <v>178.0</v>
      </c>
      <c r="I486" s="112">
        <v>18273642.98</v>
      </c>
      <c r="K486" s="111" t="inlineStr">
        <is>
          <t xml:space="preserve">abror ogan | 355</t>
        </is>
      </c>
    </row>
    <row r="487">
      <c r="A487" s="111" t="inlineStr">
        <is>
          <t xml:space="preserve">СУРХОНДАРЁ ВИЛОЯТИ</t>
        </is>
      </c>
      <c r="B487" s="111" t="inlineStr">
        <is>
          <t xml:space="preserve">Денов филиали</t>
        </is>
      </c>
      <c r="C487" s="111" t="inlineStr">
        <is>
          <t xml:space="preserve">Ko'tardi</t>
        </is>
      </c>
      <c r="D487" s="111" t="inlineStr">
        <is>
          <t xml:space="preserve">Кр-99032282-1</t>
        </is>
      </c>
      <c r="E487" s="111" t="inlineStr">
        <is>
          <t xml:space="preserve">NORMINGLIYEV ABDUMALIK ABDULLAYEVICH</t>
        </is>
      </c>
      <c r="F487" s="111" t="inlineStr">
        <is>
          <t xml:space="preserve">998330105393 SMS O’ZI, 998955554493 SMS UKASI zokir tulovchi, 998991759555 SMS AKASI BEGONA, 998775773093 SMS UY,</t>
        </is>
      </c>
      <c r="G487" s="111" t="inlineStr">
        <is>
          <t xml:space="preserve">SURXONDARYO VILOYATI DENOV TUMANI NONOZOR  MFY GULBOG KO’CHASI 121-UY</t>
        </is>
      </c>
      <c r="H487" s="112">
        <v>185.0</v>
      </c>
      <c r="I487" s="112">
        <v>12148353.32</v>
      </c>
      <c r="K487" s="111" t="inlineStr">
        <is>
          <t xml:space="preserve">abror ogan | 423</t>
        </is>
      </c>
    </row>
    <row r="488">
      <c r="A488" s="111" t="inlineStr">
        <is>
          <t xml:space="preserve">СУРХОНДАРЁ ВИЛОЯТИ</t>
        </is>
      </c>
      <c r="B488" s="111" t="inlineStr">
        <is>
          <t xml:space="preserve">Денов филиали</t>
        </is>
      </c>
      <c r="C488" s="111" t="inlineStr">
        <is>
          <t xml:space="preserve">Ko'tardi</t>
        </is>
      </c>
      <c r="D488" s="111" t="inlineStr">
        <is>
          <t xml:space="preserve">Кр-99030613-1</t>
        </is>
      </c>
      <c r="E488" s="111" t="inlineStr">
        <is>
          <t xml:space="preserve">QURBONOV NURSULTON BEGALIYEVICH</t>
        </is>
      </c>
      <c r="F488" s="111" t="inlineStr">
        <is>
          <t xml:space="preserve">998905232918 SMS UY, 998916339707 SMS UKASI ERALI, 998941624149 SMS AYOLI, 998771091897 SMS OZI TOLOVCHI,</t>
        </is>
      </c>
      <c r="G488" s="111" t="inlineStr">
        <is>
          <t xml:space="preserve">SURXONDARYO VILOYATI DENOV  TUMANI XAZARBOG’ QFY QOVUNLI SOY MFY QOVUNLISOY KUCHASI  11-UY</t>
        </is>
      </c>
      <c r="H488" s="112">
        <v>149.0</v>
      </c>
      <c r="I488" s="112">
        <v>11697357.56</v>
      </c>
      <c r="K488" s="111" t="inlineStr">
        <is>
          <t xml:space="preserve">abror ogan | 357</t>
        </is>
      </c>
    </row>
    <row r="489">
      <c r="A489" s="111" t="inlineStr">
        <is>
          <t xml:space="preserve">СУРХОНДАРЁ ВИЛОЯТИ</t>
        </is>
      </c>
      <c r="B489" s="111" t="inlineStr">
        <is>
          <t xml:space="preserve">Денов филиали</t>
        </is>
      </c>
      <c r="C489" s="111" t="inlineStr">
        <is>
          <t xml:space="preserve">Ko'tardi</t>
        </is>
      </c>
      <c r="D489" s="111" t="inlineStr">
        <is>
          <t xml:space="preserve">Кр-99030658-1</t>
        </is>
      </c>
      <c r="E489" s="111" t="inlineStr">
        <is>
          <t xml:space="preserve">ERGASHOV NURJAHON YORMUXAMMAD O’G’LI</t>
        </is>
      </c>
      <c r="F489" s="111" t="inlineStr">
        <is>
          <t xml:space="preserve">97-656-62-22 SMS, 88-214-29-01  SMS ONASI, 95-969-62-22  SMS DADASI, 99-592-29-01  SMS UY,</t>
        </is>
      </c>
      <c r="G489" s="111" t="inlineStr">
        <is>
          <t xml:space="preserve">SURXONDARYO VILOYATI UZUN TUMANI SERXARAKAT MFY SERXARAKAT  KO’CHASI 9-UY</t>
        </is>
      </c>
      <c r="H489" s="112">
        <v>87.0</v>
      </c>
      <c r="I489" s="112">
        <v>8377928.39</v>
      </c>
      <c r="K489" s="111" t="inlineStr">
        <is>
          <t xml:space="preserve">wahnoz ogan | 360</t>
        </is>
      </c>
    </row>
    <row r="490">
      <c r="A490" s="111" t="inlineStr">
        <is>
          <t xml:space="preserve">СУРХОНДАРЁ ВИЛОЯТИ</t>
        </is>
      </c>
      <c r="B490" s="111" t="inlineStr">
        <is>
          <t xml:space="preserve">Денов филиали</t>
        </is>
      </c>
      <c r="C490" s="111" t="inlineStr">
        <is>
          <t xml:space="preserve">Обещали</t>
        </is>
      </c>
      <c r="D490" s="111" t="inlineStr">
        <is>
          <t xml:space="preserve">Кр-99047458-2</t>
        </is>
      </c>
      <c r="E490" s="111" t="inlineStr">
        <is>
          <t xml:space="preserve">MAMADIYEV URAL SHAMSIDDINOVICH</t>
        </is>
      </c>
      <c r="F490" s="111" t="inlineStr">
        <is>
          <t xml:space="preserve">998902462416 SMS UY, 998919089099 SMS SHERIGI, 998990148484 SMS O’ZI,</t>
        </is>
      </c>
      <c r="G490" s="111" t="inlineStr">
        <is>
          <t xml:space="preserve">SURXONDARYO VILOYATI SHO’RCHI TUMANI BOBOTOG’ MFY SADRIDDIN AYNIY 31-UY</t>
        </is>
      </c>
      <c r="H490" s="112">
        <v>3.0</v>
      </c>
      <c r="I490" s="112">
        <v>7790212.8</v>
      </c>
      <c r="K490" s="111" t="inlineStr">
        <is>
          <t xml:space="preserve">bugun uzogi erte tolo qlad | 1383</t>
        </is>
      </c>
    </row>
    <row r="491">
      <c r="A491" s="111" t="inlineStr">
        <is>
          <t xml:space="preserve">СУРХОНДАРЁ ВИЛОЯТИ</t>
        </is>
      </c>
      <c r="B491" s="111" t="inlineStr">
        <is>
          <t xml:space="preserve">Денов филиали</t>
        </is>
      </c>
      <c r="C491" s="111" t="inlineStr">
        <is>
          <t xml:space="preserve">Ko'tardi</t>
        </is>
      </c>
      <c r="D491" s="111" t="inlineStr">
        <is>
          <t xml:space="preserve">Кр-99029033-1</t>
        </is>
      </c>
      <c r="E491" s="111" t="inlineStr">
        <is>
          <t xml:space="preserve">ABDIYEV OYBEK PARDAYEVICH</t>
        </is>
      </c>
      <c r="F491" s="111" t="inlineStr">
        <is>
          <t xml:space="preserve">998993774798 SMS, 998952688798 SMS UY, 998993483065 SMS AKASI, 998904196065 SMS OILASI,</t>
        </is>
      </c>
      <c r="G491" s="111" t="inlineStr">
        <is>
          <t xml:space="preserve">SURXONDARYO VILOYAT SHO’RCHI TUMAN OLIYHIMMAT MFY KATTATEPA 142-UY</t>
        </is>
      </c>
      <c r="H491" s="112">
        <v>98.0</v>
      </c>
      <c r="I491" s="112">
        <v>7640930.05</v>
      </c>
      <c r="K491" s="111" t="inlineStr">
        <is>
          <t xml:space="preserve">abror ogan | 295</t>
        </is>
      </c>
    </row>
    <row r="492">
      <c r="A492" s="111" t="inlineStr">
        <is>
          <t xml:space="preserve">СУРХОНДАРЁ ВИЛОЯТИ</t>
        </is>
      </c>
      <c r="B492" s="111" t="inlineStr">
        <is>
          <t xml:space="preserve">Денов филиали</t>
        </is>
      </c>
      <c r="C492" s="111" t="inlineStr">
        <is>
          <t xml:space="preserve">Ko'tardi</t>
        </is>
      </c>
      <c r="D492" s="111" t="inlineStr">
        <is>
          <t xml:space="preserve">Кр-99024454-4</t>
        </is>
      </c>
      <c r="E492" s="111" t="inlineStr">
        <is>
          <t xml:space="preserve">MADJITOV SUNATULLA ABDIFATTOVICH</t>
        </is>
      </c>
      <c r="F492" s="111" t="inlineStr">
        <is>
          <t xml:space="preserve">998954917979 SMS O'ZI, 50-008-01-09  SMS UY, 93-186-77-79  SMS TURMUSH O’RTOG’I, 99-422-42-88  SMS SHERIGI SUNNAT, 99-598-92-88 SMS SUNNAT 2CHI NOMERI,</t>
        </is>
      </c>
      <c r="G492" s="111" t="inlineStr">
        <is>
          <t xml:space="preserve">SURXONDARYO VILOYATI SARIOSIYO SHAHAR GULZOR  KO’CHASI 4-UY 10-XONADON</t>
        </is>
      </c>
      <c r="H492" s="112">
        <v>185.0</v>
      </c>
      <c r="I492" s="112">
        <v>7260011.41</v>
      </c>
      <c r="K492" s="111" t="inlineStr">
        <is>
          <t xml:space="preserve">wahnoz ogan mownni jac | 179</t>
        </is>
      </c>
    </row>
    <row r="493">
      <c r="A493" s="111" t="inlineStr">
        <is>
          <t xml:space="preserve">СУРХОНДАРЁ ВИЛОЯТИ</t>
        </is>
      </c>
      <c r="B493" s="111" t="inlineStr">
        <is>
          <t xml:space="preserve">Денов филиали</t>
        </is>
      </c>
      <c r="C493" s="111" t="inlineStr">
        <is>
          <t xml:space="preserve">Ko'tardi</t>
        </is>
      </c>
      <c r="D493" s="111" t="inlineStr">
        <is>
          <t xml:space="preserve">Кр-99031487-1</t>
        </is>
      </c>
      <c r="E493" s="111" t="inlineStr">
        <is>
          <t xml:space="preserve">POYANOV XIMOIDDIN AMIRJONOVICH</t>
        </is>
      </c>
      <c r="F493" s="111" t="inlineStr">
        <is>
          <t xml:space="preserve">998995707222 SMS O’ZI, 998953137053 SMS AYOLI, 998952237022 SMS AKASI, 998770527022 SMS ONASI,</t>
        </is>
      </c>
      <c r="G493" s="111" t="inlineStr">
        <is>
          <t xml:space="preserve">SURXONDARYO VILOYATI DENOV  TUMANI ANBARSOY  QFY O’RTAQISHLOQ  MFY DO’STLIK KO’CHASI 117-UY</t>
        </is>
      </c>
      <c r="H493" s="112">
        <v>80.0</v>
      </c>
      <c r="I493" s="112">
        <v>6601442.77</v>
      </c>
      <c r="K493" s="111" t="inlineStr">
        <is>
          <t xml:space="preserve">wahnoz ogan | 390</t>
        </is>
      </c>
    </row>
    <row r="494">
      <c r="A494" s="111" t="inlineStr">
        <is>
          <t xml:space="preserve">СУРХОНДАРЁ ВИЛОЯТИ</t>
        </is>
      </c>
      <c r="B494" s="111" t="inlineStr">
        <is>
          <t xml:space="preserve">Денов филиали</t>
        </is>
      </c>
      <c r="C494" s="111" t="inlineStr">
        <is>
          <t xml:space="preserve">Ko'tardi</t>
        </is>
      </c>
      <c r="D494" s="111" t="inlineStr">
        <is>
          <t xml:space="preserve">Кр-99061891-2</t>
        </is>
      </c>
      <c r="E494" s="111" t="inlineStr">
        <is>
          <t xml:space="preserve">NAVRUZOVA ADOLAT MELIKULOVNA</t>
        </is>
      </c>
      <c r="F494" s="111" t="inlineStr">
        <is>
          <t xml:space="preserve">998880439898 SMS QIZI, 998915153070 SMS O’ZI, 998919820709 SMS O’G’LI,</t>
        </is>
      </c>
      <c r="G494" s="111" t="inlineStr">
        <is>
          <t xml:space="preserve">EZGULIK KO’CHASI 38-UY</t>
        </is>
      </c>
      <c r="H494" s="112">
        <v>3.0</v>
      </c>
      <c r="I494" s="112">
        <v>6258095.48</v>
      </c>
      <c r="K494" s="111" t="inlineStr">
        <is>
          <t xml:space="preserve">15 cigaca yopad adolat rusga ketgan qizi tolo qlad | 1803</t>
        </is>
      </c>
    </row>
    <row r="495">
      <c r="A495" s="111" t="inlineStr">
        <is>
          <t xml:space="preserve">СУРХОНДАРЁ ВИЛОЯТИ</t>
        </is>
      </c>
      <c r="B495" s="111" t="inlineStr">
        <is>
          <t xml:space="preserve">Денов филиали</t>
        </is>
      </c>
      <c r="C495" s="111" t="inlineStr">
        <is>
          <t xml:space="preserve">Оплатил дозвон</t>
        </is>
      </c>
      <c r="D495" s="111" t="inlineStr">
        <is>
          <t xml:space="preserve">Кр-99041316-1</t>
        </is>
      </c>
      <c r="E495" s="111" t="inlineStr">
        <is>
          <t xml:space="preserve">TURSUNOV SHOMUROD TOSHTEMIROVICH</t>
        </is>
      </c>
      <c r="F495" s="111" t="inlineStr">
        <is>
          <t xml:space="preserve">998888064664 SMS ZALOGADATEL, 998888074664 SMS O’ZI, 998993433364 SMS UY,</t>
        </is>
      </c>
      <c r="G495" s="111" t="inlineStr">
        <is>
          <t xml:space="preserve">Сурхандарьинская область, Денауский район, Ш.Қобилов СИУ, Элобод МСГ, ул. Нурли саодат, дом 169</t>
        </is>
      </c>
      <c r="H495" s="112">
        <v>3.0</v>
      </c>
      <c r="I495" s="112">
        <v>6216612.43</v>
      </c>
      <c r="J495" s="112">
        <v>6216612.43</v>
      </c>
      <c r="K495" s="111" t="inlineStr">
        <is>
          <t xml:space="preserve">oylik yopildi | 1142</t>
        </is>
      </c>
    </row>
    <row r="496">
      <c r="A496" s="111" t="inlineStr">
        <is>
          <t xml:space="preserve">СУРХОНДАРЁ ВИЛОЯТИ</t>
        </is>
      </c>
      <c r="B496" s="111" t="inlineStr">
        <is>
          <t xml:space="preserve">Денов филиали</t>
        </is>
      </c>
      <c r="C496" s="111" t="inlineStr">
        <is>
          <t xml:space="preserve">Ko'tardi</t>
        </is>
      </c>
      <c r="D496" s="111" t="inlineStr">
        <is>
          <t xml:space="preserve">Кр-99021935-6</t>
        </is>
      </c>
      <c r="E496" s="111" t="inlineStr">
        <is>
          <t xml:space="preserve">AZIMOV UMIDILLA XUDOYBERDIYEVICH</t>
        </is>
      </c>
      <c r="F496" s="111" t="inlineStr">
        <is>
          <t xml:space="preserve">91-573-47-31 SMS, 90-114-11-38  SMS UY, 97-244-63-39 SMS, 91-573-47-31 SMS,</t>
        </is>
      </c>
      <c r="G496" s="111" t="inlineStr">
        <is>
          <t xml:space="preserve">QASHQADARYO VILOYATI DEHQONOBOD TUMANI OQITMA MFY</t>
        </is>
      </c>
      <c r="H496" s="112">
        <v>3.0</v>
      </c>
      <c r="I496" s="112">
        <v>5977220.87</v>
      </c>
      <c r="K496" s="111" t="inlineStr">
        <is>
          <t xml:space="preserve">abror ogan kredtni lkn umidilla tolo qlad oyni oxrda | 148</t>
        </is>
      </c>
    </row>
    <row r="497">
      <c r="A497" s="111" t="inlineStr">
        <is>
          <t xml:space="preserve">СУРХОНДАРЁ ВИЛОЯТИ</t>
        </is>
      </c>
      <c r="B497" s="111" t="inlineStr">
        <is>
          <t xml:space="preserve">Денов филиали</t>
        </is>
      </c>
      <c r="C497" s="111" t="inlineStr">
        <is>
          <t xml:space="preserve">Ko'tardi</t>
        </is>
      </c>
      <c r="D497" s="111" t="inlineStr">
        <is>
          <t xml:space="preserve">Кр-99028191-1</t>
        </is>
      </c>
      <c r="E497" s="111" t="inlineStr">
        <is>
          <t xml:space="preserve">MUSAYEVA OLIYA TODJIDINOVNA</t>
        </is>
      </c>
      <c r="F497" s="111" t="inlineStr">
        <is>
          <t xml:space="preserve">88-506-09-68 SMS OZI , 99-065-48-66 SMS UY , 33-051-00-20  SMS OGLI , 91-731-46-46 SMS OGLI ,</t>
        </is>
      </c>
      <c r="G497" s="111" t="inlineStr">
        <is>
          <t xml:space="preserve">SURXONDARYO VILOYATI DENOV TUMANI QORAXON QFY NAMUNA MFY TARAKUAT K’OCHASI 49-UY </t>
        </is>
      </c>
      <c r="H497" s="112">
        <v>44.0</v>
      </c>
      <c r="I497" s="112">
        <v>5644046.61</v>
      </c>
      <c r="K497" s="111" t="inlineStr">
        <is>
          <t xml:space="preserve">wahnoz ogan | 262</t>
        </is>
      </c>
    </row>
    <row r="498">
      <c r="A498" s="111" t="inlineStr">
        <is>
          <t xml:space="preserve">СУРХОНДАРЁ ВИЛОЯТИ</t>
        </is>
      </c>
      <c r="B498" s="111" t="inlineStr">
        <is>
          <t xml:space="preserve">Денов филиали</t>
        </is>
      </c>
      <c r="C498" s="111" t="inlineStr">
        <is>
          <t xml:space="preserve">Ko'tardi</t>
        </is>
      </c>
      <c r="D498" s="111" t="inlineStr">
        <is>
          <t xml:space="preserve">Кр-99026820-1</t>
        </is>
      </c>
      <c r="E498" s="111" t="inlineStr">
        <is>
          <t xml:space="preserve">VALLAMATOV BEXZOD SAYDAMATOVICH</t>
        </is>
      </c>
      <c r="F498" s="111" t="inlineStr">
        <is>
          <t xml:space="preserve">99-247-05-86  (Begona boshqa mijoztel qmela), 99-046-15-07  SMS AYOLI begana, 91-981-51-52  SMS UY, 91-631-10-97  O’G’LI, 998942658817 SMS TO'LOVCHI POCHASI, 998938608408 behzodni ozi SMS,</t>
        </is>
      </c>
      <c r="G498" s="111" t="inlineStr">
        <is>
          <t xml:space="preserve">SURXONDARYO VILOYATI QUMQO’RG’ON TUMANI XUSHAQISHLOQ MFY OFTOBMAKON KUCHASI 2-UY</t>
        </is>
      </c>
      <c r="H498" s="112">
        <v>3.0</v>
      </c>
      <c r="I498" s="112">
        <v>5044948.16</v>
      </c>
      <c r="K498" s="111" t="inlineStr">
        <is>
          <t xml:space="preserve">15 cisida tolo qlad | 212</t>
        </is>
      </c>
    </row>
    <row r="499">
      <c r="A499" s="111" t="inlineStr">
        <is>
          <t xml:space="preserve">СУРХОНДАРЁ ВИЛОЯТИ</t>
        </is>
      </c>
      <c r="B499" s="111" t="inlineStr">
        <is>
          <t xml:space="preserve">Денов филиали</t>
        </is>
      </c>
      <c r="C499" s="111" t="inlineStr">
        <is>
          <t xml:space="preserve">Ko'tardi</t>
        </is>
      </c>
      <c r="D499" s="111" t="inlineStr">
        <is>
          <t xml:space="preserve">Кр-99032339-1</t>
        </is>
      </c>
      <c r="E499" s="111" t="inlineStr">
        <is>
          <t xml:space="preserve">ISKANDAROV GIYOSIDIN MAMAXONOVICH</t>
        </is>
      </c>
      <c r="F499" s="111" t="inlineStr">
        <is>
          <t xml:space="preserve">998939863538 SMS O’G’LI, 998941512655 SMS ZALOGODATEL, 998994528898 SMS O’G’LI 2 BEGONA , 998910771877 SMS O’G’LI 3, 998951892922 SMS O'G'LI ,</t>
        </is>
      </c>
      <c r="G499" s="111" t="inlineStr">
        <is>
          <t xml:space="preserve">SURXONDARYO VILOYATI SARIOSIYO TUMANI SHAROF OBOD MAHALLASI AMIR TEMUR KO’CHASI 62-UY</t>
        </is>
      </c>
      <c r="H499" s="112">
        <v>31.0</v>
      </c>
      <c r="I499" s="112">
        <v>5041785.56</v>
      </c>
      <c r="K499" s="111" t="inlineStr">
        <is>
          <t xml:space="preserve">abror ogan | 429</t>
        </is>
      </c>
    </row>
    <row r="500">
      <c r="A500" s="111" t="inlineStr">
        <is>
          <t xml:space="preserve">СУРХОНДАРЁ ВИЛОЯТИ</t>
        </is>
      </c>
      <c r="B500" s="111" t="inlineStr">
        <is>
          <t xml:space="preserve">Денов филиали</t>
        </is>
      </c>
      <c r="C500" s="111" t="inlineStr">
        <is>
          <t xml:space="preserve">Обещали</t>
        </is>
      </c>
      <c r="D500" s="111" t="inlineStr">
        <is>
          <t xml:space="preserve">Кр-99049665-1</t>
        </is>
      </c>
      <c r="E500" s="111" t="inlineStr">
        <is>
          <t xml:space="preserve">MAMATOV JAMSHID ESHMUMNOVICH</t>
        </is>
      </c>
      <c r="F500" s="111" t="inlineStr">
        <is>
          <t xml:space="preserve">+998770500391 SMS O’ZI, 998996670898 SMS UY, 998999790898 SMS OTASI,</t>
        </is>
      </c>
      <c r="G500" s="111" t="inlineStr">
        <is>
          <t xml:space="preserve">SURXONDARYO VILOYATI DENOV TUMANI A.JOMIY MFY SH.RASHIDOV 24-UY</t>
        </is>
      </c>
      <c r="H500" s="112">
        <v>3.0</v>
      </c>
      <c r="I500" s="112">
        <v>4988296.89</v>
      </c>
      <c r="K500" s="111" t="inlineStr">
        <is>
          <t xml:space="preserve">bugun erte tolo qlad | 1448</t>
        </is>
      </c>
    </row>
    <row r="501">
      <c r="A501" s="111" t="inlineStr">
        <is>
          <t xml:space="preserve">СУРХОНДАРЁ ВИЛОЯТИ</t>
        </is>
      </c>
      <c r="B501" s="111" t="inlineStr">
        <is>
          <t xml:space="preserve">Денов филиали</t>
        </is>
      </c>
      <c r="C501" s="111" t="inlineStr">
        <is>
          <t xml:space="preserve">Ko'tardi</t>
        </is>
      </c>
      <c r="D501" s="111" t="inlineStr">
        <is>
          <t xml:space="preserve">Кр-99020891-4</t>
        </is>
      </c>
      <c r="E501" s="111" t="inlineStr">
        <is>
          <t xml:space="preserve">KUNAROV UKTAM AMANDAVLATOVICH</t>
        </is>
      </c>
      <c r="F501" s="111" t="inlineStr">
        <is>
          <t xml:space="preserve">91-515-78-00 SMS O'ZI TOLOVCHISI , 91-579-51-91 SMS UKASI, 91-911-56-67 SMS UY, 91-579-51-91 SMS BEGONA ,</t>
        </is>
      </c>
      <c r="G501" s="111" t="inlineStr">
        <is>
          <t xml:space="preserve">ШЎРЧИ ШАҲРИ, БОБОТОГ МФЙ, ШЎРЧИ ШАҲРИ, БОБОТОГ МФЙ, ЎЗБЕКИСТОНСИ,  uy:14</t>
        </is>
      </c>
      <c r="H501" s="112">
        <v>3.0</v>
      </c>
      <c r="I501" s="112">
        <v>4855921.57</v>
      </c>
      <c r="K501" s="111" t="inlineStr">
        <is>
          <t xml:space="preserve">ayoli kotard tolo qlamz oy oxrgaca dd ayoliyam iwlarkan | 130</t>
        </is>
      </c>
    </row>
    <row r="502">
      <c r="A502" s="111" t="inlineStr">
        <is>
          <t xml:space="preserve">СУРХОНДАРЁ ВИЛОЯТИ</t>
        </is>
      </c>
      <c r="B502" s="111" t="inlineStr">
        <is>
          <t xml:space="preserve">Денов филиали</t>
        </is>
      </c>
      <c r="C502" s="111" t="inlineStr">
        <is>
          <t xml:space="preserve">Обещали</t>
        </is>
      </c>
      <c r="D502" s="111" t="inlineStr">
        <is>
          <t xml:space="preserve">Кр-99034309-1</t>
        </is>
      </c>
      <c r="E502" s="111" t="inlineStr">
        <is>
          <t xml:space="preserve">KAMBAROV NIZOMIDDIN IKROMIDDINOVICH</t>
        </is>
      </c>
      <c r="F502" s="111" t="inlineStr">
        <is>
          <t xml:space="preserve">998883310406 SMS OZI, 998885350803 SMS UY, 998882661198 SMS AKASI, 998990157293 SMS UKASI,</t>
        </is>
      </c>
      <c r="G502" s="111" t="inlineStr">
        <is>
          <t xml:space="preserve">Сурхандарьинская область, Денауский район, Фарғона ҚФЙ,  Водий МФЙ, дом 6, кв. 15</t>
        </is>
      </c>
      <c r="H502" s="112">
        <v>1.0</v>
      </c>
      <c r="I502" s="112">
        <v>4811917.09</v>
      </c>
      <c r="K502" s="111" t="inlineStr">
        <is>
          <t xml:space="preserve">10 dan yopad | 534</t>
        </is>
      </c>
    </row>
    <row r="503">
      <c r="A503" s="111" t="inlineStr">
        <is>
          <t xml:space="preserve">СУРХОНДАРЁ ВИЛОЯТИ</t>
        </is>
      </c>
      <c r="B503" s="111" t="inlineStr">
        <is>
          <t xml:space="preserve">Денов филиали</t>
        </is>
      </c>
      <c r="C503" s="111" t="inlineStr">
        <is>
          <t xml:space="preserve">Ko'tardi</t>
        </is>
      </c>
      <c r="D503" s="111" t="inlineStr">
        <is>
          <t xml:space="preserve">Кр-99062383-2</t>
        </is>
      </c>
      <c r="E503" s="111" t="inlineStr">
        <is>
          <t xml:space="preserve">XAYRULLOYEV LAZIZBEK SUNATULLO O’G’LI</t>
        </is>
      </c>
      <c r="F503" s="111" t="inlineStr">
        <is>
          <t xml:space="preserve">998915143515 SMS UY, 998948653535 SMS UZI, 998995724383 SMS ONASI,</t>
        </is>
      </c>
      <c r="G503" s="111" t="inlineStr">
        <is>
          <t xml:space="preserve">GULHANIY KUCHASI 4-UY</t>
        </is>
      </c>
      <c r="H503" s="112">
        <v>3.0</v>
      </c>
      <c r="I503" s="112">
        <v>4640366.34</v>
      </c>
      <c r="K503" s="111" t="inlineStr">
        <is>
          <t xml:space="preserve">10 cida tolo qlad | 1818</t>
        </is>
      </c>
    </row>
    <row r="504">
      <c r="A504" s="111" t="inlineStr">
        <is>
          <t xml:space="preserve">СУРХОНДАРЁ ВИЛОЯТИ</t>
        </is>
      </c>
      <c r="B504" s="111" t="inlineStr">
        <is>
          <t xml:space="preserve">Денов филиали</t>
        </is>
      </c>
      <c r="C504" s="111" t="inlineStr">
        <is>
          <t xml:space="preserve">Ko'tardi</t>
        </is>
      </c>
      <c r="D504" s="111" t="inlineStr">
        <is>
          <t xml:space="preserve">Кр-99032627-1</t>
        </is>
      </c>
      <c r="E504" s="111" t="inlineStr">
        <is>
          <t xml:space="preserve">XAKBERDIYEVA XALIMA XUDAYBERDIYEVNA</t>
        </is>
      </c>
      <c r="F504" s="111" t="inlineStr">
        <is>
          <t xml:space="preserve">998941025191 SMS ONASI, 998941442601 SMS O’ZI, 998880437679 SMS TOG’ASI, 998336731123 SMS YANGASI,</t>
        </is>
      </c>
      <c r="G504" s="111" t="inlineStr">
        <is>
          <t xml:space="preserve">SURXONDARYO VILOYATI SARIOSIYO TUMANI DASHNOBOD KELAJAK SARI MFY KO’CHASI 19-UY</t>
        </is>
      </c>
      <c r="H504" s="112">
        <v>55.0</v>
      </c>
      <c r="I504" s="112">
        <v>4511878.59</v>
      </c>
      <c r="K504" s="111" t="inlineStr">
        <is>
          <t xml:space="preserve">wahnoz ogan | 443</t>
        </is>
      </c>
    </row>
    <row r="505">
      <c r="A505" s="111" t="inlineStr">
        <is>
          <t xml:space="preserve">СУРХОНДАРЁ ВИЛОЯТИ</t>
        </is>
      </c>
      <c r="B505" s="111" t="inlineStr">
        <is>
          <t xml:space="preserve">Денов филиали</t>
        </is>
      </c>
      <c r="C505" s="111" t="inlineStr">
        <is>
          <t xml:space="preserve">Обещали</t>
        </is>
      </c>
      <c r="D505" s="111" t="inlineStr">
        <is>
          <t xml:space="preserve">Кр-99017725-6</t>
        </is>
      </c>
      <c r="E505" s="111" t="inlineStr">
        <is>
          <t xml:space="preserve">ALIMOV BEKZOD ERGASHALIYEVICH</t>
        </is>
      </c>
      <c r="F505" s="111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505" s="111" t="inlineStr">
        <is>
          <t xml:space="preserve">SURXONDARYO VILOYATI DENOV TUMANI MINGBULOQ MFY  ABUXOYAT  K’OCHASI  12-UY</t>
        </is>
      </c>
      <c r="H505" s="112">
        <v>3.0</v>
      </c>
      <c r="I505" s="112">
        <v>4388441.15</v>
      </c>
      <c r="K505" s="111" t="inlineStr">
        <is>
          <t xml:space="preserve">10 dan kyn yopad | 87</t>
        </is>
      </c>
    </row>
    <row r="506">
      <c r="A506" s="111" t="inlineStr">
        <is>
          <t xml:space="preserve">СУРХОНДАРЁ ВИЛОЯТИ</t>
        </is>
      </c>
      <c r="B506" s="111" t="inlineStr">
        <is>
          <t xml:space="preserve">Денов филиали</t>
        </is>
      </c>
      <c r="C506" s="111" t="inlineStr">
        <is>
          <t xml:space="preserve">Оплатил дозвон</t>
        </is>
      </c>
      <c r="D506" s="111" t="inlineStr">
        <is>
          <t xml:space="preserve">Кр-99042816-2</t>
        </is>
      </c>
      <c r="E506" s="111" t="inlineStr">
        <is>
          <t xml:space="preserve">RAHIMOV HUMOYUN BEKMUROD O’G’LI</t>
        </is>
      </c>
      <c r="F506" s="111" t="inlineStr">
        <is>
          <t xml:space="preserve">998942097777 SMS AKASI, 998975341111 SMS O’ZI, 998994161900 SMS SHERIGI,</t>
        </is>
      </c>
      <c r="G506" s="111" t="inlineStr">
        <is>
          <t xml:space="preserve">Тошкент шаҳри, Чилонзор, 17 мавзе, 33 Уй, 69 Квартира</t>
        </is>
      </c>
      <c r="H506" s="112">
        <v>3.0</v>
      </c>
      <c r="I506" s="112">
        <v>3934813.56</v>
      </c>
      <c r="J506" s="112">
        <v>3934813.56</v>
      </c>
      <c r="K506" s="111" t="inlineStr">
        <is>
          <t xml:space="preserve">oylik tolovi yopildi | 1267</t>
        </is>
      </c>
    </row>
    <row r="507">
      <c r="A507" s="111" t="inlineStr">
        <is>
          <t xml:space="preserve">СУРХОНДАРЁ ВИЛОЯТИ</t>
        </is>
      </c>
      <c r="B507" s="111" t="inlineStr">
        <is>
          <t xml:space="preserve">Денов филиали</t>
        </is>
      </c>
      <c r="C507" s="111" t="inlineStr">
        <is>
          <t xml:space="preserve">Ko'tardi</t>
        </is>
      </c>
      <c r="D507" s="111" t="inlineStr">
        <is>
          <t xml:space="preserve">Кр-99049209-1</t>
        </is>
      </c>
      <c r="E507" s="111" t="inlineStr">
        <is>
          <t xml:space="preserve">XAMRAKULOVA SHOIRA ABDUGANIYEVNA</t>
        </is>
      </c>
      <c r="F507" s="111" t="inlineStr">
        <is>
          <t xml:space="preserve">998700429099 SMS O’G’LI, 998883527505 SMS UY, 998957757876 SMS O’ZI,</t>
        </is>
      </c>
      <c r="G507" s="111" t="inlineStr">
        <is>
          <t xml:space="preserve">SURXONDARYO VILOYATI DENOV TUMANI VODIY MFY FARG’ONA 45 UY</t>
        </is>
      </c>
      <c r="H507" s="112">
        <v>3.0</v>
      </c>
      <c r="I507" s="112">
        <v>3725227.44</v>
      </c>
      <c r="K507" s="111" t="inlineStr">
        <is>
          <t xml:space="preserve">17 cisida ogli pul tawedi | 1437</t>
        </is>
      </c>
    </row>
    <row r="508">
      <c r="A508" s="111" t="inlineStr">
        <is>
          <t xml:space="preserve">СУРХОНДАРЁ ВИЛОЯТИ</t>
        </is>
      </c>
      <c r="B508" s="111" t="inlineStr">
        <is>
          <t xml:space="preserve">Денов филиали</t>
        </is>
      </c>
      <c r="C508" s="111" t="inlineStr">
        <is>
          <t xml:space="preserve">Ko'tardi</t>
        </is>
      </c>
      <c r="D508" s="111" t="inlineStr">
        <is>
          <t xml:space="preserve">Кр-99064195-3</t>
        </is>
      </c>
      <c r="E508" s="111" t="inlineStr">
        <is>
          <t xml:space="preserve">FAYZIYEVA MUBORAK ORTIQ QIZI</t>
        </is>
      </c>
      <c r="F508" s="111" t="inlineStr">
        <is>
          <t xml:space="preserve">998956584008 O’ZI, 998958856660 ONASI, 998997156372 MOMASI,</t>
        </is>
      </c>
      <c r="G508" s="111" t="inlineStr">
        <is>
          <t xml:space="preserve">YANGI XAYOT KO’CHASI 64-UY</t>
        </is>
      </c>
      <c r="H508" s="112">
        <v>3.0</v>
      </c>
      <c r="I508" s="112">
        <v>3631652.0</v>
      </c>
      <c r="K508" s="111" t="inlineStr">
        <is>
          <t xml:space="preserve">13 cisida tolo qlad | 2307</t>
        </is>
      </c>
    </row>
    <row r="509">
      <c r="A509" s="111" t="inlineStr">
        <is>
          <t xml:space="preserve">СУРХОНДАРЁ ВИЛОЯТИ</t>
        </is>
      </c>
      <c r="B509" s="111" t="inlineStr">
        <is>
          <t xml:space="preserve">Денов филиали</t>
        </is>
      </c>
      <c r="C509" s="111" t="inlineStr">
        <is>
          <t xml:space="preserve">Обещали</t>
        </is>
      </c>
      <c r="D509" s="111" t="inlineStr">
        <is>
          <t xml:space="preserve">Кр-99049246-1</t>
        </is>
      </c>
      <c r="E509" s="111" t="inlineStr">
        <is>
          <t xml:space="preserve">DJUMAYEV SHAROFIDDIN SHODIKULOVICH</t>
        </is>
      </c>
      <c r="F509" s="111" t="inlineStr">
        <is>
          <t xml:space="preserve">998888752525 SMS O’ZI, 998915111161 SMS OILASI, 998952223089 SMS TO'LOVCHI,</t>
        </is>
      </c>
      <c r="G509" s="111" t="inlineStr">
        <is>
          <t xml:space="preserve">SURXONDARYO VILOYATI DENOVI TUMANI BOG’INAV MFY AL-BUXORIY 47 UY</t>
        </is>
      </c>
      <c r="H509" s="112">
        <v>3.0</v>
      </c>
      <c r="I509" s="112">
        <v>3530114.16</v>
      </c>
      <c r="K509" s="111" t="inlineStr">
        <is>
          <t xml:space="preserve">10 cisida tolo qlad ozimzda iwlab ketgan farruxni krediti | 1441</t>
        </is>
      </c>
    </row>
    <row r="510">
      <c r="A510" s="111" t="inlineStr">
        <is>
          <t xml:space="preserve">СУРХОНДАРЁ ВИЛОЯТИ</t>
        </is>
      </c>
      <c r="B510" s="111" t="inlineStr">
        <is>
          <t xml:space="preserve">Денов филиали</t>
        </is>
      </c>
      <c r="C510" s="111" t="inlineStr">
        <is>
          <t xml:space="preserve">Ko'tardi</t>
        </is>
      </c>
      <c r="D510" s="111" t="inlineStr">
        <is>
          <t xml:space="preserve">Кр-99030943-1</t>
        </is>
      </c>
      <c r="E510" s="111" t="inlineStr">
        <is>
          <t xml:space="preserve">ISMATOV SHERZOD URALOVICH</t>
        </is>
      </c>
      <c r="F510" s="111" t="inlineStr">
        <is>
          <t xml:space="preserve">91-714-14-41 SMS O’ZI, 88-808-68-93  SMS UY, 91-717-98-99  SMS OILASI, 91-710-18-12  SMS ONASI,</t>
        </is>
      </c>
      <c r="G510" s="111" t="inlineStr">
        <is>
          <t xml:space="preserve">SURXONDARYO VILOYATI OLTINSOY TUMANI OLMAZOR MFY SHOXSAROY KO’CHASI 19-UY </t>
        </is>
      </c>
      <c r="H510" s="112">
        <v>17.0</v>
      </c>
      <c r="I510" s="112">
        <v>3423738.32</v>
      </c>
      <c r="K510" s="111" t="inlineStr">
        <is>
          <t xml:space="preserve">wahnoz ogan | 367</t>
        </is>
      </c>
    </row>
    <row r="511">
      <c r="A511" s="111" t="inlineStr">
        <is>
          <t xml:space="preserve">СУРХОНДАРЁ ВИЛОЯТИ</t>
        </is>
      </c>
      <c r="B511" s="111" t="inlineStr">
        <is>
          <t xml:space="preserve">Денов филиали</t>
        </is>
      </c>
      <c r="C511" s="111" t="inlineStr">
        <is>
          <t xml:space="preserve">Ko'tardi</t>
        </is>
      </c>
      <c r="D511" s="111" t="inlineStr">
        <is>
          <t xml:space="preserve">Кр-99035581-2</t>
        </is>
      </c>
      <c r="E511" s="111" t="inlineStr">
        <is>
          <t xml:space="preserve">SAYDALIYEV BAXTINUR BAXRIDDIN O’G’LI</t>
        </is>
      </c>
      <c r="F511" s="111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511" s="111" t="inlineStr">
        <is>
          <t xml:space="preserve">Сурхондарё вилояти Кизирик Тумани Работак МФЙ, Абдулла Қаххор 1 кучаси, 21...-уй</t>
        </is>
      </c>
      <c r="H511" s="112">
        <v>3.0</v>
      </c>
      <c r="I511" s="112">
        <v>2906509.53</v>
      </c>
      <c r="K511" s="111" t="inlineStr">
        <is>
          <t xml:space="preserve">15 санада тулов киламан деб вада берди 917240044</t>
        </is>
      </c>
    </row>
    <row r="512">
      <c r="A512" s="111" t="inlineStr">
        <is>
          <t xml:space="preserve">СУРХОНДАРЁ ВИЛОЯТИ</t>
        </is>
      </c>
      <c r="B512" s="111" t="inlineStr">
        <is>
          <t xml:space="preserve">Денов филиали</t>
        </is>
      </c>
      <c r="C512" s="111" t="inlineStr">
        <is>
          <t xml:space="preserve">Ko'tardi</t>
        </is>
      </c>
      <c r="D512" s="111" t="inlineStr">
        <is>
          <t xml:space="preserve">Кр-99034974-1</t>
        </is>
      </c>
      <c r="E512" s="111" t="inlineStr">
        <is>
          <t xml:space="preserve">XUSHBAQOV MANSURBEK XUDAYBERDI O’G’LI</t>
        </is>
      </c>
      <c r="F512" s="111" t="inlineStr">
        <is>
          <t xml:space="preserve">998972427172 SMS OZI, 998500532519 SMS UY  BEGONA, 998884231373 SMS OILASI, 998903750890 SMS OZI,</t>
        </is>
      </c>
      <c r="G512" s="111" t="inlineStr">
        <is>
          <t xml:space="preserve">SURXONDARYO VILOYATI OLTINSOY TUMANI DUG’OBA QFY OLMAZOR MFY MARJON BULOQ KO’CHASI 59-UY</t>
        </is>
      </c>
      <c r="H512" s="112">
        <v>3.0</v>
      </c>
      <c r="I512" s="112">
        <v>2765204.85</v>
      </c>
      <c r="K512" s="111" t="inlineStr">
        <is>
          <t xml:space="preserve">akasi kotardi etaman tolo qlad dd | 558</t>
        </is>
      </c>
    </row>
    <row r="513">
      <c r="A513" s="111" t="inlineStr">
        <is>
          <t xml:space="preserve">СУРХОНДАРЁ ВИЛОЯТИ</t>
        </is>
      </c>
      <c r="B513" s="111" t="inlineStr">
        <is>
          <t xml:space="preserve">Денов филиали</t>
        </is>
      </c>
      <c r="C513" s="111" t="inlineStr">
        <is>
          <t xml:space="preserve">Ko'tardi</t>
        </is>
      </c>
      <c r="D513" s="111" t="inlineStr">
        <is>
          <t xml:space="preserve">Кр-99032902-1</t>
        </is>
      </c>
      <c r="E513" s="111" t="inlineStr">
        <is>
          <t xml:space="preserve">ESANOV YODGOR QARSHIYEVICH</t>
        </is>
      </c>
      <c r="F513" s="111" t="inlineStr">
        <is>
          <t xml:space="preserve">998991672595 SMS O’ZI TAKSIST , 998978488808 SMS AKASI, 998932439888 SMS UY, 998997117776 SMS, 998947283030 SMS AKASI,</t>
        </is>
      </c>
      <c r="G513" s="111" t="inlineStr">
        <is>
          <t xml:space="preserve">SURXONDARYO VILOYATI DENOV  OBODON MFY TURON 334-UY</t>
        </is>
      </c>
      <c r="H513" s="112">
        <v>2.0</v>
      </c>
      <c r="I513" s="112">
        <v>2545229.28</v>
      </c>
      <c r="K513" s="111" t="inlineStr">
        <is>
          <t xml:space="preserve">2-3 kunda tolo qlad | 453</t>
        </is>
      </c>
    </row>
    <row r="514">
      <c r="A514" s="111" t="inlineStr">
        <is>
          <t xml:space="preserve">СУРХОНДАРЁ ВИЛОЯТИ</t>
        </is>
      </c>
      <c r="B514" s="111" t="inlineStr">
        <is>
          <t xml:space="preserve">Денов филиали</t>
        </is>
      </c>
      <c r="C514" s="111" t="inlineStr">
        <is>
          <t xml:space="preserve">Ko'tardi</t>
        </is>
      </c>
      <c r="D514" s="111" t="inlineStr">
        <is>
          <t xml:space="preserve">Кр-99040068-3</t>
        </is>
      </c>
      <c r="E514" s="111" t="inlineStr">
        <is>
          <t xml:space="preserve">BAZAROV AXMAT ESHMAMATOVICH</t>
        </is>
      </c>
      <c r="F514" s="111" t="inlineStr">
        <is>
          <t xml:space="preserve">998973505961 SMS AYOLI, 998976942461 SMS OZI, 998918171212 SMS QIZI, 998976396767 SMS OGLI, 998903579595 SMS UY,</t>
        </is>
      </c>
      <c r="G514" s="111" t="inlineStr">
        <is>
          <t xml:space="preserve">SURXONDARYO VILOYATI DENOV TUMANI OZOD MFY  NURLI HAYOT KO’CHASI 45-UY</t>
        </is>
      </c>
      <c r="H514" s="112">
        <v>3.0</v>
      </c>
      <c r="I514" s="112">
        <v>2502751.67</v>
      </c>
      <c r="K514" s="111" t="inlineStr">
        <is>
          <t xml:space="preserve">abror tolo qlw kk | 942</t>
        </is>
      </c>
    </row>
    <row r="515">
      <c r="A515" s="111" t="inlineStr">
        <is>
          <t xml:space="preserve">СУРХОНДАРЁ ВИЛОЯТИ</t>
        </is>
      </c>
      <c r="B515" s="111" t="inlineStr">
        <is>
          <t xml:space="preserve">Денов филиали</t>
        </is>
      </c>
      <c r="C515" s="111" t="inlineStr">
        <is>
          <t xml:space="preserve">Ko'tardi</t>
        </is>
      </c>
      <c r="D515" s="111" t="inlineStr">
        <is>
          <t xml:space="preserve">Кр-99035581-5</t>
        </is>
      </c>
      <c r="E515" s="111" t="inlineStr">
        <is>
          <t xml:space="preserve">SAYDALIYEV BAXTINUR BAXRIDDIN O’G’LI</t>
        </is>
      </c>
      <c r="F515" s="111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515" s="111" t="inlineStr">
        <is>
          <t xml:space="preserve">Сурхондарё вилояти Кизирик Тумани Работак МФЙ, Абдулла Қаххор 1 кучаси, 21...-уй</t>
        </is>
      </c>
      <c r="H515" s="112">
        <v>3.0</v>
      </c>
      <c r="I515" s="112">
        <v>2427413.13</v>
      </c>
      <c r="K515" s="111" t="inlineStr">
        <is>
          <t xml:space="preserve">15 санада тулов киламан деб вада берди 917240044</t>
        </is>
      </c>
    </row>
    <row r="516">
      <c r="A516" s="111" t="inlineStr">
        <is>
          <t xml:space="preserve">СУРХОНДАРЁ ВИЛОЯТИ</t>
        </is>
      </c>
      <c r="B516" s="111" t="inlineStr">
        <is>
          <t xml:space="preserve">Денов филиали</t>
        </is>
      </c>
      <c r="C516" s="111" t="inlineStr">
        <is>
          <t xml:space="preserve">Обещали</t>
        </is>
      </c>
      <c r="D516" s="111" t="inlineStr">
        <is>
          <t xml:space="preserve">Кр-99019220-3</t>
        </is>
      </c>
      <c r="E516" s="111" t="inlineStr">
        <is>
          <t xml:space="preserve">QARSHIYEV ABBOS BOZOROVICH</t>
        </is>
      </c>
      <c r="F516" s="111" t="inlineStr">
        <is>
          <t xml:space="preserve">99-677-92-71 SMS UZI, 88-242-60-02 SMS UKASI , 88-154-13-95  SMS AKASI , 91-008-33-56 SMS UKASI , 50-077-92-71 SMS OZI SHUNGA QILINSIN MILLIYDA UQIDI INSTDA , 998500779271 SMS O’ZI, 998902664404 SMS DO’STI, 998972449271 SMS DADASI,</t>
        </is>
      </c>
      <c r="G516" s="111" t="inlineStr">
        <is>
          <t xml:space="preserve">СУРХОНДАРЁ ВИЛОЯТИ ХАЙРАБОД ҚФЙ, ПАХТАКУРАШ МФЙ, ХАЙРАБОД ҚФЙ, ПАХТАКУРАШ МФЙ, КАРВОН ЙУЛИ  55-uy</t>
        </is>
      </c>
      <c r="H516" s="112">
        <v>3.0</v>
      </c>
      <c r="I516" s="112">
        <v>2414354.79</v>
      </c>
      <c r="K516" s="111" t="inlineStr">
        <is>
          <t xml:space="preserve">bugun kecga yopad | 101</t>
        </is>
      </c>
    </row>
    <row r="517">
      <c r="A517" s="111" t="inlineStr">
        <is>
          <t xml:space="preserve">СУРХОНДАРЁ ВИЛОЯТИ</t>
        </is>
      </c>
      <c r="B517" s="111" t="inlineStr">
        <is>
          <t xml:space="preserve">Денов филиали</t>
        </is>
      </c>
      <c r="C517" s="111" t="inlineStr">
        <is>
          <t xml:space="preserve">Обещали</t>
        </is>
      </c>
      <c r="D517" s="111" t="inlineStr">
        <is>
          <t xml:space="preserve">Кр-99034309-2</t>
        </is>
      </c>
      <c r="E517" s="111" t="inlineStr">
        <is>
          <t xml:space="preserve">KAMBAROV NIZOMIDDIN IKROMIDDINOVICH</t>
        </is>
      </c>
      <c r="F517" s="111" t="inlineStr">
        <is>
          <t xml:space="preserve">998883310406 SMS OZI, 998885350803 SMS UY, 998882661198 SMS AKASI, 998990157293 SMS UKASI,</t>
        </is>
      </c>
      <c r="G517" s="111" t="inlineStr">
        <is>
          <t xml:space="preserve">Сурхандарьинская область, Денауский район, Фарғона ҚФЙ,  Водий МФЙ, дом 6, кв. 15</t>
        </is>
      </c>
      <c r="H517" s="112">
        <v>3.0</v>
      </c>
      <c r="I517" s="112">
        <v>2299819.65</v>
      </c>
      <c r="K517" s="111" t="inlineStr">
        <is>
          <t xml:space="preserve">10 dan yopad | 535</t>
        </is>
      </c>
    </row>
    <row r="518">
      <c r="A518" s="111" t="inlineStr">
        <is>
          <t xml:space="preserve">СУРХОНДАРЁ ВИЛОЯТИ</t>
        </is>
      </c>
      <c r="B518" s="111" t="inlineStr">
        <is>
          <t xml:space="preserve">Денов филиали</t>
        </is>
      </c>
      <c r="C518" s="111" t="inlineStr">
        <is>
          <t xml:space="preserve">Ko'tardi</t>
        </is>
      </c>
      <c r="D518" s="111" t="inlineStr">
        <is>
          <t xml:space="preserve">Кр-99033003-1</t>
        </is>
      </c>
      <c r="E518" s="111" t="inlineStr">
        <is>
          <t xml:space="preserve">MAMATMUROTOV SIROJIDDIN  ABDIKADIROVICH</t>
        </is>
      </c>
      <c r="F518" s="111" t="inlineStr">
        <is>
          <t xml:space="preserve">998990928761 SMS O’ZI, 998880431616 SMS UY, 998595373735 SMS OILASI, 998888490130 SMS UKASI,</t>
        </is>
      </c>
      <c r="G518" s="111" t="inlineStr">
        <is>
          <t xml:space="preserve">SURXANDARYO VILOYATI DENOV TUMANI BOG’ISHAMOL MFY O’RIKZOR KOCHASI 1-UY</t>
        </is>
      </c>
      <c r="H518" s="112">
        <v>15.0</v>
      </c>
      <c r="I518" s="112">
        <v>2089898.07</v>
      </c>
      <c r="K518" s="111" t="inlineStr">
        <is>
          <t xml:space="preserve">abror ogan | 458</t>
        </is>
      </c>
    </row>
    <row r="519">
      <c r="A519" s="111" t="inlineStr">
        <is>
          <t xml:space="preserve">СУРХОНДАРЁ ВИЛОЯТИ</t>
        </is>
      </c>
      <c r="B519" s="111" t="inlineStr">
        <is>
          <t xml:space="preserve">Денов филиали</t>
        </is>
      </c>
      <c r="C519" s="111" t="inlineStr">
        <is>
          <t xml:space="preserve">Ko'tardi</t>
        </is>
      </c>
      <c r="D519" s="111" t="inlineStr">
        <is>
          <t xml:space="preserve">Кр-99021830-2</t>
        </is>
      </c>
      <c r="E519" s="111" t="inlineStr">
        <is>
          <t xml:space="preserve">YULDOSHEVA MAKSUDA DJURABAYEVNA</t>
        </is>
      </c>
      <c r="F519" s="111" t="inlineStr">
        <is>
          <t xml:space="preserve">998978408289 SMS , 998981760183 SMS UY , 998888480485 SMS,</t>
        </is>
      </c>
      <c r="G519" s="111" t="inlineStr">
        <is>
          <t xml:space="preserve">SURXONDARYO VILOYATI UZUN TUMANI FAYZOVA QFY  DOZARA MFY ALPOMISH KOCHASI 50-UY</t>
        </is>
      </c>
      <c r="H519" s="112">
        <v>24.0</v>
      </c>
      <c r="I519" s="112">
        <v>2084183.22</v>
      </c>
      <c r="K519" s="111" t="inlineStr">
        <is>
          <t xml:space="preserve">abror ogan | 144</t>
        </is>
      </c>
    </row>
    <row r="520">
      <c r="A520" s="111" t="inlineStr">
        <is>
          <t xml:space="preserve">СУРХОНДАРЁ ВИЛОЯТИ</t>
        </is>
      </c>
      <c r="B520" s="111" t="inlineStr">
        <is>
          <t xml:space="preserve">Денов филиали</t>
        </is>
      </c>
      <c r="C520" s="111" t="inlineStr">
        <is>
          <t xml:space="preserve">Ko'tardi</t>
        </is>
      </c>
      <c r="D520" s="111" t="inlineStr">
        <is>
          <t xml:space="preserve">Кр-99043043-1</t>
        </is>
      </c>
      <c r="E520" s="111" t="inlineStr">
        <is>
          <t xml:space="preserve">BOYQULOV FIRDAVS ABDUVOXID O’G’LI</t>
        </is>
      </c>
      <c r="F520" s="111" t="inlineStr">
        <is>
          <t xml:space="preserve">998944361003 SMS O’ZI, 998991351177 SMS UY, 998996660094 SMS AKASI,</t>
        </is>
      </c>
      <c r="G520" s="111" t="inlineStr">
        <is>
          <t xml:space="preserve">Сурхандарьинская область, Денауский район, Хазарбоғ СИУ, Чим МСГ, ул. Гулистон, дом 6</t>
        </is>
      </c>
      <c r="H520" s="112">
        <v>3.0</v>
      </c>
      <c r="I520" s="112">
        <v>1893287.6</v>
      </c>
      <c r="K520" s="111" t="inlineStr">
        <is>
          <t xml:space="preserve">amakimga etaman tolo qlad amakim ogandi ddi | 1284</t>
        </is>
      </c>
    </row>
    <row r="521">
      <c r="A521" s="111" t="inlineStr">
        <is>
          <t xml:space="preserve">СУРХОНДАРЁ ВИЛОЯТИ</t>
        </is>
      </c>
      <c r="B521" s="111" t="inlineStr">
        <is>
          <t xml:space="preserve">Денов филиали</t>
        </is>
      </c>
      <c r="C521" s="111" t="inlineStr">
        <is>
          <t xml:space="preserve">Обещали</t>
        </is>
      </c>
      <c r="D521" s="111" t="inlineStr">
        <is>
          <t xml:space="preserve">Кр-99064083-1</t>
        </is>
      </c>
      <c r="E521" s="111" t="inlineStr">
        <is>
          <t xml:space="preserve">QULMATOVA BAXTIGUL IBRAGIM QIZI</t>
        </is>
      </c>
      <c r="F521" s="111" t="inlineStr">
        <is>
          <t xml:space="preserve">998507565790 OPASI, 998771781694 UKASI, 998776851694 QAYNI UKASI, 998944160692 O’ZI,</t>
        </is>
      </c>
      <c r="G521" s="111" t="inlineStr">
        <is>
          <t xml:space="preserve">DO’STLIK KO’CHASI 152-UY</t>
        </is>
      </c>
      <c r="H521" s="112">
        <v>3.0</v>
      </c>
      <c r="I521" s="112">
        <v>1862481.8</v>
      </c>
      <c r="K521" s="111" t="inlineStr">
        <is>
          <t xml:space="preserve">abetgaca tolo qlad | 2283</t>
        </is>
      </c>
    </row>
    <row r="522">
      <c r="A522" s="111" t="inlineStr">
        <is>
          <t xml:space="preserve">СУРХОНДАРЁ ВИЛОЯТИ</t>
        </is>
      </c>
      <c r="B522" s="111" t="inlineStr">
        <is>
          <t xml:space="preserve">Денов филиали</t>
        </is>
      </c>
      <c r="C522" s="111" t="inlineStr">
        <is>
          <t xml:space="preserve">Ko'tardi</t>
        </is>
      </c>
      <c r="D522" s="111" t="inlineStr">
        <is>
          <t xml:space="preserve">Кр-99029195-4</t>
        </is>
      </c>
      <c r="E522" s="111" t="inlineStr">
        <is>
          <t xml:space="preserve">ESHBAYEVA GULBAHOR OMANDAVLATOVNA</t>
        </is>
      </c>
      <c r="F522" s="111" t="inlineStr">
        <is>
          <t xml:space="preserve">998904180270 SMS O’ZI, 998994490270 SMS UY, 998330750020 SMS UKASI, 998993808096 SMS UKASI, 998999661002 SMS TULOVCHI,</t>
        </is>
      </c>
      <c r="G522" s="111" t="inlineStr">
        <is>
          <t xml:space="preserve">SURXONDARYO VILOYATI QUMQURG’ON TUMANI CHUKIRLI MFY BO’LAK TEPA KO’CHASI 28-UY</t>
        </is>
      </c>
      <c r="H522" s="112">
        <v>3.0</v>
      </c>
      <c r="I522" s="112">
        <v>1722948.34</v>
      </c>
      <c r="K522" s="111" t="inlineStr">
        <is>
          <t xml:space="preserve">bugun uzogi erte | 310</t>
        </is>
      </c>
    </row>
    <row r="523">
      <c r="A523" s="111" t="inlineStr">
        <is>
          <t xml:space="preserve">СУРХОНДАРЁ ВИЛОЯТИ</t>
        </is>
      </c>
      <c r="B523" s="111" t="inlineStr">
        <is>
          <t xml:space="preserve">Денов филиали</t>
        </is>
      </c>
      <c r="C523" s="111" t="inlineStr">
        <is>
          <t xml:space="preserve">Оплатил дозвон</t>
        </is>
      </c>
      <c r="D523" s="111" t="inlineStr">
        <is>
          <t xml:space="preserve">Кр-99012829-1</t>
        </is>
      </c>
      <c r="E523" s="111" t="inlineStr">
        <is>
          <t xml:space="preserve">MIRZAYEV ERGASH ALMARDONOVICH</t>
        </is>
      </c>
      <c r="F523" s="111" t="inlineStr">
        <is>
          <t xml:space="preserve">90-000-00-00 SMS, 998950987102 SMSO’G’LI, 998970846111 SMS O’ZI, 998978122070 SMS UY,</t>
        </is>
      </c>
      <c r="G523" s="111" t="inlineStr">
        <is>
          <t xml:space="preserve">SURXONDARYO VILOYATI DENOV TUMANI XATRABOD QFY XO’JAXALQ  MFY ISTIQLOL KO’CHASI 45-UY</t>
        </is>
      </c>
      <c r="H523" s="112">
        <v>3.0</v>
      </c>
      <c r="I523" s="112">
        <v>1660921.6</v>
      </c>
      <c r="J523" s="112">
        <v>1660921.6</v>
      </c>
      <c r="K523" s="111" t="inlineStr">
        <is>
          <t xml:space="preserve">oylik tolovi yopildi | 67</t>
        </is>
      </c>
    </row>
    <row r="524">
      <c r="A524" s="111" t="inlineStr">
        <is>
          <t xml:space="preserve">СУРХОНДАРЁ ВИЛОЯТИ</t>
        </is>
      </c>
      <c r="B524" s="111" t="inlineStr">
        <is>
          <t xml:space="preserve">Денов филиали</t>
        </is>
      </c>
      <c r="C524" s="111" t="inlineStr">
        <is>
          <t xml:space="preserve">Ko'tardi</t>
        </is>
      </c>
      <c r="D524" s="111" t="inlineStr">
        <is>
          <t xml:space="preserve">Кр-99012096-4</t>
        </is>
      </c>
      <c r="E524" s="111" t="inlineStr">
        <is>
          <t xml:space="preserve">FORMONOV BOZAR MUMINOVICH</t>
        </is>
      </c>
      <c r="F524" s="111" t="inlineStr">
        <is>
          <t xml:space="preserve">998950407744 SMS OZI, 998942057744 SMS UY, 998943274777 SMS OGLI, 998942670015 SMS OGLI HALIM,</t>
        </is>
      </c>
      <c r="G524" s="111" t="inlineStr">
        <is>
          <t xml:space="preserve">SURXONDARYO VILOYATI DENOV TUMANI OYBARAK MFY A. YUQORI QISHLOQ KO’CHASI 45-UY</t>
        </is>
      </c>
      <c r="H524" s="112">
        <v>3.0</v>
      </c>
      <c r="I524" s="112">
        <v>1551768.04</v>
      </c>
      <c r="K524" s="111" t="inlineStr">
        <is>
          <t xml:space="preserve">ogli bn gaplawdm 2-3 kunda tolo qlamz dd | 61</t>
        </is>
      </c>
    </row>
    <row r="525">
      <c r="A525" s="111" t="inlineStr">
        <is>
          <t xml:space="preserve">СУРХОНДАРЁ ВИЛОЯТИ</t>
        </is>
      </c>
      <c r="B525" s="111" t="inlineStr">
        <is>
          <t xml:space="preserve">Денов филиали</t>
        </is>
      </c>
      <c r="C525" s="111" t="inlineStr">
        <is>
          <t xml:space="preserve">Ko'tardi</t>
        </is>
      </c>
      <c r="D525" s="111" t="inlineStr">
        <is>
          <t xml:space="preserve">Кр-99027715-1</t>
        </is>
      </c>
      <c r="E525" s="111" t="inlineStr">
        <is>
          <t xml:space="preserve">SHODMONOVA MAFTUNA OBIDJONOVNA</t>
        </is>
      </c>
      <c r="F525" s="111" t="inlineStr">
        <is>
          <t xml:space="preserve">97-225-11-27 SMS ERI  UQITUVCHI TOLOVCHI , 91-966-11-27 SMS UY, 90-568-35-85 SMS ONASI, 97-551-16-69 SMS ISHXONA,</t>
        </is>
      </c>
      <c r="G525" s="111" t="inlineStr">
        <is>
          <t xml:space="preserve">SURXONDARYO UZUN TUMANI YANGIRO’ZG’OR MFY DO’STLIK KO’CHASI 855-UY</t>
        </is>
      </c>
      <c r="H525" s="112">
        <v>1.0</v>
      </c>
      <c r="I525" s="112">
        <v>1545802.85</v>
      </c>
      <c r="K525" s="111" t="inlineStr">
        <is>
          <t xml:space="preserve">15 dan kyn tolov qladi | 247</t>
        </is>
      </c>
    </row>
    <row r="526">
      <c r="A526" s="111" t="inlineStr">
        <is>
          <t xml:space="preserve">СУРХОНДАРЁ ВИЛОЯТИ</t>
        </is>
      </c>
      <c r="B526" s="111" t="inlineStr">
        <is>
          <t xml:space="preserve">Денов филиали</t>
        </is>
      </c>
      <c r="C526" s="111" t="inlineStr">
        <is>
          <t xml:space="preserve">Ko'tardi</t>
        </is>
      </c>
      <c r="D526" s="111" t="inlineStr">
        <is>
          <t xml:space="preserve">Кр-99029526-3</t>
        </is>
      </c>
      <c r="E526" s="111" t="inlineStr">
        <is>
          <t xml:space="preserve">QAYUMOV XASAN XAYRULLAYEVICH</t>
        </is>
      </c>
      <c r="F526" s="111" t="inlineStr">
        <is>
          <t xml:space="preserve">97-693-95-55 SMS , 90-266-26-26  SMS AKASI, 90-266-32-66  SMS ONASI, 77-023-72-32  SMS UY, 998996726826 SMS TOLOVCHI ,</t>
        </is>
      </c>
      <c r="G526" s="111" t="inlineStr">
        <is>
          <t xml:space="preserve">SURXONDARYO VILOYATI DENOV TUMANI  BOBIR MFY  BOBUR 25-UY</t>
        </is>
      </c>
      <c r="H526" s="112">
        <v>3.0</v>
      </c>
      <c r="I526" s="112">
        <v>1451841.84</v>
      </c>
      <c r="K526" s="111" t="inlineStr">
        <is>
          <t xml:space="preserve">tolovcisi xurwid bn gaplawdmm xasan ozi cetda | 322</t>
        </is>
      </c>
    </row>
    <row r="527">
      <c r="A527" s="111" t="inlineStr">
        <is>
          <t xml:space="preserve">СУРХОНДАРЁ ВИЛОЯТИ</t>
        </is>
      </c>
      <c r="B527" s="111" t="inlineStr">
        <is>
          <t xml:space="preserve">Денов филиали</t>
        </is>
      </c>
      <c r="C527" s="111" t="inlineStr">
        <is>
          <t xml:space="preserve">Обещали</t>
        </is>
      </c>
      <c r="D527" s="111" t="inlineStr">
        <is>
          <t xml:space="preserve">Кр-99031487-3</t>
        </is>
      </c>
      <c r="E527" s="111" t="inlineStr">
        <is>
          <t xml:space="preserve">POYANOV XIMOIDDIN AMIRJONOVICH</t>
        </is>
      </c>
      <c r="F527" s="111" t="inlineStr">
        <is>
          <t xml:space="preserve">998995707222 SMS O’ZI, 998953137053 SMS AYOLI, 998952237022 SMS AKASI, 998770527022 SMS ONASI,</t>
        </is>
      </c>
      <c r="G527" s="111" t="inlineStr">
        <is>
          <t xml:space="preserve">SURXONDARYO VILOYATI DENOV  TUMANI ANBARSOY  QFY O’RTAQISHLOQ  MFY DO’STLIK KO’CHASI 117-UY</t>
        </is>
      </c>
      <c r="H527" s="112">
        <v>3.0</v>
      </c>
      <c r="I527" s="112">
        <v>1379612.62</v>
      </c>
      <c r="K527" s="111" t="inlineStr">
        <is>
          <t xml:space="preserve">duwanb kuni yopad | 391</t>
        </is>
      </c>
    </row>
    <row r="528">
      <c r="A528" s="111" t="inlineStr">
        <is>
          <t xml:space="preserve">СУРХОНДАРЁ ВИЛОЯТИ</t>
        </is>
      </c>
      <c r="B528" s="111" t="inlineStr">
        <is>
          <t xml:space="preserve">Денов филиали</t>
        </is>
      </c>
      <c r="C528" s="111" t="inlineStr">
        <is>
          <t xml:space="preserve">Ko'tardi</t>
        </is>
      </c>
      <c r="D528" s="111" t="inlineStr">
        <is>
          <t xml:space="preserve">Кр-99041293-1</t>
        </is>
      </c>
      <c r="E528" s="111" t="inlineStr">
        <is>
          <t xml:space="preserve">MUZRAPOV OTABEK SAYDAXMAT O’G’LI</t>
        </is>
      </c>
      <c r="F528" s="111" t="inlineStr">
        <is>
          <t xml:space="preserve">998904944044 SMS O’ZI, 998915174919 SMS UKASI, 998958852122 SMS UY,</t>
        </is>
      </c>
      <c r="G528" s="111" t="inlineStr">
        <is>
          <t xml:space="preserve">ҚОРЛИҚ ҚФЙ, ҚОРЛИҚ ҚФЙ, ҚОРЛИҚ-1,  uy:34</t>
        </is>
      </c>
      <c r="H528" s="112">
        <v>3.0</v>
      </c>
      <c r="I528" s="112">
        <v>1343703.15</v>
      </c>
      <c r="K528" s="111" t="inlineStr">
        <is>
          <t xml:space="preserve">keca 1 tasini yopd buni 15 dan kyn tolo qlad | 1138</t>
        </is>
      </c>
    </row>
    <row r="529">
      <c r="A529" s="111" t="inlineStr">
        <is>
          <t xml:space="preserve">СУРХОНДАРЁ ВИЛОЯТИ</t>
        </is>
      </c>
      <c r="B529" s="111" t="inlineStr">
        <is>
          <t xml:space="preserve">Денов филиали</t>
        </is>
      </c>
      <c r="C529" s="111" t="inlineStr">
        <is>
          <t xml:space="preserve">Ko'tardi</t>
        </is>
      </c>
      <c r="D529" s="111" t="inlineStr">
        <is>
          <t xml:space="preserve">Кр-99042229-1</t>
        </is>
      </c>
      <c r="E529" s="111" t="inlineStr">
        <is>
          <t xml:space="preserve">SHAYMARDANOVA SANOAT XAKIMOVNA</t>
        </is>
      </c>
      <c r="F529" s="111" t="inlineStr">
        <is>
          <t xml:space="preserve">998917177356 SMS O’G’LI, 998933329101 SMS UY, 998951768044 SMS O’ZI, 998902485398 SMS OGLI TOLOVCHI, 998955502955 SMS UZI new,</t>
        </is>
      </c>
      <c r="G529" s="111" t="inlineStr">
        <is>
          <t xml:space="preserve">СУРХОНДАРЁ ВИЛОЯТИ ДЕНОВ ШАХАР, ТОТУВЛИК МФЙ, ОЙБЕК,  uy:52</t>
        </is>
      </c>
      <c r="I529" s="112">
        <v>1327269.65</v>
      </c>
      <c r="K529" s="111" t="inlineStr">
        <is>
          <t xml:space="preserve">tolo qlad 15 lardan kyn | 1247</t>
        </is>
      </c>
    </row>
    <row r="530">
      <c r="A530" s="111" t="inlineStr">
        <is>
          <t xml:space="preserve">СУРХОНДАРЁ ВИЛОЯТИ</t>
        </is>
      </c>
      <c r="B530" s="111" t="inlineStr">
        <is>
          <t xml:space="preserve">Денов филиали</t>
        </is>
      </c>
      <c r="C530" s="111" t="inlineStr">
        <is>
          <t xml:space="preserve">Обещали</t>
        </is>
      </c>
      <c r="D530" s="111" t="inlineStr">
        <is>
          <t xml:space="preserve">Кр-99040480-1</t>
        </is>
      </c>
      <c r="E530" s="111" t="inlineStr">
        <is>
          <t xml:space="preserve">BORIYEVA GULZIVA MEREDOVNA</t>
        </is>
      </c>
      <c r="F530" s="111" t="inlineStr">
        <is>
          <t xml:space="preserve">998770561015 SMS OGLI, 998902474476 SMS OZI, 998999400015 SMS UY RAQAMI,</t>
        </is>
      </c>
      <c r="G530" s="111" t="inlineStr">
        <is>
          <t xml:space="preserve">ДЕНОВ ШАХАР, ГУЛИСТОН МФЙ, ДЕНОВ ШАХАР, ГУЛИСТОН ШФЙ, ГУЛИСТОН uy:85 xonadon:2</t>
        </is>
      </c>
      <c r="H530" s="112">
        <v>3.0</v>
      </c>
      <c r="I530" s="112">
        <v>991733.02</v>
      </c>
      <c r="K530" s="111" t="inlineStr">
        <is>
          <t xml:space="preserve">erte tolo qlad | 1031</t>
        </is>
      </c>
    </row>
    <row r="531">
      <c r="A531" s="111" t="inlineStr">
        <is>
          <t xml:space="preserve">СУРХОНДАРЁ ВИЛОЯТИ</t>
        </is>
      </c>
      <c r="B531" s="111" t="inlineStr">
        <is>
          <t xml:space="preserve">Денов филиали</t>
        </is>
      </c>
      <c r="C531" s="111" t="inlineStr">
        <is>
          <t xml:space="preserve">Обещали</t>
        </is>
      </c>
      <c r="D531" s="111" t="inlineStr">
        <is>
          <t xml:space="preserve">Кр-99034191-1</t>
        </is>
      </c>
      <c r="E531" s="111" t="inlineStr">
        <is>
          <t xml:space="preserve">XOLBEKOV ABDULAZIZ ABDUXAMIDOVICH</t>
        </is>
      </c>
      <c r="F531" s="111" t="inlineStr">
        <is>
          <t xml:space="preserve">998917177587 SMS O’ZI, 998919707080 SMS TOLOVCHI, 998917171476 SMS OILASI, 998905693043 SMS UY,</t>
        </is>
      </c>
      <c r="G531" s="111" t="inlineStr">
        <is>
          <t xml:space="preserve">SURXONDARYO VILOYATI OLTINSOY TUMANI SAXIBKOR  MFY 57-UY</t>
        </is>
      </c>
      <c r="H531" s="112">
        <v>3.0</v>
      </c>
      <c r="I531" s="112">
        <v>776177.74</v>
      </c>
      <c r="K531" s="111" t="inlineStr">
        <is>
          <t xml:space="preserve">11 cisida tolo qlad | 526</t>
        </is>
      </c>
    </row>
    <row r="532">
      <c r="A532" s="111" t="inlineStr">
        <is>
          <t xml:space="preserve">СУРХОНДАРЁ ВИЛОЯТИ</t>
        </is>
      </c>
      <c r="B532" s="111" t="inlineStr">
        <is>
          <t xml:space="preserve">Денов филиали</t>
        </is>
      </c>
      <c r="C532" s="111" t="inlineStr">
        <is>
          <t xml:space="preserve">Обещали</t>
        </is>
      </c>
      <c r="D532" s="111" t="inlineStr">
        <is>
          <t xml:space="preserve">Кр-99064054-1</t>
        </is>
      </c>
      <c r="E532" s="111" t="inlineStr">
        <is>
          <t xml:space="preserve">TILAKOV YASHNARBEK BEGALIYEVICH</t>
        </is>
      </c>
      <c r="F532" s="111" t="inlineStr">
        <is>
          <t xml:space="preserve">998770425002 TOG’ASI, 998954949000 O’ZI, 998957669000 AYOLI,</t>
        </is>
      </c>
      <c r="G532" s="111" t="inlineStr">
        <is>
          <t xml:space="preserve">RAYHON KO’CHASI 36-UY</t>
        </is>
      </c>
      <c r="H532" s="112">
        <v>3.0</v>
      </c>
      <c r="I532" s="112">
        <v>739339.93</v>
      </c>
      <c r="K532" s="111" t="inlineStr">
        <is>
          <t xml:space="preserve">erte tolo qlad 100% | 2278</t>
        </is>
      </c>
    </row>
    <row r="533">
      <c r="A533" s="111" t="inlineStr">
        <is>
          <t xml:space="preserve">СУРХОНДАРЁ ВИЛОЯТИ</t>
        </is>
      </c>
      <c r="B533" s="111" t="inlineStr">
        <is>
          <t xml:space="preserve">Денов филиали</t>
        </is>
      </c>
      <c r="C533" s="111" t="inlineStr">
        <is>
          <t xml:space="preserve">Обещали</t>
        </is>
      </c>
      <c r="D533" s="111" t="inlineStr">
        <is>
          <t xml:space="preserve">Кр-99033231-1</t>
        </is>
      </c>
      <c r="E533" s="111" t="inlineStr">
        <is>
          <t xml:space="preserve">ESHNAZAROV SUNNATULLA AXMATOVICH</t>
        </is>
      </c>
      <c r="F533" s="111" t="inlineStr">
        <is>
          <t xml:space="preserve">998883032896 SMS O’ZI, 998888070187 SMS UY, 998771628983 SMS OILASI, 998978486888 SMS SHERIGI,</t>
        </is>
      </c>
      <c r="G533" s="111" t="inlineStr">
        <is>
          <t xml:space="preserve">ДИЙДОР МФЙ, ОБОД КЎЧАСИ,  uy:Р/С</t>
        </is>
      </c>
      <c r="I533" s="112">
        <v>664904.1</v>
      </c>
      <c r="K533" s="111" t="inlineStr">
        <is>
          <t xml:space="preserve">bugn erte tolo qlad | 470</t>
        </is>
      </c>
    </row>
    <row r="534">
      <c r="A534" s="111" t="inlineStr">
        <is>
          <t xml:space="preserve">СУРХОНДАРЁ ВИЛОЯТИ</t>
        </is>
      </c>
      <c r="B534" s="111" t="inlineStr">
        <is>
          <t xml:space="preserve">Денов филиали</t>
        </is>
      </c>
      <c r="C534" s="111" t="inlineStr">
        <is>
          <t xml:space="preserve">Обещали</t>
        </is>
      </c>
      <c r="D534" s="111" t="inlineStr">
        <is>
          <t xml:space="preserve">Кр-99044462-1</t>
        </is>
      </c>
      <c r="E534" s="111" t="inlineStr">
        <is>
          <t xml:space="preserve">QARSHIYEV SHOHRUHBEK TO’LQIN O’G’LI</t>
        </is>
      </c>
      <c r="F534" s="111" t="inlineStr">
        <is>
          <t xml:space="preserve">+998977748999 SMS O’ZI, 998774798999 SMS AKASI, 998937996676 SMS UY,</t>
        </is>
      </c>
      <c r="G534" s="111" t="inlineStr">
        <is>
          <t xml:space="preserve">Сурхандарьинская область, Кизирикский район, Гулобод МСГ, ул. Мустақиллик, дом 31</t>
        </is>
      </c>
      <c r="H534" s="112">
        <v>3.0</v>
      </c>
      <c r="I534" s="112">
        <v>553957.49</v>
      </c>
      <c r="K534" s="111" t="inlineStr">
        <is>
          <t xml:space="preserve">бугун</t>
        </is>
      </c>
    </row>
    <row r="535">
      <c r="A535" s="111" t="inlineStr">
        <is>
          <t xml:space="preserve">СУРХОНДАРЁ ВИЛОЯТИ</t>
        </is>
      </c>
      <c r="B535" s="111" t="inlineStr">
        <is>
          <t xml:space="preserve">Денов филиали</t>
        </is>
      </c>
      <c r="C535" s="111" t="inlineStr">
        <is>
          <t xml:space="preserve">Оплатил дозвон</t>
        </is>
      </c>
      <c r="D535" s="111" t="inlineStr">
        <is>
          <t xml:space="preserve">Кр-99027666-1</t>
        </is>
      </c>
      <c r="E535" s="111" t="inlineStr">
        <is>
          <t xml:space="preserve">MELIBOYEVA SURAYYO NUMANJONOVNA</t>
        </is>
      </c>
      <c r="F535" s="111" t="inlineStr">
        <is>
          <t xml:space="preserve">99-708-53-90 SMS O'ZI, 93-633-43-90 SMS UY, 99-426-43-90 SMS UY 2,</t>
        </is>
      </c>
      <c r="G535" s="111" t="inlineStr">
        <is>
          <t xml:space="preserve">SURXANDARYO VILOYATI UZUN TUMANI T.CHINOR MFY OBIZARANG KO’CHASI 404-UY</t>
        </is>
      </c>
      <c r="H535" s="112">
        <v>3.0</v>
      </c>
      <c r="I535" s="112">
        <v>482429.69</v>
      </c>
      <c r="J535" s="112">
        <v>482429.69</v>
      </c>
      <c r="K535" s="111" t="inlineStr">
        <is>
          <t xml:space="preserve">oylik tolovi yopild | 243</t>
        </is>
      </c>
    </row>
    <row r="536">
      <c r="A536" s="111" t="inlineStr">
        <is>
          <t xml:space="preserve">СУРХОНДАРЁ ВИЛОЯТИ</t>
        </is>
      </c>
      <c r="B536" s="111" t="inlineStr">
        <is>
          <t xml:space="preserve">Денов филиали</t>
        </is>
      </c>
      <c r="C536" s="111" t="inlineStr">
        <is>
          <t xml:space="preserve">Ko'tardi</t>
        </is>
      </c>
      <c r="D536" s="111" t="inlineStr">
        <is>
          <t xml:space="preserve">Кр-99021788-3</t>
        </is>
      </c>
      <c r="E536" s="111" t="inlineStr">
        <is>
          <t xml:space="preserve">XAKIMOV IKROMJON SAFAROVICH</t>
        </is>
      </c>
      <c r="F536" s="111" t="inlineStr">
        <is>
          <t xml:space="preserve">99-563-63-55 SMS OZI, 88-753-83-77 SMS BEGONA , 99-105-22-72  SMS UY,</t>
        </is>
      </c>
      <c r="G536" s="111" t="inlineStr">
        <is>
          <t xml:space="preserve">SURXONDARYO VILOYATI DENOV TUMANI  DENOV QFY LAG’MON OTA MFY BAXT KO’CHASI 54-UY</t>
        </is>
      </c>
      <c r="I536" s="112">
        <v>472831.8</v>
      </c>
      <c r="K536" s="111" t="inlineStr">
        <is>
          <t xml:space="preserve">iskandar ogan | 143</t>
        </is>
      </c>
    </row>
    <row r="537">
      <c r="A537" s="111" t="inlineStr">
        <is>
          <t xml:space="preserve">СУРХОНДАРЁ ВИЛОЯТИ</t>
        </is>
      </c>
      <c r="B537" s="111" t="inlineStr">
        <is>
          <t xml:space="preserve">Денов филиали</t>
        </is>
      </c>
      <c r="C537" s="111" t="inlineStr">
        <is>
          <t xml:space="preserve">Ko'tardi</t>
        </is>
      </c>
      <c r="D537" s="111" t="inlineStr">
        <is>
          <t xml:space="preserve">Кр-99014989-4</t>
        </is>
      </c>
      <c r="E537" s="111" t="inlineStr">
        <is>
          <t xml:space="preserve">RUZIYEV UKTAM ABDIRAYEMOVICH</t>
        </is>
      </c>
      <c r="F537" s="111" t="inlineStr">
        <is>
          <t xml:space="preserve">99-335-45-80 SMS, 99-715-45-80 SMS UY, 99-454-45-80 SMS, 99-742-60-93 SMS ISHXONA,</t>
        </is>
      </c>
      <c r="G537" s="111" t="inlineStr">
        <is>
          <t xml:space="preserve">МИРШОДИ ҚФЙ, ОБОД ТУРМУШ МФЙ,  uy:00</t>
        </is>
      </c>
      <c r="I537" s="112">
        <v>127416.21</v>
      </c>
      <c r="K537" s="111" t="inlineStr">
        <is>
          <t xml:space="preserve">iskandar ogan | 79</t>
        </is>
      </c>
    </row>
    <row r="538">
      <c r="A538" s="113" t="inlineStr">
        <is>
          <t xml:space="preserve">СУРХОНДАРЁ ВИЛОЯТИ</t>
        </is>
      </c>
      <c r="B538" s="113" t="inlineStr">
        <is>
          <t xml:space="preserve">Термиз филиали</t>
        </is>
      </c>
      <c r="C538" s="113" t="inlineStr">
        <is>
          <t xml:space="preserve">Ko'tardi</t>
        </is>
      </c>
      <c r="D538" s="113" t="inlineStr">
        <is>
          <t xml:space="preserve">Кр-99047243-1</t>
        </is>
      </c>
      <c r="E538" s="113" t="inlineStr">
        <is>
          <t xml:space="preserve">XOLMO’MINOV ZAFARBEK ILHOM O’G’LI</t>
        </is>
      </c>
      <c r="F538" s="113" t="inlineStr">
        <is>
          <t xml:space="preserve">+998931295565 SMS O’ZI, 998774107913 SMS ONASI, 998935993630 SMS TO'LOVCHI,</t>
        </is>
      </c>
      <c r="G538" s="113" t="inlineStr">
        <is>
          <t xml:space="preserve">ТОРЗОР КУЧАСИ 13А УЙ</t>
        </is>
      </c>
      <c r="H538" s="114">
        <v>185.0</v>
      </c>
      <c r="I538" s="114">
        <v>29395195.7</v>
      </c>
      <c r="K538" s="113" t="inlineStr">
        <is>
          <t xml:space="preserve">abror ogan | 1375</t>
        </is>
      </c>
    </row>
    <row r="539">
      <c r="A539" s="113" t="inlineStr">
        <is>
          <t xml:space="preserve">СУРХОНДАРЁ ВИЛОЯТИ</t>
        </is>
      </c>
      <c r="B539" s="113" t="inlineStr">
        <is>
          <t xml:space="preserve">Термиз филиали</t>
        </is>
      </c>
      <c r="C539" s="113" t="inlineStr">
        <is>
          <t xml:space="preserve">Ko'tardi</t>
        </is>
      </c>
      <c r="D539" s="113" t="inlineStr">
        <is>
          <t xml:space="preserve">Кр-99031556-1</t>
        </is>
      </c>
      <c r="E539" s="113" t="inlineStr">
        <is>
          <t xml:space="preserve">NAMOZOV SHAXOBIDDIN NORMO’MIN O’G’LI</t>
        </is>
      </c>
      <c r="F539" s="113" t="inlineStr">
        <is>
          <t xml:space="preserve">998500060437 SMS O’ZI, 998915137425 SMS DADASI, 998972389298 SMS AKASI, 998970752889 SMS UKASI,</t>
        </is>
      </c>
      <c r="G539" s="113" t="inlineStr">
        <is>
          <t xml:space="preserve">SURXONDARYO VILOYATI UZUN  TUMANI O’ZBEKISTON MFY N.JABOROV KO’CHASI 1-UY  </t>
        </is>
      </c>
      <c r="H539" s="114">
        <v>94.0</v>
      </c>
      <c r="I539" s="114">
        <v>20840043.97</v>
      </c>
      <c r="K539" s="113" t="inlineStr">
        <is>
          <t xml:space="preserve">abror ogan | 398</t>
        </is>
      </c>
    </row>
    <row r="540">
      <c r="A540" s="113" t="inlineStr">
        <is>
          <t xml:space="preserve">СУРХОНДАРЁ ВИЛОЯТИ</t>
        </is>
      </c>
      <c r="B540" s="113" t="inlineStr">
        <is>
          <t xml:space="preserve">Термиз филиали</t>
        </is>
      </c>
      <c r="C540" s="113" t="inlineStr">
        <is>
          <t xml:space="preserve">Ko'tardi</t>
        </is>
      </c>
      <c r="D540" s="113" t="inlineStr">
        <is>
          <t xml:space="preserve">Кр-99031931-1</t>
        </is>
      </c>
      <c r="E540" s="113" t="inlineStr">
        <is>
          <t xml:space="preserve">KASIMOVA IZZAT USANOVNA</t>
        </is>
      </c>
      <c r="F540" s="113" t="inlineStr">
        <is>
          <t xml:space="preserve">998912285230 SMS O’ZI, 998997782862 SMS KELINI, 998996722862 SMS O’G’LI, 998903156993 SMS begona, 998996722862 SMS ERI,</t>
        </is>
      </c>
      <c r="G540" s="113" t="inlineStr">
        <is>
          <t xml:space="preserve">SURXONDARYO VILOYATI QUMQO’RG’ON TUMANI TO’G’ON MFY PARDA USANOV 37-UY</t>
        </is>
      </c>
      <c r="H540" s="114">
        <v>143.0</v>
      </c>
      <c r="I540" s="114">
        <v>16782263.55</v>
      </c>
      <c r="K540" s="113" t="inlineStr">
        <is>
          <t xml:space="preserve">20 cisida tolo qlad | 411</t>
        </is>
      </c>
    </row>
    <row r="541">
      <c r="A541" s="113" t="inlineStr">
        <is>
          <t xml:space="preserve">СУРХОНДАРЁ ВИЛОЯТИ</t>
        </is>
      </c>
      <c r="B541" s="113" t="inlineStr">
        <is>
          <t xml:space="preserve">Термиз филиали</t>
        </is>
      </c>
      <c r="C541" s="113" t="inlineStr">
        <is>
          <t xml:space="preserve">Обещали</t>
        </is>
      </c>
      <c r="D541" s="113" t="inlineStr">
        <is>
          <t xml:space="preserve">Кр-99040579-1</t>
        </is>
      </c>
      <c r="E541" s="113" t="inlineStr">
        <is>
          <t xml:space="preserve">JO’RAYEVA MUNISA BAXTIYOROVNA</t>
        </is>
      </c>
      <c r="F541" s="113" t="inlineStr">
        <is>
          <t xml:space="preserve">+998919698912 SMS OZI, 998978064343 ERI,</t>
        </is>
      </c>
      <c r="G541" s="113" t="inlineStr">
        <is>
          <t xml:space="preserve">ШУРСОЙ МФЙ,  uy:00</t>
        </is>
      </c>
      <c r="H541" s="114">
        <v>3.0</v>
      </c>
      <c r="I541" s="114">
        <v>4611856.21</v>
      </c>
      <c r="K541" s="113" t="inlineStr">
        <is>
          <t xml:space="preserve">бугун</t>
        </is>
      </c>
    </row>
    <row r="542">
      <c r="A542" s="113" t="inlineStr">
        <is>
          <t xml:space="preserve">СУРХОНДАРЁ ВИЛОЯТИ</t>
        </is>
      </c>
      <c r="B542" s="113" t="inlineStr">
        <is>
          <t xml:space="preserve">Термиз филиали</t>
        </is>
      </c>
      <c r="C542" s="113" t="inlineStr">
        <is>
          <t xml:space="preserve">Ko'tardi</t>
        </is>
      </c>
      <c r="D542" s="113" t="inlineStr">
        <is>
          <t xml:space="preserve">Кр-99035010-1</t>
        </is>
      </c>
      <c r="E542" s="113" t="inlineStr">
        <is>
          <t xml:space="preserve">MALLAYEV MUZAFFAR TOSHNIYAZOVICH</t>
        </is>
      </c>
      <c r="F542" s="113" t="inlineStr">
        <is>
          <t xml:space="preserve">998930038079 SMS OZI, 998941793332 SMS OSHNASI, 998936763332 SMS OSHNASI, 998937972425 SMS NEVARASI,</t>
        </is>
      </c>
      <c r="G542" s="113" t="inlineStr">
        <is>
          <t xml:space="preserve">SURXONDARYO VILOYATI MUZRABOT TUMANI OLMOZOR MFY O’ZBEKISTON KO’CHASI 117-UY</t>
        </is>
      </c>
      <c r="H542" s="114">
        <v>3.0</v>
      </c>
      <c r="I542" s="114">
        <v>4376685.62</v>
      </c>
      <c r="K542" s="113" t="inlineStr">
        <is>
          <t xml:space="preserve">эртага ёпади</t>
        </is>
      </c>
    </row>
    <row r="543">
      <c r="A543" s="113" t="inlineStr">
        <is>
          <t xml:space="preserve">СУРХОНДАРЁ ВИЛОЯТИ</t>
        </is>
      </c>
      <c r="B543" s="113" t="inlineStr">
        <is>
          <t xml:space="preserve">Термиз филиали</t>
        </is>
      </c>
      <c r="C543" s="113" t="inlineStr">
        <is>
          <t xml:space="preserve">Ko'tardi</t>
        </is>
      </c>
      <c r="D543" s="113" t="inlineStr">
        <is>
          <t xml:space="preserve">Кр-99063682-2</t>
        </is>
      </c>
      <c r="E543" s="113" t="inlineStr">
        <is>
          <t xml:space="preserve">DJAVLIYEVA OLTIN MURZAYEVNA</t>
        </is>
      </c>
      <c r="F543" s="113" t="inlineStr">
        <is>
          <t xml:space="preserve">+998507840569 SMS UZI, 998946110028 SMS O’g’li,</t>
        </is>
      </c>
      <c r="G543" s="113" t="inlineStr">
        <is>
          <t xml:space="preserve">Жарқўрғон тумани Истиклол маҳалласи Истиқлол маҳалласи</t>
        </is>
      </c>
      <c r="H543" s="114">
        <v>3.0</v>
      </c>
      <c r="I543" s="114">
        <v>3018067.89</v>
      </c>
      <c r="K543" s="113" t="inlineStr">
        <is>
          <t xml:space="preserve">ой охирида килади</t>
        </is>
      </c>
    </row>
    <row r="544">
      <c r="A544" s="113" t="inlineStr">
        <is>
          <t xml:space="preserve">СУРХОНДАРЁ ВИЛОЯТИ</t>
        </is>
      </c>
      <c r="B544" s="113" t="inlineStr">
        <is>
          <t xml:space="preserve">Термиз филиали</t>
        </is>
      </c>
      <c r="C544" s="113" t="inlineStr">
        <is>
          <t xml:space="preserve">Ko'tardi</t>
        </is>
      </c>
      <c r="D544" s="113" t="inlineStr">
        <is>
          <t xml:space="preserve">Кр-99034990-1</t>
        </is>
      </c>
      <c r="E544" s="113" t="inlineStr">
        <is>
          <t xml:space="preserve">PAYG’AMOV SAMANDAR BAXROM O’G’LI</t>
        </is>
      </c>
      <c r="F544" s="113" t="inlineStr">
        <is>
          <t xml:space="preserve">998930038079 SMS OZI, 998941793332 SMS OTASI, 998936763332 SMS OTASI, 998937972425 SMS UKASI,</t>
        </is>
      </c>
      <c r="G544" s="113" t="inlineStr">
        <is>
          <t xml:space="preserve">SURXONDARYO VILOYATI MUZRABOT TUMANI OLMOZOR MFY O’ZBEKISTON KO’CHASI 44-UY</t>
        </is>
      </c>
      <c r="H544" s="114">
        <v>3.0</v>
      </c>
      <c r="I544" s="114">
        <v>2684522.2</v>
      </c>
      <c r="K544" s="113" t="inlineStr">
        <is>
          <t xml:space="preserve">шу ойдан колмайди деди | фелиалга айтиш керак</t>
        </is>
      </c>
    </row>
    <row r="545">
      <c r="A545" s="113" t="inlineStr">
        <is>
          <t xml:space="preserve">СУРХОНДАРЁ ВИЛОЯТИ</t>
        </is>
      </c>
      <c r="B545" s="113" t="inlineStr">
        <is>
          <t xml:space="preserve">Термиз филиали</t>
        </is>
      </c>
      <c r="C545" s="113" t="inlineStr">
        <is>
          <t xml:space="preserve">Обещали</t>
        </is>
      </c>
      <c r="D545" s="113" t="inlineStr">
        <is>
          <t xml:space="preserve">Кр-99041838-1</t>
        </is>
      </c>
      <c r="E545" s="113" t="inlineStr">
        <is>
          <t xml:space="preserve">NORMAMATOV JASURBEK AVAZ O’G’LI</t>
        </is>
      </c>
      <c r="F545" s="113" t="inlineStr">
        <is>
          <t xml:space="preserve">+998937643564 SMS O’ZI, 998942012101 SMS OTASI, 998991463564 SMS AYOLI,</t>
        </is>
      </c>
      <c r="G545" s="113" t="inlineStr">
        <is>
          <t xml:space="preserve">ГАЗА МФЙ,  uy:00</t>
        </is>
      </c>
      <c r="H545" s="114">
        <v>3.0</v>
      </c>
      <c r="I545" s="114">
        <v>2681819.02</v>
      </c>
      <c r="K545" s="113" t="inlineStr">
        <is>
          <t xml:space="preserve">бугун</t>
        </is>
      </c>
    </row>
    <row r="546">
      <c r="A546" s="113" t="inlineStr">
        <is>
          <t xml:space="preserve">СУРХОНДАРЁ ВИЛОЯТИ</t>
        </is>
      </c>
      <c r="B546" s="113" t="inlineStr">
        <is>
          <t xml:space="preserve">Термиз филиали</t>
        </is>
      </c>
      <c r="C546" s="113" t="inlineStr">
        <is>
          <t xml:space="preserve">Ko'tardi</t>
        </is>
      </c>
      <c r="D546" s="113" t="inlineStr">
        <is>
          <t xml:space="preserve">Кр-99062762-2</t>
        </is>
      </c>
      <c r="E546" s="113" t="inlineStr">
        <is>
          <t xml:space="preserve">BO’RIYEVA DILFUZA RO’ZIBOYEVNA</t>
        </is>
      </c>
      <c r="F546" s="113" t="inlineStr">
        <is>
          <t xml:space="preserve">+998919107277 SMS O’ZI, 998947994446 SMS ERI,</t>
        </is>
      </c>
      <c r="G546" s="113" t="inlineStr">
        <is>
          <t xml:space="preserve">ТЕРМИЗ ТУМАНИ НУРАФШОН МФЙ, БУНЁДКОР КУЧА  uy:53</t>
        </is>
      </c>
      <c r="H546" s="114">
        <v>3.0</v>
      </c>
      <c r="I546" s="114">
        <v>2500496.93</v>
      </c>
      <c r="K546" s="113" t="inlineStr">
        <is>
          <t xml:space="preserve">шу хафта ёпиб бераман деди</t>
        </is>
      </c>
    </row>
    <row r="547">
      <c r="A547" s="113" t="inlineStr">
        <is>
          <t xml:space="preserve">СУРХОНДАРЁ ВИЛОЯТИ</t>
        </is>
      </c>
      <c r="B547" s="113" t="inlineStr">
        <is>
          <t xml:space="preserve">Термиз филиали</t>
        </is>
      </c>
      <c r="C547" s="113" t="inlineStr">
        <is>
          <t xml:space="preserve">Ko'tardi</t>
        </is>
      </c>
      <c r="D547" s="113" t="inlineStr">
        <is>
          <t xml:space="preserve">Кр-99064414-3</t>
        </is>
      </c>
      <c r="E547" s="113" t="inlineStr">
        <is>
          <t xml:space="preserve">MUTALIYEV SHERZOD QAXXAROVICH</t>
        </is>
      </c>
      <c r="F547" s="113" t="inlineStr">
        <is>
          <t xml:space="preserve">998937957389 SMS AYOLI, 998945190444 SMS O’ZI, 998959293444 SMS AKASI,</t>
        </is>
      </c>
      <c r="G547" s="113" t="inlineStr">
        <is>
          <t xml:space="preserve">Сурхандарьинская область, Термезский район, Гулистон МСГ, ул. Газарма, дом 10</t>
        </is>
      </c>
      <c r="H547" s="114">
        <v>3.0</v>
      </c>
      <c r="I547" s="114">
        <v>2273112.0</v>
      </c>
      <c r="K547" s="113" t="inlineStr">
        <is>
          <t xml:space="preserve">10 санагача</t>
        </is>
      </c>
    </row>
    <row r="548">
      <c r="A548" s="113" t="inlineStr">
        <is>
          <t xml:space="preserve">СУРХОНДАРЁ ВИЛОЯТИ</t>
        </is>
      </c>
      <c r="B548" s="113" t="inlineStr">
        <is>
          <t xml:space="preserve">Термиз филиали</t>
        </is>
      </c>
      <c r="C548" s="113" t="inlineStr">
        <is>
          <t xml:space="preserve">Обещали</t>
        </is>
      </c>
      <c r="D548" s="113" t="inlineStr">
        <is>
          <t xml:space="preserve">Кр-99041178-2</t>
        </is>
      </c>
      <c r="E548" s="113" t="inlineStr">
        <is>
          <t xml:space="preserve">XUDAYNAZAROV FAXRIDDIN XOLBOY O’G’LI</t>
        </is>
      </c>
      <c r="F548" s="113" t="inlineStr">
        <is>
          <t xml:space="preserve">+998931204895 SMS O’ZI, 998948421212 SMS ONASI, 998992602399 SMS UY,</t>
        </is>
      </c>
      <c r="G548" s="113" t="inlineStr">
        <is>
          <t xml:space="preserve">ОКЖАР КФЙ, БОГАРО МФЙ, ОКЖАР КФЙ, БОГАРО МФЙ, БОГАРО,  uy:00</t>
        </is>
      </c>
      <c r="H548" s="114">
        <v>3.0</v>
      </c>
      <c r="I548" s="114">
        <v>2246835.16</v>
      </c>
      <c r="K548" s="113" t="inlineStr">
        <is>
          <t xml:space="preserve">11 kuni yopad | 1122</t>
        </is>
      </c>
    </row>
    <row r="549">
      <c r="A549" s="113" t="inlineStr">
        <is>
          <t xml:space="preserve">СУРХОНДАРЁ ВИЛОЯТИ</t>
        </is>
      </c>
      <c r="B549" s="113" t="inlineStr">
        <is>
          <t xml:space="preserve">Термиз филиали</t>
        </is>
      </c>
      <c r="C549" s="113" t="inlineStr">
        <is>
          <t xml:space="preserve">Обещали</t>
        </is>
      </c>
      <c r="D549" s="113" t="inlineStr">
        <is>
          <t xml:space="preserve">Кр-99031548-1</t>
        </is>
      </c>
      <c r="E549" s="113" t="inlineStr">
        <is>
          <t xml:space="preserve">HAMROYEV JUMANAZAR TOVQULOVICH</t>
        </is>
      </c>
      <c r="F549" s="113" t="inlineStr">
        <is>
          <t xml:space="preserve">99-488-17-17  SMS O'ZI, 99-777-52-62  SMS AYOLI, 99-959-09-79  SMS AKASI, 99-122-24-80  SMS YANGASI,</t>
        </is>
      </c>
      <c r="G549" s="113" t="inlineStr">
        <is>
          <t xml:space="preserve">SURXONDARYO VILOYATI BOYSUN TUMANI QO’SHCHINOR MFY OBGIR KO’CHASI 99-UY</t>
        </is>
      </c>
      <c r="H549" s="114">
        <v>3.0</v>
      </c>
      <c r="I549" s="114">
        <v>2185527.02</v>
      </c>
      <c r="K549" s="113" t="inlineStr">
        <is>
          <t xml:space="preserve">узи бн гаплпшилди бугун абетдан кейин тулов килади</t>
        </is>
      </c>
    </row>
    <row r="550">
      <c r="A550" s="113" t="inlineStr">
        <is>
          <t xml:space="preserve">СУРХОНДАРЁ ВИЛОЯТИ</t>
        </is>
      </c>
      <c r="B550" s="113" t="inlineStr">
        <is>
          <t xml:space="preserve">Термиз филиали</t>
        </is>
      </c>
      <c r="C550" s="113" t="inlineStr">
        <is>
          <t xml:space="preserve">Ko'tardi</t>
        </is>
      </c>
      <c r="D550" s="113" t="inlineStr">
        <is>
          <t xml:space="preserve">Кр-99033369-1</t>
        </is>
      </c>
      <c r="E550" s="113" t="inlineStr">
        <is>
          <t xml:space="preserve">SHAMANOV XASAN RAVSHAN O’G’LI</t>
        </is>
      </c>
      <c r="F550" s="113" t="inlineStr">
        <is>
          <t xml:space="preserve">998772651883 SMS O’ZI QIBRAYDA KAROBKA SEXDA ISHLIDI , 998930634268 SMS AYOLI, 998507727494 SMS AYOLI2, 998978070064 SMS otasi,</t>
        </is>
      </c>
      <c r="G550" s="113" t="inlineStr">
        <is>
          <t xml:space="preserve">SURXONDARYO VILOYATI TERMIZ SHAHRI ALPOMISH MFY 5-KICHIK DAHA KO’CHASI 12-DOM 20-KVARTIRA</t>
        </is>
      </c>
      <c r="H550" s="114">
        <v>2.0</v>
      </c>
      <c r="I550" s="114">
        <v>1235601.97</v>
      </c>
      <c r="K550" s="113" t="inlineStr">
        <is>
          <t xml:space="preserve">эртага ёпади</t>
        </is>
      </c>
    </row>
    <row r="551">
      <c r="A551" s="113" t="inlineStr">
        <is>
          <t xml:space="preserve">СУРХОНДАРЁ ВИЛОЯТИ</t>
        </is>
      </c>
      <c r="B551" s="113" t="inlineStr">
        <is>
          <t xml:space="preserve">Термиз филиали</t>
        </is>
      </c>
      <c r="C551" s="113" t="inlineStr">
        <is>
          <t xml:space="preserve">Ko'tardi</t>
        </is>
      </c>
      <c r="D551" s="113" t="inlineStr">
        <is>
          <t xml:space="preserve">Кр-99029092-1</t>
        </is>
      </c>
      <c r="E551" s="113" t="inlineStr">
        <is>
          <t xml:space="preserve">ABDIRAIMOVA NARGIZA ACHILDIYEVNA</t>
        </is>
      </c>
      <c r="F551" s="113" t="inlineStr">
        <is>
          <t xml:space="preserve">99-677-63-95 SMS O'ZI, 99-544-64-00  SMS AKASI, 97-808-78-05  SMS UY, 91-510-12-14  SMS ISHXONA,</t>
        </is>
      </c>
      <c r="G551" s="113" t="inlineStr">
        <is>
          <t xml:space="preserve">SURXONDARYO VILOYATI OLTINSOY TUMANI QURAMA 1 MFY HAMNAFAS KO’CHASI 6-UY</t>
        </is>
      </c>
      <c r="H551" s="114">
        <v>3.0</v>
      </c>
      <c r="I551" s="114">
        <v>1120615.38</v>
      </c>
      <c r="K551" s="113" t="inlineStr">
        <is>
          <t xml:space="preserve">фелиалдаги шахнозага тулаган лекин у кириш килмаган</t>
        </is>
      </c>
    </row>
    <row r="552">
      <c r="A552" s="113" t="inlineStr">
        <is>
          <t xml:space="preserve">СУРХОНДАРЁ ВИЛОЯТИ</t>
        </is>
      </c>
      <c r="B552" s="113" t="inlineStr">
        <is>
          <t xml:space="preserve">Термиз филиали</t>
        </is>
      </c>
      <c r="C552" s="113" t="inlineStr">
        <is>
          <t xml:space="preserve">Ko'tardi</t>
        </is>
      </c>
      <c r="D552" s="113" t="inlineStr">
        <is>
          <t xml:space="preserve">Кр-99064425-1</t>
        </is>
      </c>
      <c r="E552" s="113" t="inlineStr">
        <is>
          <t xml:space="preserve">YO’LDOSHEV JAHONGIR RUSTAM O’G’LI</t>
        </is>
      </c>
      <c r="F552" s="113" t="inlineStr">
        <is>
          <t xml:space="preserve">998881781906 SMS AYOLI, 998885300606 SMS O’ZI, 998936330606 SMS AKASI,</t>
        </is>
      </c>
      <c r="G552" s="113" t="inlineStr">
        <is>
          <t xml:space="preserve">ТУРОН МФЙ, ТУРОН МФЙ, БЕРУНИЙ,  uy:6А xonadon:7</t>
        </is>
      </c>
      <c r="H552" s="114">
        <v>3.0</v>
      </c>
      <c r="I552" s="114">
        <v>962952.47</v>
      </c>
      <c r="K552" s="113" t="inlineStr">
        <is>
          <t xml:space="preserve">10 санагача</t>
        </is>
      </c>
    </row>
    <row r="553">
      <c r="A553" s="113" t="inlineStr">
        <is>
          <t xml:space="preserve">СУРХОНДАРЁ ВИЛОЯТИ</t>
        </is>
      </c>
      <c r="B553" s="113" t="inlineStr">
        <is>
          <t xml:space="preserve">Термиз филиали</t>
        </is>
      </c>
      <c r="C553" s="113" t="inlineStr">
        <is>
          <t xml:space="preserve">Ko'tardi</t>
        </is>
      </c>
      <c r="D553" s="113" t="inlineStr">
        <is>
          <t xml:space="preserve">Кр-99064040-1</t>
        </is>
      </c>
      <c r="E553" s="113" t="inlineStr">
        <is>
          <t xml:space="preserve">TULYABAYEVA UMIDA ERKINOVNA</t>
        </is>
      </c>
      <c r="F553" s="113" t="inlineStr">
        <is>
          <t xml:space="preserve">+998937927172 Uzi SMS, 998948218787 Eri SMS,</t>
        </is>
      </c>
      <c r="G553" s="113" t="inlineStr">
        <is>
          <t xml:space="preserve">Сурхандарьинская область, Термез г., Бўстон МФЙ, Бахт, дом 12, кв. 43</t>
        </is>
      </c>
      <c r="H553" s="114">
        <v>3.0</v>
      </c>
      <c r="I553" s="114">
        <v>572445.6</v>
      </c>
      <c r="K553" s="113" t="inlineStr">
        <is>
          <t xml:space="preserve">10 санагача</t>
        </is>
      </c>
    </row>
    <row r="554">
      <c r="A554" s="115" t="inlineStr">
        <is>
          <t xml:space="preserve">СУРХОНДАРЁ ВИЛОЯТИ</t>
        </is>
      </c>
      <c r="B554" s="115" t="inlineStr">
        <is>
          <t xml:space="preserve">Қарши филиали</t>
        </is>
      </c>
      <c r="C554" s="115" t="inlineStr">
        <is>
          <t xml:space="preserve">Ko'tardi</t>
        </is>
      </c>
      <c r="D554" s="115" t="inlineStr">
        <is>
          <t xml:space="preserve">Кр-99025609-1</t>
        </is>
      </c>
      <c r="E554" s="115" t="inlineStr">
        <is>
          <t xml:space="preserve">XOLMAMATOV ULUG’BEK JO’RA O’G’LI</t>
        </is>
      </c>
      <c r="F554" s="115" t="inlineStr">
        <is>
          <t xml:space="preserve">93-419-96-96 SMS, 99-032-26-20 SMS UY, 99-042-26-20 SMS AYOLI, 93-933-59-28 SMS DADASI,</t>
        </is>
      </c>
      <c r="G554" s="115" t="inlineStr">
        <is>
          <t xml:space="preserve">QASHQADARYO VILOYATI DEHQONOBOD TUMANI</t>
        </is>
      </c>
      <c r="H554" s="116">
        <v>113.0</v>
      </c>
      <c r="I554" s="116">
        <v>24314779.92</v>
      </c>
      <c r="K554" s="115" t="inlineStr">
        <is>
          <t xml:space="preserve">abror bn wahnoz ogan | 193</t>
        </is>
      </c>
    </row>
    <row r="555">
      <c r="A555" s="117" t="inlineStr">
        <is>
          <t xml:space="preserve">ТОШКЕНТ ШАХРИ</t>
        </is>
      </c>
      <c r="B555" s="117" t="inlineStr">
        <is>
          <t xml:space="preserve">BOSH OFIS</t>
        </is>
      </c>
      <c r="C555" s="117" t="inlineStr">
        <is>
          <t xml:space="preserve">Оплатил дозвон</t>
        </is>
      </c>
      <c r="D555" s="117" t="inlineStr">
        <is>
          <t xml:space="preserve">Кр-99002592-8</t>
        </is>
      </c>
      <c r="E555" s="117" t="inlineStr">
        <is>
          <t xml:space="preserve">AZIZXON SEVDA SHAVKATOVNA</t>
        </is>
      </c>
      <c r="F555" s="117" t="inlineStr">
        <is>
          <t xml:space="preserve">90-331-22-27 SMS, 90-038-22-27 SMS MUROD AKA tolovchi , 71-217-36-07 SMS UY, 99-811-81-12 SMS MUROT AKA,</t>
        </is>
      </c>
      <c r="G555" s="117" t="inlineStr">
        <is>
          <t xml:space="preserve">TOSHKENT SHAHAR UCHTEPA TUMANI KVL G9a 11 UY 35 XONADON</t>
        </is>
      </c>
      <c r="H555" s="118">
        <v>36.0</v>
      </c>
      <c r="I555" s="118">
        <v>32075114.65</v>
      </c>
      <c r="J555" s="118">
        <v>32075114.65</v>
      </c>
      <c r="K555" s="117" t="inlineStr">
        <is>
          <t xml:space="preserve">3 | 277000000 | 32075114.65 | tlgdan yozvordim</t>
        </is>
      </c>
    </row>
    <row r="556">
      <c r="A556" s="117" t="inlineStr">
        <is>
          <t xml:space="preserve">ТОШКЕНТ ШАХРИ</t>
        </is>
      </c>
      <c r="B556" s="117" t="inlineStr">
        <is>
          <t xml:space="preserve">BOSH OFIS</t>
        </is>
      </c>
      <c r="C556" s="117" t="inlineStr">
        <is>
          <t xml:space="preserve">Ko'tardi</t>
        </is>
      </c>
      <c r="D556" s="117" t="inlineStr">
        <is>
          <t xml:space="preserve">Кр-99026924-1</t>
        </is>
      </c>
      <c r="E556" s="117" t="inlineStr">
        <is>
          <t xml:space="preserve">MINAROV BAXTIYOR TOSHPULATOVICH</t>
        </is>
      </c>
      <c r="F556" s="117" t="inlineStr">
        <is>
          <t xml:space="preserve">97-780-20-00 SMS O'ZI, 33-400-03-09 SMS O'G'LI, 97-402-02-95 SMS AYOLI, 97-400-02-91 SMS KELINI,</t>
        </is>
      </c>
      <c r="G556" s="117" t="inlineStr">
        <is>
          <t xml:space="preserve">TOSHKENT SHAHAR YAKKASAROY TUMANI BOBUR KO’CHASI 24-UY 11-XONADON</t>
        </is>
      </c>
      <c r="I556" s="118">
        <v>14502592.66</v>
      </c>
      <c r="K556" s="117" t="inlineStr">
        <is>
          <t xml:space="preserve">210 | Sud | 193000000 | 0</t>
        </is>
      </c>
    </row>
    <row r="557">
      <c r="A557" s="117" t="inlineStr">
        <is>
          <t xml:space="preserve">ТОШКЕНТ ШАХРИ</t>
        </is>
      </c>
      <c r="B557" s="117" t="inlineStr">
        <is>
          <t xml:space="preserve">BOSH OFIS</t>
        </is>
      </c>
      <c r="C557" s="117" t="inlineStr">
        <is>
          <t xml:space="preserve">Обещали</t>
        </is>
      </c>
      <c r="D557" s="117" t="inlineStr">
        <is>
          <t xml:space="preserve">Кр-99025377-8</t>
        </is>
      </c>
      <c r="E557" s="117" t="inlineStr">
        <is>
          <t xml:space="preserve">RASULEVA MALIKA MAXAMATOVNA</t>
        </is>
      </c>
      <c r="F557" s="117" t="inlineStr">
        <is>
          <t xml:space="preserve">99-012-54-38 SMS, 95-055-21-06 SMS OZI 2, 99-821-04-08 SMS OGLI MUXAMADAMIN,</t>
        </is>
      </c>
      <c r="G557" s="117" t="inlineStr">
        <is>
          <t xml:space="preserve">TOSHKENT SHAHAR YUNUSOBOD TUMANI YURTOBOD MFY 19- MAVZESI 20-UY 65-XONADON</t>
        </is>
      </c>
      <c r="H557" s="118">
        <v>3.0</v>
      </c>
      <c r="I557" s="118">
        <v>5630400.26</v>
      </c>
      <c r="K557" s="117" t="inlineStr">
        <is>
          <t xml:space="preserve">15 kun tolid</t>
        </is>
      </c>
    </row>
    <row r="558">
      <c r="A558" s="117" t="inlineStr">
        <is>
          <t xml:space="preserve">ТОШКЕНТ ШАХРИ</t>
        </is>
      </c>
      <c r="B558" s="117" t="inlineStr">
        <is>
          <t xml:space="preserve">BOSH OFIS</t>
        </is>
      </c>
      <c r="C558" s="117" t="inlineStr">
        <is>
          <t xml:space="preserve">Оплатил дозвон</t>
        </is>
      </c>
      <c r="D558" s="117" t="inlineStr">
        <is>
          <t xml:space="preserve">Кр-99064392-1</t>
        </is>
      </c>
      <c r="E558" s="117" t="inlineStr">
        <is>
          <t xml:space="preserve">SAMANDAROVA UMIDA SALIMOVNA</t>
        </is>
      </c>
      <c r="F558" s="117" t="inlineStr">
        <is>
          <t xml:space="preserve">998777121240 SMS ERINIKI, 998902179222 SMS O’ZINIKI, 998903886222 SMS FARZANDINIKI,</t>
        </is>
      </c>
      <c r="G558" s="117" t="inlineStr">
        <is>
          <t xml:space="preserve">Богимайдон МФЙ, Мирзо Улугбек кучаси, 103-уй, 43-хонадон</t>
        </is>
      </c>
      <c r="H558" s="118">
        <v>3.0</v>
      </c>
      <c r="I558" s="118">
        <v>3088784.0</v>
      </c>
      <c r="J558" s="118">
        <v>3088784.0</v>
      </c>
      <c r="K558" s="117" t="inlineStr">
        <is>
          <t xml:space="preserve">qisman</t>
        </is>
      </c>
    </row>
    <row r="559">
      <c r="A559" s="117" t="inlineStr">
        <is>
          <t xml:space="preserve">ТОШКЕНТ ШАХРИ</t>
        </is>
      </c>
      <c r="B559" s="117" t="inlineStr">
        <is>
          <t xml:space="preserve">BOSH OFIS</t>
        </is>
      </c>
      <c r="C559" s="117" t="inlineStr">
        <is>
          <t xml:space="preserve">Обещали</t>
        </is>
      </c>
      <c r="D559" s="117" t="inlineStr">
        <is>
          <t xml:space="preserve">Кр-99010086-6</t>
        </is>
      </c>
      <c r="E559" s="117" t="inlineStr">
        <is>
          <t xml:space="preserve">OTAJONOV TO’LAGAN KARIMJON O’G’LI</t>
        </is>
      </c>
      <c r="F559" s="117" t="inlineStr">
        <is>
          <t xml:space="preserve">90-093-33-38  SMS UZI, 71-240-53-47  SMS UY, 93-004-80-09  SMS AKASI, 93-580-88-71  SMS ONASI, +998900933338 SMS O’ZI,</t>
        </is>
      </c>
      <c r="G559" s="117" t="inlineStr">
        <is>
          <t xml:space="preserve">Тошкент шахри Шайхонтохур тумани Кохота МФЙ, Кохота-Парашутная кучаси, 137-уй</t>
        </is>
      </c>
      <c r="H559" s="118">
        <v>3.0</v>
      </c>
      <c r="I559" s="118">
        <v>2861355.12</v>
      </c>
      <c r="K559" s="117" t="inlineStr">
        <is>
          <t xml:space="preserve">har kun qisman tolov</t>
        </is>
      </c>
    </row>
    <row r="560">
      <c r="A560" s="117" t="inlineStr">
        <is>
          <t xml:space="preserve">ТОШКЕНТ ШАХРИ</t>
        </is>
      </c>
      <c r="B560" s="117" t="inlineStr">
        <is>
          <t xml:space="preserve">BOSH OFIS</t>
        </is>
      </c>
      <c r="C560" s="117" t="inlineStr">
        <is>
          <t xml:space="preserve">Обещали</t>
        </is>
      </c>
      <c r="D560" s="117" t="inlineStr">
        <is>
          <t xml:space="preserve">Кр-99034730-2</t>
        </is>
      </c>
      <c r="E560" s="117" t="inlineStr">
        <is>
          <t xml:space="preserve">TO’LAGANOV SHOHRUHXON AKMAL O’G’LI</t>
        </is>
      </c>
      <c r="F560" s="117" t="inlineStr">
        <is>
          <t xml:space="preserve">998994363838 SMS OZI, 998946322959 SMS AKASI, 998946215057 SMS OPASI, 998772080441 SMS UKASI, 998990206116 SMS POCHASI, 998998203767 SMS OPASI,</t>
        </is>
      </c>
      <c r="G560" s="117" t="inlineStr">
        <is>
          <t xml:space="preserve">ТОШКЕНТ ШАХРИ ОЛМАЗОР ТУМАНИ ГАЛАБА МФЙ, ҚОРА-ҚАМИШ 2/4 ДАХАСИ,  uy:48 xonadon:10</t>
        </is>
      </c>
      <c r="H560" s="118">
        <v>3.0</v>
      </c>
      <c r="I560" s="118">
        <v>2212415.79</v>
      </c>
      <c r="K560" s="117" t="inlineStr">
        <is>
          <t xml:space="preserve">ertaga tolov qiladi</t>
        </is>
      </c>
    </row>
    <row r="561">
      <c r="A561" s="117" t="inlineStr">
        <is>
          <t xml:space="preserve">ТОШКЕНТ ШАХРИ</t>
        </is>
      </c>
      <c r="B561" s="117" t="inlineStr">
        <is>
          <t xml:space="preserve">BOSH OFIS</t>
        </is>
      </c>
      <c r="C561" s="117" t="inlineStr">
        <is>
          <t xml:space="preserve">Ko'tardi</t>
        </is>
      </c>
      <c r="D561" s="117" t="inlineStr">
        <is>
          <t xml:space="preserve">Кр-99007254-3</t>
        </is>
      </c>
      <c r="E561" s="117" t="inlineStr">
        <is>
          <t xml:space="preserve">OSPANOV AZAT BAXODIROVICH</t>
        </is>
      </c>
      <c r="F561" s="117" t="inlineStr">
        <is>
          <t xml:space="preserve">90-116-63-00 SMS OZI, 90-002-42-58 SMS AYOLI, 90-041-73-94 SMS TULOVCHI, 97-784-74-93 SMS TULOVCHI,</t>
        </is>
      </c>
      <c r="G561" s="117" t="inlineStr">
        <is>
          <t xml:space="preserve">TOSHKENT SHAHAR YUNUSOBOD TUMANI CHINOBOD 8 10-94</t>
        </is>
      </c>
      <c r="H561" s="118">
        <v>3.0</v>
      </c>
      <c r="I561" s="118">
        <v>2088701.26</v>
      </c>
    </row>
    <row r="562">
      <c r="A562" s="117" t="inlineStr">
        <is>
          <t xml:space="preserve">ТОШКЕНТ ШАХРИ</t>
        </is>
      </c>
      <c r="B562" s="117" t="inlineStr">
        <is>
          <t xml:space="preserve">BOSH OFIS</t>
        </is>
      </c>
      <c r="C562" s="117" t="inlineStr">
        <is>
          <t xml:space="preserve">Обещали</t>
        </is>
      </c>
      <c r="D562" s="117" t="inlineStr">
        <is>
          <t xml:space="preserve">Кр-99064501-1</t>
        </is>
      </c>
      <c r="E562" s="117" t="inlineStr">
        <is>
          <t xml:space="preserve">ABDULLAYEV DIYORBEK DILSHOD O’G’LI</t>
        </is>
      </c>
      <c r="F562" s="117" t="inlineStr">
        <is>
          <t xml:space="preserve">998200274871 SMS DO’STI, 998909780990 SMS AKAM, 998998890511 SMS O’ZI,</t>
        </is>
      </c>
      <c r="G562" s="117" t="inlineStr">
        <is>
          <t xml:space="preserve">Тонг МФЙ, 2-Тузел мавзеси, 20-уй, 11-хонадон</t>
        </is>
      </c>
      <c r="H562" s="118">
        <v>3.0</v>
      </c>
      <c r="I562" s="118">
        <v>1794307.99</v>
      </c>
      <c r="K562" s="117" t="inlineStr">
        <is>
          <t xml:space="preserve">10 chi kun tolid</t>
        </is>
      </c>
    </row>
    <row r="563">
      <c r="A563" s="117" t="inlineStr">
        <is>
          <t xml:space="preserve">ТОШКЕНТ ШАХРИ</t>
        </is>
      </c>
      <c r="B563" s="117" t="inlineStr">
        <is>
          <t xml:space="preserve">BOSH OFIS</t>
        </is>
      </c>
      <c r="C563" s="117" t="inlineStr">
        <is>
          <t xml:space="preserve">Оплатил дозвон</t>
        </is>
      </c>
      <c r="D563" s="117" t="inlineStr">
        <is>
          <t xml:space="preserve">Кр-99035201-3</t>
        </is>
      </c>
      <c r="E563" s="117" t="inlineStr">
        <is>
          <t xml:space="preserve">ABDUFATTOXOV ABDUG’AFFOR JAXONGIR O’G’LI</t>
        </is>
      </c>
      <c r="F563" s="117" t="inlineStr">
        <is>
          <t xml:space="preserve">998974454581 SMS O’ZI, 998999037757 SMS AKASI, 998990204270 SMS DO’STI, 998901225256 SMS UKASI, 998977417070 SMS shuxrat amakisi,</t>
        </is>
      </c>
      <c r="G563" s="117" t="inlineStr">
        <is>
          <t xml:space="preserve">TOSHKENT SHAHAR SHAYXONTOXUR TUMANI XUVAYDI MFY ZAFAROBOD KO’CHASI 2-UY</t>
        </is>
      </c>
      <c r="H563" s="118">
        <v>3.0</v>
      </c>
      <c r="I563" s="118">
        <v>1141312.89</v>
      </c>
      <c r="J563" s="118">
        <v>1141312.89</v>
      </c>
      <c r="K563" s="117" t="inlineStr">
        <is>
          <t xml:space="preserve">yopildi</t>
        </is>
      </c>
    </row>
    <row r="564">
      <c r="A564" s="117" t="inlineStr">
        <is>
          <t xml:space="preserve">ТОШКЕНТ ШАХРИ</t>
        </is>
      </c>
      <c r="B564" s="117" t="inlineStr">
        <is>
          <t xml:space="preserve">BOSH OFIS</t>
        </is>
      </c>
      <c r="C564" s="117" t="inlineStr">
        <is>
          <t xml:space="preserve">Обещали</t>
        </is>
      </c>
      <c r="D564" s="117" t="inlineStr">
        <is>
          <t xml:space="preserve">Кр-99031520-3</t>
        </is>
      </c>
      <c r="E564" s="117" t="inlineStr">
        <is>
          <t xml:space="preserve">MAMADALIYEV AZIM DO’STMUROTOVICH</t>
        </is>
      </c>
      <c r="F564" s="117" t="inlineStr">
        <is>
          <t xml:space="preserve">998974455162 SMS OZI, 998900697755 SMS AYOLI, 998990061757 SMS OGLI, 998917607172 SMS OGLI 2,</t>
        </is>
      </c>
      <c r="G564" s="117" t="inlineStr">
        <is>
          <t xml:space="preserve">TOSHKENT SHAHRI SIRG’ALI TUMANI BUNYODOBOD MFY, SERGELI 6A MAVZESI, 20-UY,20-XONADON</t>
        </is>
      </c>
      <c r="H564" s="118">
        <v>3.0</v>
      </c>
      <c r="I564" s="118">
        <v>896258.74</v>
      </c>
    </row>
    <row r="565">
      <c r="A565" s="99" t="inlineStr">
        <is>
          <t xml:space="preserve">ТОШКЕНТ ШАХРИ</t>
        </is>
      </c>
      <c r="B565" s="99" t="inlineStr">
        <is>
          <t xml:space="preserve">SUPER BRANCH</t>
        </is>
      </c>
      <c r="C565" s="99" t="inlineStr">
        <is>
          <t xml:space="preserve">Обещали</t>
        </is>
      </c>
      <c r="D565" s="99" t="inlineStr">
        <is>
          <t xml:space="preserve">Кр-99062594-1</t>
        </is>
      </c>
      <c r="E565" s="99" t="inlineStr">
        <is>
          <t xml:space="preserve">TILLAYEV ABBOSXON KAMALITDINOVICH</t>
        </is>
      </c>
      <c r="F565" s="99" t="inlineStr">
        <is>
          <t xml:space="preserve">998977143393 OZI, 998977493808 ONASI, 998998844343 ONASI,</t>
        </is>
      </c>
      <c r="G565" s="99" t="inlineStr">
        <is>
          <t xml:space="preserve">TOSHKENT SHAHAR OLMAZOR TUMANI KICHIK HALQA YO’LI KO’CHASI 5-UY 37-XONADON</t>
        </is>
      </c>
      <c r="H565" s="100">
        <v>94.0</v>
      </c>
      <c r="I565" s="100">
        <v>75496517.52</v>
      </c>
    </row>
    <row r="566">
      <c r="A566" s="99" t="inlineStr">
        <is>
          <t xml:space="preserve">ТОШКЕНТ ШАХРИ</t>
        </is>
      </c>
      <c r="B566" s="99" t="inlineStr">
        <is>
          <t xml:space="preserve">SUPER BRANCH</t>
        </is>
      </c>
      <c r="C566" s="99" t="inlineStr">
        <is>
          <t xml:space="preserve">Оплатил дозвон</t>
        </is>
      </c>
      <c r="D566" s="99" t="inlineStr">
        <is>
          <t xml:space="preserve">Кр-99063105-1</t>
        </is>
      </c>
      <c r="E566" s="99" t="inlineStr">
        <is>
          <t xml:space="preserve">RAXIMOVA NILUFAR YULDASHEVNA</t>
        </is>
      </c>
      <c r="F566" s="99" t="inlineStr">
        <is>
          <t xml:space="preserve">998977927577 OZI, 998995077757 OZI 2, 998985777757 OZI 3, 998770977577 OGLI,</t>
        </is>
      </c>
      <c r="G566" s="99" t="inlineStr">
        <is>
          <t xml:space="preserve">TOSHKENT SHAHAR SHAYXANTOXUR TUMANI SEBZOR KO’CHASI 7-UY,35-XONADON</t>
        </is>
      </c>
      <c r="H566" s="100">
        <v>64.0</v>
      </c>
      <c r="I566" s="100">
        <v>61205023.94</v>
      </c>
      <c r="J566" s="100">
        <v>61205023.94</v>
      </c>
      <c r="K566" s="99" t="inlineStr">
        <is>
          <t xml:space="preserve">yopildi</t>
        </is>
      </c>
    </row>
    <row r="567">
      <c r="A567" s="99" t="inlineStr">
        <is>
          <t xml:space="preserve">ТОШКЕНТ ШАХРИ</t>
        </is>
      </c>
      <c r="B567" s="99" t="inlineStr">
        <is>
          <t xml:space="preserve">SUPER BRANCH</t>
        </is>
      </c>
      <c r="C567" s="99" t="inlineStr">
        <is>
          <t xml:space="preserve">Обещали</t>
        </is>
      </c>
      <c r="D567" s="99" t="inlineStr">
        <is>
          <t xml:space="preserve">Кр-99054221-1</t>
        </is>
      </c>
      <c r="E567" s="99" t="inlineStr">
        <is>
          <t xml:space="preserve">UMAROV SHERZOD FAYZULLAYEVICH</t>
        </is>
      </c>
      <c r="F567" s="99" t="inlineStr">
        <is>
          <t xml:space="preserve">+998912121780 Primary phone from road24, 998912121780 Primary phone from road24,</t>
        </is>
      </c>
      <c r="G567" s="99" t="inlineStr">
        <is>
          <t xml:space="preserve">Гулобод МФЙ, Гулобод мавзеси, 5-уй, 37-хонадон</t>
        </is>
      </c>
      <c r="H567" s="100">
        <v>66.0</v>
      </c>
      <c r="I567" s="100">
        <v>52394275.41</v>
      </c>
    </row>
    <row r="568">
      <c r="A568" s="99" t="inlineStr">
        <is>
          <t xml:space="preserve">ТОШКЕНТ ШАХРИ</t>
        </is>
      </c>
      <c r="B568" s="99" t="inlineStr">
        <is>
          <t xml:space="preserve">SUPER BRANCH</t>
        </is>
      </c>
      <c r="C568" s="99" t="inlineStr">
        <is>
          <t xml:space="preserve">Обещали</t>
        </is>
      </c>
      <c r="D568" s="99" t="inlineStr">
        <is>
          <t xml:space="preserve">Кр-99054221-2</t>
        </is>
      </c>
      <c r="E568" s="99" t="inlineStr">
        <is>
          <t xml:space="preserve">UMAROV SHERZOD FAYZULLAYEVICH</t>
        </is>
      </c>
      <c r="F568" s="99" t="inlineStr">
        <is>
          <t xml:space="preserve">+998912121780 Primary phone from road24, 998912121780 Primary phone from road24,</t>
        </is>
      </c>
      <c r="G568" s="99" t="inlineStr">
        <is>
          <t xml:space="preserve">Гулобод МФЙ, Гулобод мавзеси, 5-уй, 37-хонадон</t>
        </is>
      </c>
      <c r="H568" s="100">
        <v>66.0</v>
      </c>
      <c r="I568" s="100">
        <v>50210891.15</v>
      </c>
    </row>
    <row r="569">
      <c r="A569" s="99" t="inlineStr">
        <is>
          <t xml:space="preserve">ТОШКЕНТ ШАХРИ</t>
        </is>
      </c>
      <c r="B569" s="99" t="inlineStr">
        <is>
          <t xml:space="preserve">SUPER BRANCH</t>
        </is>
      </c>
      <c r="C569" s="99" t="inlineStr">
        <is>
          <t xml:space="preserve">Ko'tardi</t>
        </is>
      </c>
      <c r="D569" s="99" t="inlineStr">
        <is>
          <t xml:space="preserve">Кр-99039089-1</t>
        </is>
      </c>
      <c r="E569" s="99" t="inlineStr">
        <is>
          <t xml:space="preserve">SHARIPOVA NARGIZA XUSNITDINOVNA</t>
        </is>
      </c>
      <c r="F569" s="99" t="inlineStr">
        <is>
          <t xml:space="preserve">998909167565 SMS OZI, 998900136157 SMS SINGLISI, 998951320107 SMS JIYANI,</t>
        </is>
      </c>
      <c r="G569" s="99" t="inlineStr">
        <is>
          <t xml:space="preserve">TOSHKENT SHAHAR SIRG’ALI TUMANI SERGILI 5-MAVZESI, 67-UY, 11-XONADON</t>
        </is>
      </c>
      <c r="H569" s="100">
        <v>198.0</v>
      </c>
      <c r="I569" s="100">
        <v>45698101.77</v>
      </c>
    </row>
    <row r="570">
      <c r="A570" s="99" t="inlineStr">
        <is>
          <t xml:space="preserve">ТОШКЕНТ ШАХРИ</t>
        </is>
      </c>
      <c r="B570" s="99" t="inlineStr">
        <is>
          <t xml:space="preserve">SUPER BRANCH</t>
        </is>
      </c>
      <c r="C570" s="99" t="inlineStr">
        <is>
          <t xml:space="preserve">Обещали</t>
        </is>
      </c>
      <c r="D570" s="99" t="inlineStr">
        <is>
          <t xml:space="preserve">Кр-99062904-1</t>
        </is>
      </c>
      <c r="E570" s="99" t="inlineStr">
        <is>
          <t xml:space="preserve">YULDASHOV ERGASHBOY ADILOVICH</t>
        </is>
      </c>
      <c r="F570" s="99" t="inlineStr">
        <is>
          <t xml:space="preserve">998773789771 SMS ONASI, 998993229751 SMS TOLOVCHI, 998998909751 SMS OZI,</t>
        </is>
      </c>
      <c r="G570" s="99" t="inlineStr">
        <is>
          <t xml:space="preserve">TOSHKENT SHAHAR QO’YLIQ OTA MFY QO’YLIQOTA KO’CASHI 9-UY 40-XONADON</t>
        </is>
      </c>
      <c r="H570" s="100">
        <v>94.0</v>
      </c>
      <c r="I570" s="100">
        <v>43384361.38</v>
      </c>
    </row>
    <row r="571">
      <c r="A571" s="99" t="inlineStr">
        <is>
          <t xml:space="preserve">ТОШКЕНТ ШАХРИ</t>
        </is>
      </c>
      <c r="B571" s="99" t="inlineStr">
        <is>
          <t xml:space="preserve">SUPER BRANCH</t>
        </is>
      </c>
      <c r="C571" s="99" t="inlineStr">
        <is>
          <t xml:space="preserve">Обещали</t>
        </is>
      </c>
      <c r="D571" s="99" t="inlineStr">
        <is>
          <t xml:space="preserve">Кр-99063240-1</t>
        </is>
      </c>
      <c r="E571" s="99" t="inlineStr">
        <is>
          <t xml:space="preserve">BOZOROV FAZLIDDIN JUMAYEVICH</t>
        </is>
      </c>
      <c r="F571" s="99" t="inlineStr">
        <is>
          <t xml:space="preserve">998777923003 SMS DADASI (ISHXONASI), 998908073003 SMS ISHXONMASI, 998936998569 SMS ONASI, 998999162111 SMS OZI,</t>
        </is>
      </c>
      <c r="G571" s="99" t="inlineStr">
        <is>
          <t xml:space="preserve">TOSHKENT SHAHAR YANGIHAYOT TUMANI BINOKOR MFY SANGZOR KOCHASI 24-UY 19-XONADON</t>
        </is>
      </c>
      <c r="H571" s="100">
        <v>36.0</v>
      </c>
      <c r="I571" s="100">
        <v>33591505.06</v>
      </c>
    </row>
    <row r="572">
      <c r="A572" s="99" t="inlineStr">
        <is>
          <t xml:space="preserve">ТОШКЕНТ ШАХРИ</t>
        </is>
      </c>
      <c r="B572" s="99" t="inlineStr">
        <is>
          <t xml:space="preserve">SUPER BRANCH</t>
        </is>
      </c>
      <c r="C572" s="99" t="inlineStr">
        <is>
          <t xml:space="preserve">Обещали</t>
        </is>
      </c>
      <c r="D572" s="99" t="inlineStr">
        <is>
          <t xml:space="preserve">Кр-99058714-1</t>
        </is>
      </c>
      <c r="E572" s="99" t="inlineStr">
        <is>
          <t xml:space="preserve">MAXMATQULOV AKROM ABDIRAXMONOVICH</t>
        </is>
      </c>
      <c r="F572" s="99" t="inlineStr">
        <is>
          <t xml:space="preserve">998909404168 SMS OZI, 998931464168 SMS AYOLI, 998933034168 SMS OGLI, 998983644168 SMS OZI,</t>
        </is>
      </c>
      <c r="G572" s="99" t="inlineStr">
        <is>
          <t xml:space="preserve">TOSHKENT SHAHAR YANGIHAYOT TUMANI YANGIHAYOT MFY TURSUNZODA KOCHASI 10-UY 164-XONODON</t>
        </is>
      </c>
      <c r="H572" s="100">
        <v>34.0</v>
      </c>
      <c r="I572" s="100">
        <v>23243431.69</v>
      </c>
    </row>
    <row r="573">
      <c r="A573" s="99" t="inlineStr">
        <is>
          <t xml:space="preserve">ТОШКЕНТ ШАХРИ</t>
        </is>
      </c>
      <c r="B573" s="99" t="inlineStr">
        <is>
          <t xml:space="preserve">SUPER BRANCH</t>
        </is>
      </c>
      <c r="C573" s="99" t="inlineStr">
        <is>
          <t xml:space="preserve">Обещали</t>
        </is>
      </c>
      <c r="D573" s="99" t="inlineStr">
        <is>
          <t xml:space="preserve">Кр-99064441-1</t>
        </is>
      </c>
      <c r="E573" s="99" t="inlineStr">
        <is>
          <t xml:space="preserve">ASLONOVA VAZIRA O’TKIROVNA</t>
        </is>
      </c>
      <c r="F573" s="99" t="inlineStr">
        <is>
          <t xml:space="preserve">998914411010 SMS ERI, 998941943010 SMS UZI,</t>
        </is>
      </c>
      <c r="G573" s="99" t="inlineStr">
        <is>
          <t xml:space="preserve">1-Чарх Камолон МФЙ, Зухурполвон кучаси, 7а-уй</t>
        </is>
      </c>
      <c r="H573" s="100">
        <v>3.0</v>
      </c>
      <c r="I573" s="100">
        <v>21519765.18</v>
      </c>
      <c r="K573" s="99" t="inlineStr">
        <is>
          <t xml:space="preserve">2323 | Shu xafta xarakat qladi | 250000000 | 16246030.38 | ertaga to'laydi</t>
        </is>
      </c>
    </row>
    <row r="574">
      <c r="A574" s="99" t="inlineStr">
        <is>
          <t xml:space="preserve">ТОШКЕНТ ШАХРИ</t>
        </is>
      </c>
      <c r="B574" s="99" t="inlineStr">
        <is>
          <t xml:space="preserve">SUPER BRANCH</t>
        </is>
      </c>
      <c r="C574" s="99" t="inlineStr">
        <is>
          <t xml:space="preserve">Обещали</t>
        </is>
      </c>
      <c r="D574" s="99" t="inlineStr">
        <is>
          <t xml:space="preserve">Кр-99063555-2</t>
        </is>
      </c>
      <c r="E574" s="99" t="inlineStr">
        <is>
          <t xml:space="preserve">SAIDOV SHOHRUH RAVSHAN O’G’LI</t>
        </is>
      </c>
      <c r="F574" s="99" t="inlineStr">
        <is>
          <t xml:space="preserve">998977441470 SMS Ozi, 998946810330 SMS Ozi, 998908709990 SMS Ukasi,</t>
        </is>
      </c>
      <c r="G574" s="99" t="inlineStr">
        <is>
          <t xml:space="preserve">Toshkent Shahar Uchtepa tumani zulfizar mfy taqachi kochasi 65-uy</t>
        </is>
      </c>
      <c r="H574" s="100">
        <v>34.0</v>
      </c>
      <c r="I574" s="100">
        <v>19735429.46</v>
      </c>
      <c r="K574" s="99" t="inlineStr">
        <is>
          <t xml:space="preserve">2088 | Ertaga kechga | 170000000 | 10654726.79 | yiban qayta tel qilamn deb ko'tarmadi</t>
        </is>
      </c>
    </row>
    <row r="575">
      <c r="A575" s="99" t="inlineStr">
        <is>
          <t xml:space="preserve">ТОШКЕНТ ШАХРИ</t>
        </is>
      </c>
      <c r="B575" s="99" t="inlineStr">
        <is>
          <t xml:space="preserve">SUPER BRANCH</t>
        </is>
      </c>
      <c r="C575" s="99" t="inlineStr">
        <is>
          <t xml:space="preserve">Оплатил дозвон</t>
        </is>
      </c>
      <c r="D575" s="99" t="inlineStr">
        <is>
          <t xml:space="preserve">Кр-99037575-2</t>
        </is>
      </c>
      <c r="E575" s="99" t="inlineStr">
        <is>
          <t xml:space="preserve">AZIMXODJAYEV BEXZOD DJAMALITDINOVICH</t>
        </is>
      </c>
      <c r="F575" s="99" t="inlineStr">
        <is>
          <t xml:space="preserve">998998400008 SMS OZI, 998977071020 SMS DO’ST, 998977469176 SMS DOSTI 2, 998930906353 SMS OZI 2 begona,</t>
        </is>
      </c>
      <c r="G575" s="99" t="inlineStr">
        <is>
          <t xml:space="preserve">TOSHKENT SHAHAR OLMAZOR TUMANI, YANGI TOSHKENT MFY,KELES O’LI 15-UY</t>
        </is>
      </c>
      <c r="H575" s="100">
        <v>31.0</v>
      </c>
      <c r="I575" s="100">
        <v>18163834.16</v>
      </c>
      <c r="J575" s="100">
        <v>18163834.16</v>
      </c>
      <c r="K575" s="99" t="inlineStr">
        <is>
          <t xml:space="preserve">yopildi</t>
        </is>
      </c>
    </row>
    <row r="576">
      <c r="A576" s="99" t="inlineStr">
        <is>
          <t xml:space="preserve">ТОШКЕНТ ШАХРИ</t>
        </is>
      </c>
      <c r="B576" s="99" t="inlineStr">
        <is>
          <t xml:space="preserve">SUPER BRANCH</t>
        </is>
      </c>
      <c r="C576" s="99" t="inlineStr">
        <is>
          <t xml:space="preserve">Обещали</t>
        </is>
      </c>
      <c r="D576" s="99" t="inlineStr">
        <is>
          <t xml:space="preserve">Кр-99037022-3</t>
        </is>
      </c>
      <c r="E576" s="99" t="inlineStr">
        <is>
          <t xml:space="preserve">SODIQOV ULUG’BEK ZIYODULLA O’GLI</t>
        </is>
      </c>
      <c r="F576" s="99" t="inlineStr">
        <is>
          <t xml:space="preserve">998935740900 SMS OZI, 998971017799 SMS AKASI, 998900037531 SMS AKASI, 998909707175 SMS AKASI, 998909707571 SMS uzi ulug’bek new, 998971017799 newww,</t>
        </is>
      </c>
      <c r="G576" s="99" t="inlineStr">
        <is>
          <t xml:space="preserve">TOSHKENT SHAHAR YASHNOBOD TUMANI 2-AVIASOZLAR MAVZESI 26-UY 66- XONADON</t>
        </is>
      </c>
      <c r="H576" s="100">
        <v>35.0</v>
      </c>
      <c r="I576" s="100">
        <v>15687083.67</v>
      </c>
      <c r="K576" s="99" t="inlineStr">
        <is>
          <t xml:space="preserve">17,00 datolidi | bugunga to'lov bo'ladi</t>
        </is>
      </c>
    </row>
    <row r="577">
      <c r="A577" s="99" t="inlineStr">
        <is>
          <t xml:space="preserve">ТОШКЕНТ ШАХРИ</t>
        </is>
      </c>
      <c r="B577" s="99" t="inlineStr">
        <is>
          <t xml:space="preserve">SUPER BRANCH</t>
        </is>
      </c>
      <c r="C577" s="99" t="inlineStr">
        <is>
          <t xml:space="preserve">Обещали</t>
        </is>
      </c>
      <c r="D577" s="99" t="inlineStr">
        <is>
          <t xml:space="preserve">Кр-99063555-1</t>
        </is>
      </c>
      <c r="E577" s="99" t="inlineStr">
        <is>
          <t xml:space="preserve">SAIDOV SHOHRUH RAVSHAN O’G’LI</t>
        </is>
      </c>
      <c r="F577" s="99" t="inlineStr">
        <is>
          <t xml:space="preserve">998977441470 SMS Ozi, 998946810330 SMS Ozi, 998908709990 SMS Ukasi,</t>
        </is>
      </c>
      <c r="G577" s="99" t="inlineStr">
        <is>
          <t xml:space="preserve">Toshkent Shahar Uchtepa tumani zulfizar mfy taqachi kochasi 65-uy</t>
        </is>
      </c>
      <c r="H577" s="100">
        <v>3.0</v>
      </c>
      <c r="I577" s="100">
        <v>15328480.71</v>
      </c>
      <c r="K577" s="99" t="inlineStr">
        <is>
          <t xml:space="preserve">2087 | Ertaga kechga | 125000000 | 8701505.42 | yiban qayta tel qilamn deb ko'tarmadi</t>
        </is>
      </c>
    </row>
    <row r="578">
      <c r="A578" s="99" t="inlineStr">
        <is>
          <t xml:space="preserve">ТОШКЕНТ ШАХРИ</t>
        </is>
      </c>
      <c r="B578" s="99" t="inlineStr">
        <is>
          <t xml:space="preserve">SUPER BRANCH</t>
        </is>
      </c>
      <c r="C578" s="99" t="inlineStr">
        <is>
          <t xml:space="preserve">Обещали</t>
        </is>
      </c>
      <c r="D578" s="99" t="inlineStr">
        <is>
          <t xml:space="preserve">Кр-99031250-4</t>
        </is>
      </c>
      <c r="E578" s="99" t="inlineStr">
        <is>
          <t xml:space="preserve">SADIKOVA ZILOLA ANVAROVNA</t>
        </is>
      </c>
      <c r="F578" s="99" t="inlineStr">
        <is>
          <t xml:space="preserve">998977533163 SMS O’ZI, 998957533150 SMS O’ZI2, 998933730140 SMS SHERIK, 998999161133 SMS UKASI, 998909755703 SMS IJARA TURGAN UYINI EGASI,</t>
        </is>
      </c>
      <c r="G578" s="99" t="inlineStr">
        <is>
          <t xml:space="preserve">TOSHKENT SHAHRI MIROBOD TUMANI CHINOR MFY QOYLIQ 1-MAVZESI 4-UY 11-XONADON</t>
        </is>
      </c>
      <c r="H578" s="100">
        <v>3.0</v>
      </c>
      <c r="I578" s="100">
        <v>13570038.87</v>
      </c>
    </row>
    <row r="579">
      <c r="A579" s="99" t="inlineStr">
        <is>
          <t xml:space="preserve">ТОШКЕНТ ШАХРИ</t>
        </is>
      </c>
      <c r="B579" s="99" t="inlineStr">
        <is>
          <t xml:space="preserve">SUPER BRANCH</t>
        </is>
      </c>
      <c r="C579" s="99" t="inlineStr">
        <is>
          <t xml:space="preserve">Ko'tardi</t>
        </is>
      </c>
      <c r="D579" s="99" t="inlineStr">
        <is>
          <t xml:space="preserve">Кр-99057585-1</t>
        </is>
      </c>
      <c r="E579" s="99" t="inlineStr">
        <is>
          <t xml:space="preserve">OLTIYEV XABIBULLO ZIYODULLOYEVICH</t>
        </is>
      </c>
      <c r="F579" s="99" t="inlineStr">
        <is>
          <t xml:space="preserve">998874126686 SMS UZI, 998991216686 SMS UGLI, 998946850005 ugli newww,</t>
        </is>
      </c>
      <c r="G579" s="99" t="inlineStr">
        <is>
          <t xml:space="preserve">TOSHKENT SHAHAR YUNUSOBOD TUMANI XASANBOY MFY KATTA SOY KOCHASI 20-UY</t>
        </is>
      </c>
      <c r="H579" s="100">
        <v>31.0</v>
      </c>
      <c r="I579" s="100">
        <v>12631175.3</v>
      </c>
    </row>
    <row r="580">
      <c r="A580" s="99" t="inlineStr">
        <is>
          <t xml:space="preserve">ТОШКЕНТ ШАХРИ</t>
        </is>
      </c>
      <c r="B580" s="99" t="inlineStr">
        <is>
          <t xml:space="preserve">SUPER BRANCH</t>
        </is>
      </c>
      <c r="C580" s="99" t="inlineStr">
        <is>
          <t xml:space="preserve">Обещали</t>
        </is>
      </c>
      <c r="D580" s="99" t="inlineStr">
        <is>
          <t xml:space="preserve">Кр-99063593-1</t>
        </is>
      </c>
      <c r="E580" s="99" t="inlineStr">
        <is>
          <t xml:space="preserve">BOBOXONOVA NASIBA OLIM-QIZI</t>
        </is>
      </c>
      <c r="F580" s="99" t="inlineStr">
        <is>
          <t xml:space="preserve">998958858282 SMS UZI, 998959491404 SMS UZI2, 998997999676 SMS AYOLI,</t>
        </is>
      </c>
      <c r="G580" s="99" t="inlineStr">
        <is>
          <t xml:space="preserve">Dilbuloq MFY, Sh.Rustaveli ko’chasi, 69-uy, 24-xonadon</t>
        </is>
      </c>
      <c r="H580" s="100">
        <v>3.0</v>
      </c>
      <c r="I580" s="100">
        <v>11138325.65</v>
      </c>
      <c r="K580" s="99" t="inlineStr">
        <is>
          <t xml:space="preserve">2097 | Uzogi xaftani oxirigacha debdi | 180000000 | 3775587.42</t>
        </is>
      </c>
    </row>
    <row r="581">
      <c r="A581" s="99" t="inlineStr">
        <is>
          <t xml:space="preserve">ТОШКЕНТ ШАХРИ</t>
        </is>
      </c>
      <c r="B581" s="99" t="inlineStr">
        <is>
          <t xml:space="preserve">SUPER BRANCH</t>
        </is>
      </c>
      <c r="C581" s="99" t="inlineStr">
        <is>
          <t xml:space="preserve">Обещали</t>
        </is>
      </c>
      <c r="D581" s="99" t="inlineStr">
        <is>
          <t xml:space="preserve">Кр-99033616-2</t>
        </is>
      </c>
      <c r="E581" s="99" t="inlineStr">
        <is>
          <t xml:space="preserve">AKBAROV SHAMSHODBEK SANJAR O’G’LI</t>
        </is>
      </c>
      <c r="F581" s="99" t="inlineStr">
        <is>
          <t xml:space="preserve">998992828111 SMS O’ZI , 998200000019 SMS AKASI, 998999986679 SMS AKASI 2, 998019500172 SMS O’ZI 2,</t>
        </is>
      </c>
      <c r="G581" s="99" t="inlineStr">
        <is>
          <t xml:space="preserve">TOSHKENT SHAHAR YUNUSOBOD TUMANI AMIR TEMUR KO'CHASI 2,</t>
        </is>
      </c>
      <c r="H581" s="100">
        <v>3.0</v>
      </c>
      <c r="I581" s="100">
        <v>8983479.07</v>
      </c>
      <c r="K581" s="99" t="inlineStr">
        <is>
          <t xml:space="preserve">25 kun toliod</t>
        </is>
      </c>
    </row>
    <row r="582">
      <c r="A582" s="99" t="inlineStr">
        <is>
          <t xml:space="preserve">ТОШКЕНТ ШАХРИ</t>
        </is>
      </c>
      <c r="B582" s="99" t="inlineStr">
        <is>
          <t xml:space="preserve">SUPER BRANCH</t>
        </is>
      </c>
      <c r="C582" s="99" t="inlineStr">
        <is>
          <t xml:space="preserve">Обещали</t>
        </is>
      </c>
      <c r="D582" s="99" t="inlineStr">
        <is>
          <t xml:space="preserve">Кр-99034856-3</t>
        </is>
      </c>
      <c r="E582" s="99" t="inlineStr">
        <is>
          <t xml:space="preserve">DJUMAYEV IXTIYOR JAMGIROVICH</t>
        </is>
      </c>
      <c r="F582" s="99" t="inlineStr">
        <is>
          <t xml:space="preserve">998900143883 SMS O’ZI, 998909450954 SMS AYOLI, 998953136661 SMS QIZI, 998947575888 SMS O’G’LI, 998935392278 SMS OGLI NEW,</t>
        </is>
      </c>
      <c r="G582" s="99" t="inlineStr">
        <is>
          <t xml:space="preserve">TOSHKENT SHAHAR SIRG’ALI TUMANI MADANIYAT MFY,KUYLYUK 5-MAVZESI, 13-UY, 23-XONADON </t>
        </is>
      </c>
      <c r="H582" s="100">
        <v>3.0</v>
      </c>
      <c r="I582" s="100">
        <v>7302326.11</v>
      </c>
      <c r="K582" s="99" t="inlineStr">
        <is>
          <t xml:space="preserve">1 haftalada tolid</t>
        </is>
      </c>
    </row>
    <row r="583">
      <c r="A583" s="99" t="inlineStr">
        <is>
          <t xml:space="preserve">ТОШКЕНТ ШАХРИ</t>
        </is>
      </c>
      <c r="B583" s="99" t="inlineStr">
        <is>
          <t xml:space="preserve">SUPER BRANCH</t>
        </is>
      </c>
      <c r="C583" s="99" t="inlineStr">
        <is>
          <t xml:space="preserve">Обещали</t>
        </is>
      </c>
      <c r="D583" s="99" t="inlineStr">
        <is>
          <t xml:space="preserve">Кр-99063090-1</t>
        </is>
      </c>
      <c r="E583" s="99" t="inlineStr">
        <is>
          <t xml:space="preserve">RUSTAMOV JASURBEK QIYOMOVICH</t>
        </is>
      </c>
      <c r="F583" s="99" t="inlineStr">
        <is>
          <t xml:space="preserve">998978682627 SMS OZI, 998939697577 SMS JIYANI, 998730003572 SMS JIYANI 2, 998500036005 SMS AKASI,</t>
        </is>
      </c>
      <c r="G583" s="99" t="inlineStr">
        <is>
          <t xml:space="preserve">TOSHKENT SHAHAR SHAYXONTOXUR TUMANI TAXTAPUL MFY ZULFIYAXONIM KO’CHASI 29-UY,19-XONADON</t>
        </is>
      </c>
      <c r="H583" s="100">
        <v>3.0</v>
      </c>
      <c r="I583" s="100">
        <v>7143942.92</v>
      </c>
      <c r="K583" s="99" t="inlineStr">
        <is>
          <t xml:space="preserve">mayda mayda yopad</t>
        </is>
      </c>
    </row>
    <row r="584">
      <c r="A584" s="99" t="inlineStr">
        <is>
          <t xml:space="preserve">ТОШКЕНТ ШАХРИ</t>
        </is>
      </c>
      <c r="B584" s="99" t="inlineStr">
        <is>
          <t xml:space="preserve">SUPER BRANCH</t>
        </is>
      </c>
      <c r="C584" s="99" t="inlineStr">
        <is>
          <t xml:space="preserve">Обещали</t>
        </is>
      </c>
      <c r="D584" s="99" t="inlineStr">
        <is>
          <t xml:space="preserve">Кр-99018233-5</t>
        </is>
      </c>
      <c r="E584" s="99" t="inlineStr">
        <is>
          <t xml:space="preserve">XODJAYEV KAXRAMON ERKINOVICH</t>
        </is>
      </c>
      <c r="F584" s="99" t="inlineStr">
        <is>
          <t xml:space="preserve">93-609-93-00  SMS OZI, 97-707-76-90  SMS OZI 2, 99-326-20-49  SMS O'G'LI, 33-322-11-20  SMS O'G'LI 2 , 97-888-41-01 SMS GAROVCHIS,</t>
        </is>
      </c>
      <c r="G584" s="99" t="inlineStr">
        <is>
          <t xml:space="preserve">TOSHKENT SHAHRI OLMAZOR TUMANI SAG'BON, 30 BERK KO'CHASI 12 - 101- XONADON</t>
        </is>
      </c>
      <c r="H584" s="100">
        <v>3.0</v>
      </c>
      <c r="I584" s="100">
        <v>7016799.45</v>
      </c>
      <c r="K584" s="99" t="inlineStr">
        <is>
          <t xml:space="preserve">25 kun tolid</t>
        </is>
      </c>
    </row>
    <row r="585">
      <c r="A585" s="99" t="inlineStr">
        <is>
          <t xml:space="preserve">ТОШКЕНТ ШАХРИ</t>
        </is>
      </c>
      <c r="B585" s="99" t="inlineStr">
        <is>
          <t xml:space="preserve">SUPER BRANCH</t>
        </is>
      </c>
      <c r="C585" s="99" t="inlineStr">
        <is>
          <t xml:space="preserve">Обещали</t>
        </is>
      </c>
      <c r="D585" s="99" t="inlineStr">
        <is>
          <t xml:space="preserve">Кр-99063113-1</t>
        </is>
      </c>
      <c r="E585" s="99" t="inlineStr">
        <is>
          <t xml:space="preserve">MAXMUDJONOV ZIYO MA’RUFJON O’G’LI</t>
        </is>
      </c>
      <c r="F585" s="99" t="inlineStr">
        <is>
          <t xml:space="preserve">998971851991 OZI, 998938031991 AYOLI, 998940071900 FARRUX QARINDOSHI,</t>
        </is>
      </c>
      <c r="G585" s="99" t="inlineStr">
        <is>
          <t xml:space="preserve">TOSHKENT SHAHAR YAKKASAROY TUMANI QUSHBEGI MFY SOLAR KO’CHASI 10-UY, 93 XONADON</t>
        </is>
      </c>
      <c r="H585" s="100">
        <v>3.0</v>
      </c>
      <c r="I585" s="100">
        <v>6842903.68</v>
      </c>
      <c r="K585" s="99" t="inlineStr">
        <is>
          <t xml:space="preserve">1966 | kechgacha xarakat qlaman | 60000000 | 4444542</t>
        </is>
      </c>
    </row>
    <row r="586">
      <c r="A586" s="99" t="inlineStr">
        <is>
          <t xml:space="preserve">ТОШКЕНТ ШАХРИ</t>
        </is>
      </c>
      <c r="B586" s="99" t="inlineStr">
        <is>
          <t xml:space="preserve">SUPER BRANCH</t>
        </is>
      </c>
      <c r="C586" s="99" t="inlineStr">
        <is>
          <t xml:space="preserve">Обещали</t>
        </is>
      </c>
      <c r="D586" s="99" t="inlineStr">
        <is>
          <t xml:space="preserve">Кр-99004337-2</t>
        </is>
      </c>
      <c r="E586" s="99" t="inlineStr">
        <is>
          <t xml:space="preserve">GULAMOV AVAZBEK IBAYDULLAYEVICH</t>
        </is>
      </c>
      <c r="F586" s="99" t="inlineStr">
        <is>
          <t xml:space="preserve">99-881-87-77 SMS UZI HAR DOIM ISHLAYDI , 99-004-00-07 SMS UZI, 998909636333 SMS OZI 2, 998998816111 SMS AYOLI,</t>
        </is>
      </c>
      <c r="G586" s="99" t="inlineStr">
        <is>
          <t xml:space="preserve">TOSHKENT SHAHAR SIRG’ALI TUMANI SIRG’ALI 5-51-12</t>
        </is>
      </c>
      <c r="H586" s="100">
        <v>6.0</v>
      </c>
      <c r="I586" s="100">
        <v>6674406.37</v>
      </c>
      <c r="K586" s="99" t="inlineStr">
        <is>
          <t xml:space="preserve">10 kun tolab beradi</t>
        </is>
      </c>
    </row>
    <row r="587">
      <c r="A587" s="99" t="inlineStr">
        <is>
          <t xml:space="preserve">ТОШКЕНТ ШАХРИ</t>
        </is>
      </c>
      <c r="B587" s="99" t="inlineStr">
        <is>
          <t xml:space="preserve">SUPER BRANCH</t>
        </is>
      </c>
      <c r="C587" s="99" t="inlineStr">
        <is>
          <t xml:space="preserve">Обещали</t>
        </is>
      </c>
      <c r="D587" s="99" t="inlineStr">
        <is>
          <t xml:space="preserve">Кр-99029253-3</t>
        </is>
      </c>
      <c r="E587" s="99" t="inlineStr">
        <is>
          <t xml:space="preserve">KURBANOV BAXRAM ILXOMOVICH</t>
        </is>
      </c>
      <c r="F587" s="99" t="inlineStr">
        <is>
          <t xml:space="preserve">998910088855 SMS O’ZI new, 998944051414 SMS JIYANI, 998950451414 SMS AKASI, 998994831414 SMS JIYANI 2,</t>
        </is>
      </c>
      <c r="G587" s="99" t="inlineStr">
        <is>
          <t xml:space="preserve">Ийкота МФЙ, Тараккиёт кучаси, 38-уй</t>
        </is>
      </c>
      <c r="H587" s="100">
        <v>3.0</v>
      </c>
      <c r="I587" s="100">
        <v>6386359.33</v>
      </c>
      <c r="K587" s="99" t="inlineStr">
        <is>
          <t xml:space="preserve">ertaga oylik tushadi kartadan tortvolamiz</t>
        </is>
      </c>
    </row>
    <row r="588">
      <c r="A588" s="99" t="inlineStr">
        <is>
          <t xml:space="preserve">ТОШКЕНТ ШАХРИ</t>
        </is>
      </c>
      <c r="B588" s="99" t="inlineStr">
        <is>
          <t xml:space="preserve">SUPER BRANCH</t>
        </is>
      </c>
      <c r="C588" s="99" t="inlineStr">
        <is>
          <t xml:space="preserve">Обещали</t>
        </is>
      </c>
      <c r="D588" s="99" t="inlineStr">
        <is>
          <t xml:space="preserve">Кр-99036508-2</t>
        </is>
      </c>
      <c r="E588" s="99" t="inlineStr">
        <is>
          <t xml:space="preserve">ALAYEVA XILOLA ABDUVALIYEVNA</t>
        </is>
      </c>
      <c r="F588" s="99" t="inlineStr">
        <is>
          <t xml:space="preserve">998770557477 SMS OZI, 998507058393 SMS OPASI, 998504044662 SMS O’G’LI, 998994704544 SMS OTASI, +998770557477 Primary phone from road24,</t>
        </is>
      </c>
      <c r="G588" s="99" t="inlineStr">
        <is>
          <t xml:space="preserve">TOSHKENT VILOYATI TOSHKENT TUMANI KIZGALDOK KFY KELES YULI KO’CHASI 180-UY B-BLOK 3-XONADON</t>
        </is>
      </c>
      <c r="H588" s="100">
        <v>3.0</v>
      </c>
      <c r="I588" s="100">
        <v>6283866.31</v>
      </c>
      <c r="K588" s="99" t="inlineStr">
        <is>
          <t xml:space="preserve">15 kun tolid</t>
        </is>
      </c>
    </row>
    <row r="589">
      <c r="A589" s="99" t="inlineStr">
        <is>
          <t xml:space="preserve">ТОШКЕНТ ШАХРИ</t>
        </is>
      </c>
      <c r="B589" s="99" t="inlineStr">
        <is>
          <t xml:space="preserve">SUPER BRANCH</t>
        </is>
      </c>
      <c r="C589" s="99" t="inlineStr">
        <is>
          <t xml:space="preserve">Оплатил дозвон</t>
        </is>
      </c>
      <c r="D589" s="99" t="inlineStr">
        <is>
          <t xml:space="preserve">Кр-99037620-2</t>
        </is>
      </c>
      <c r="E589" s="99" t="inlineStr">
        <is>
          <t xml:space="preserve">KARIMOV JAXONGIR XIKMATOVICH</t>
        </is>
      </c>
      <c r="F589" s="99" t="inlineStr">
        <is>
          <t xml:space="preserve">998998460808 SMS O’ZI, 998931895955 SMS O’ZI 2, 998975572758 SMS ONASI, 998998398909 SMS ZALOGADATEL,</t>
        </is>
      </c>
      <c r="G589" s="99" t="inlineStr">
        <is>
          <t xml:space="preserve">FARG’ONA VILOYATI O’ZBEKISTON TUMANI QO’SHQO’YNOQ MSG QO’SHQO’YNOQ KO’CHASI 85-UY</t>
        </is>
      </c>
      <c r="H589" s="100">
        <v>3.0</v>
      </c>
      <c r="I589" s="100">
        <v>5661031.68</v>
      </c>
      <c r="J589" s="100">
        <v>5661031.68</v>
      </c>
      <c r="K589" s="99" t="inlineStr">
        <is>
          <t xml:space="preserve">qisman</t>
        </is>
      </c>
    </row>
    <row r="590">
      <c r="A590" s="99" t="inlineStr">
        <is>
          <t xml:space="preserve">ТОШКЕНТ ШАХРИ</t>
        </is>
      </c>
      <c r="B590" s="99" t="inlineStr">
        <is>
          <t xml:space="preserve">SUPER BRANCH</t>
        </is>
      </c>
      <c r="C590" s="99" t="inlineStr">
        <is>
          <t xml:space="preserve">Обещали</t>
        </is>
      </c>
      <c r="D590" s="99" t="inlineStr">
        <is>
          <t xml:space="preserve">Кр-99064270-3</t>
        </is>
      </c>
      <c r="E590" s="99" t="inlineStr">
        <is>
          <t xml:space="preserve">MAXMADIXANOV SAID-MUXAMMAD MUSTAQIM O’G’LI</t>
        </is>
      </c>
      <c r="F590" s="99" t="inlineStr">
        <is>
          <t xml:space="preserve">998888624884 SMS DOSTI, 998909777825 SMS UZI, 998949772578 SMS DOSTI,</t>
        </is>
      </c>
      <c r="G590" s="99" t="inlineStr">
        <is>
          <t xml:space="preserve">БОШЛИҚ МФЙ, БОШЛИК ДАХАСИ,  uy:1 xonadon:65</t>
        </is>
      </c>
      <c r="H590" s="100">
        <v>3.0</v>
      </c>
      <c r="I590" s="100">
        <v>5616855.0</v>
      </c>
      <c r="K590" s="99" t="inlineStr">
        <is>
          <t xml:space="preserve">2288 | Uzogi dushanbagacha | 60000000 | 3899046.76</t>
        </is>
      </c>
    </row>
    <row r="591">
      <c r="A591" s="99" t="inlineStr">
        <is>
          <t xml:space="preserve">ТОШКЕНТ ШАХРИ</t>
        </is>
      </c>
      <c r="B591" s="99" t="inlineStr">
        <is>
          <t xml:space="preserve">SUPER BRANCH</t>
        </is>
      </c>
      <c r="C591" s="99" t="inlineStr">
        <is>
          <t xml:space="preserve">Обещали</t>
        </is>
      </c>
      <c r="D591" s="99" t="inlineStr">
        <is>
          <t xml:space="preserve">Кр-99063693-1</t>
        </is>
      </c>
      <c r="E591" s="99" t="inlineStr">
        <is>
          <t xml:space="preserve">TURSUNOV TOXIR GAYBULLAYEVICH</t>
        </is>
      </c>
      <c r="F591" s="99" t="inlineStr">
        <is>
          <t xml:space="preserve">998930969696 SMS UZI, 998981234474 SMS DOSTI, 998990000096 SMS AYOLI,</t>
        </is>
      </c>
      <c r="G591" s="99" t="inlineStr">
        <is>
          <t xml:space="preserve">АБДУЛЛА ҚОДИРИЙ МФЙ, ЗАФАРИЙ, 1 ТОР КЎЧАСИ,  uy:1</t>
        </is>
      </c>
      <c r="H591" s="100">
        <v>3.0</v>
      </c>
      <c r="I591" s="100">
        <v>5585875.61</v>
      </c>
      <c r="K591" s="99" t="inlineStr">
        <is>
          <t xml:space="preserve">2123 | Kartaga tashamoqchi | 90000000 | 1889776.56 | xoz officega kevotti</t>
        </is>
      </c>
    </row>
    <row r="592">
      <c r="A592" s="99" t="inlineStr">
        <is>
          <t xml:space="preserve">ТОШКЕНТ ШАХРИ</t>
        </is>
      </c>
      <c r="B592" s="99" t="inlineStr">
        <is>
          <t xml:space="preserve">SUPER BRANCH</t>
        </is>
      </c>
      <c r="C592" s="99" t="inlineStr">
        <is>
          <t xml:space="preserve">Обещали</t>
        </is>
      </c>
      <c r="D592" s="99" t="inlineStr">
        <is>
          <t xml:space="preserve">Кр-99052886-1</t>
        </is>
      </c>
      <c r="E592" s="99" t="inlineStr">
        <is>
          <t xml:space="preserve">MASIMOVA UMIDA MAXAMADOVNA</t>
        </is>
      </c>
      <c r="F592" s="99" t="inlineStr">
        <is>
          <t xml:space="preserve">998903313637 SMS ERI, 998907371414 SMS OGLI, 998909441369 SMS OZI,</t>
        </is>
      </c>
      <c r="G592" s="99" t="inlineStr">
        <is>
          <t xml:space="preserve">KICHIK HALQA YOLI 18-A UY.</t>
        </is>
      </c>
      <c r="H592" s="100">
        <v>2.0</v>
      </c>
      <c r="I592" s="100">
        <v>5019131.35</v>
      </c>
      <c r="K592" s="99" t="inlineStr">
        <is>
          <t xml:space="preserve">1465 | Uyini sotishga bergan ekan puli tushishiga toliq yopadi | 80000000 | 1830334.94</t>
        </is>
      </c>
    </row>
    <row r="593">
      <c r="A593" s="99" t="inlineStr">
        <is>
          <t xml:space="preserve">ТОШКЕНТ ШАХРИ</t>
        </is>
      </c>
      <c r="B593" s="99" t="inlineStr">
        <is>
          <t xml:space="preserve">SUPER BRANCH</t>
        </is>
      </c>
      <c r="C593" s="99" t="inlineStr">
        <is>
          <t xml:space="preserve">Оплатил дозвон</t>
        </is>
      </c>
      <c r="D593" s="99" t="inlineStr">
        <is>
          <t xml:space="preserve">Кр-99060726-1</t>
        </is>
      </c>
      <c r="E593" s="99" t="inlineStr">
        <is>
          <t xml:space="preserve">QURBONOVA NODIRA NASHPANDOVNA</t>
        </is>
      </c>
      <c r="F593" s="99" t="inlineStr">
        <is>
          <t xml:space="preserve">998991151343 SMS OZI, 998993096040 SMS OGLI, 998997696644 SMS ERI,</t>
        </is>
      </c>
      <c r="G593" s="99" t="inlineStr">
        <is>
          <t xml:space="preserve">TOSHKENT SHAHAR YANGIHAYOT TUMANI CHORTOQ MFY DARYO BUYI KOCHASI  33-UY</t>
        </is>
      </c>
      <c r="H593" s="100">
        <v>3.0</v>
      </c>
      <c r="I593" s="100">
        <v>4655140.0</v>
      </c>
      <c r="J593" s="100">
        <v>4655140.0</v>
      </c>
      <c r="K593" s="99" t="inlineStr">
        <is>
          <t xml:space="preserve">yopildi</t>
        </is>
      </c>
    </row>
    <row r="594">
      <c r="A594" s="99" t="inlineStr">
        <is>
          <t xml:space="preserve">ТОШКЕНТ ШАХРИ</t>
        </is>
      </c>
      <c r="B594" s="99" t="inlineStr">
        <is>
          <t xml:space="preserve">SUPER BRANCH</t>
        </is>
      </c>
      <c r="C594" s="99" t="inlineStr">
        <is>
          <t xml:space="preserve">Обещали</t>
        </is>
      </c>
      <c r="D594" s="99" t="inlineStr">
        <is>
          <t xml:space="preserve">Кр-99036167-2</t>
        </is>
      </c>
      <c r="E594" s="99" t="inlineStr">
        <is>
          <t xml:space="preserve">AXMEDOV BOTIR YULDASHEVICH</t>
        </is>
      </c>
      <c r="F594" s="99" t="inlineStr">
        <is>
          <t xml:space="preserve">998998200012 SMS O’ZI , 998710500122 SMS O’ZI 2, 998903165191 SMS AYOLI , 998990952222 SMS O’G’LI ,</t>
        </is>
      </c>
      <c r="G594" s="99" t="inlineStr">
        <is>
          <t xml:space="preserve">TOSHKENT SHAHAR SIRG’ALI TUMANI YANGI TURMUSH 5-TOR KO’CHASI 25-UY</t>
        </is>
      </c>
      <c r="H594" s="100">
        <v>6.0</v>
      </c>
      <c r="I594" s="100">
        <v>4543645.58</v>
      </c>
      <c r="K594" s="99" t="inlineStr">
        <is>
          <t xml:space="preserve">25 kun tolov qiladi</t>
        </is>
      </c>
    </row>
    <row r="595">
      <c r="A595" s="99" t="inlineStr">
        <is>
          <t xml:space="preserve">ТОШКЕНТ ШАХРИ</t>
        </is>
      </c>
      <c r="B595" s="99" t="inlineStr">
        <is>
          <t xml:space="preserve">SUPER BRANCH</t>
        </is>
      </c>
      <c r="C595" s="99" t="inlineStr">
        <is>
          <t xml:space="preserve">Обещали</t>
        </is>
      </c>
      <c r="D595" s="99" t="inlineStr">
        <is>
          <t xml:space="preserve">Кр-99064426-1</t>
        </is>
      </c>
      <c r="E595" s="99" t="inlineStr">
        <is>
          <t xml:space="preserve">XOLMUXAMEDOV FAXRIDDIN ABDULLAYEVICH</t>
        </is>
      </c>
      <c r="F595" s="99" t="inlineStr">
        <is>
          <t xml:space="preserve">998935171455 SMS UZI, 998936966976 SMS UGLI, 998946976976 SMS AYOLI,</t>
        </is>
      </c>
      <c r="G595" s="99" t="inlineStr">
        <is>
          <t xml:space="preserve">ШАРАФ МФЙ, КИЗИЛ ШАРК ДАХАСИ,  uy:27 xonadon:131</t>
        </is>
      </c>
      <c r="H595" s="100">
        <v>3.0</v>
      </c>
      <c r="I595" s="100">
        <v>4534355.42</v>
      </c>
      <c r="K595" s="99" t="inlineStr">
        <is>
          <t xml:space="preserve">2319 | Juma kuniga | 120000000 | 2014718.12 | ertaga abetgacha to'lov qiladi</t>
        </is>
      </c>
    </row>
    <row r="596">
      <c r="A596" s="99" t="inlineStr">
        <is>
          <t xml:space="preserve">ТОШКЕНТ ШАХРИ</t>
        </is>
      </c>
      <c r="B596" s="99" t="inlineStr">
        <is>
          <t xml:space="preserve">SUPER BRANCH</t>
        </is>
      </c>
      <c r="C596" s="99" t="inlineStr">
        <is>
          <t xml:space="preserve">Обещали</t>
        </is>
      </c>
      <c r="D596" s="99" t="inlineStr">
        <is>
          <t xml:space="preserve">Кр-99063839-1</t>
        </is>
      </c>
      <c r="E596" s="99" t="inlineStr">
        <is>
          <t xml:space="preserve">A’ZAMOV DONIYORJON AKROMJON O’G’LI</t>
        </is>
      </c>
      <c r="F596" s="99" t="inlineStr">
        <is>
          <t xml:space="preserve">998331405858 SMS UZI, 998909781111 SMS ONASI2, 998999786853 SMS ONASI,</t>
        </is>
      </c>
      <c r="G596" s="99" t="inlineStr">
        <is>
          <t xml:space="preserve">г. Ташкент, Учтепинский район, ул. Мехмондуст, Бекобод МСГ, 17- Дом, -</t>
        </is>
      </c>
      <c r="H596" s="100">
        <v>3.0</v>
      </c>
      <c r="I596" s="100">
        <v>4406008.16</v>
      </c>
      <c r="K596" s="99" t="inlineStr">
        <is>
          <t xml:space="preserve">2164 | Bochkadan kelebdi ekan yaqn qob telefoon qladi | 40000000 | 2825529.4 | sms yozvordim uziga</t>
        </is>
      </c>
    </row>
    <row r="597">
      <c r="A597" s="99" t="inlineStr">
        <is>
          <t xml:space="preserve">ТОШКЕНТ ШАХРИ</t>
        </is>
      </c>
      <c r="B597" s="99" t="inlineStr">
        <is>
          <t xml:space="preserve">SUPER BRANCH</t>
        </is>
      </c>
      <c r="C597" s="99" t="inlineStr">
        <is>
          <t xml:space="preserve">Обещали</t>
        </is>
      </c>
      <c r="D597" s="99" t="inlineStr">
        <is>
          <t xml:space="preserve">Кр-99003301-9</t>
        </is>
      </c>
      <c r="E597" s="99" t="inlineStr">
        <is>
          <t xml:space="preserve">MIRZAYEV MUXAMMADJON IKROMOVICH</t>
        </is>
      </c>
      <c r="F597" s="99" t="inlineStr">
        <is>
          <t xml:space="preserve">998903183433 SMS OZI, 998946067872 SMS AYOLI, 93-510-18-90 SMS UKASI (бегона тел клинмасин), 90-187-51-72  SMS OTASI, 77-079-04-93 20 million  tolovchisi  798-MFL SHUNI TOLOVCHISI,</t>
        </is>
      </c>
      <c r="G597" s="99" t="inlineStr">
        <is>
          <t xml:space="preserve">TOSHKENT VILOYATI ZANGI-OTA TUMANI XONOBOD QFY SOXIBKOR 6 14</t>
        </is>
      </c>
      <c r="H597" s="100">
        <v>3.0</v>
      </c>
      <c r="I597" s="100">
        <v>4366858.78</v>
      </c>
    </row>
    <row r="598">
      <c r="A598" s="99" t="inlineStr">
        <is>
          <t xml:space="preserve">ТОШКЕНТ ШАХРИ</t>
        </is>
      </c>
      <c r="B598" s="99" t="inlineStr">
        <is>
          <t xml:space="preserve">SUPER BRANCH</t>
        </is>
      </c>
      <c r="C598" s="99" t="inlineStr">
        <is>
          <t xml:space="preserve">Ko'tardi</t>
        </is>
      </c>
      <c r="D598" s="99" t="inlineStr">
        <is>
          <t xml:space="preserve">Кр-99031317-2</t>
        </is>
      </c>
      <c r="E598" s="99" t="inlineStr">
        <is>
          <t xml:space="preserve">ABDURAXMANOV USMAN USMANOVICH</t>
        </is>
      </c>
      <c r="F598" s="99" t="inlineStr">
        <is>
          <t xml:space="preserve">998999448997 SMS O'ZI, 998937598994 SMS AYOLI, 94-600-33-34  SMS DO’STI FAZLIDDIN,</t>
        </is>
      </c>
      <c r="G598" s="99" t="inlineStr">
        <is>
          <t xml:space="preserve">TOSHKENT SHAHRI YUNUSOBOD TUMANI AHILOBOD MFY 13 MAVZE 49-UY 20-XONADON</t>
        </is>
      </c>
      <c r="H598" s="100">
        <v>3.0</v>
      </c>
      <c r="I598" s="100">
        <v>4206363.72</v>
      </c>
      <c r="K598" s="99" t="inlineStr">
        <is>
          <t xml:space="preserve">begana</t>
        </is>
      </c>
    </row>
    <row r="599">
      <c r="A599" s="99" t="inlineStr">
        <is>
          <t xml:space="preserve">ТОШКЕНТ ШАХРИ</t>
        </is>
      </c>
      <c r="B599" s="99" t="inlineStr">
        <is>
          <t xml:space="preserve">SUPER BRANCH</t>
        </is>
      </c>
      <c r="C599" s="99" t="inlineStr">
        <is>
          <t xml:space="preserve">Обещали</t>
        </is>
      </c>
      <c r="D599" s="99" t="inlineStr">
        <is>
          <t xml:space="preserve">Кр-99059771-1</t>
        </is>
      </c>
      <c r="E599" s="99" t="inlineStr">
        <is>
          <t xml:space="preserve">TOHIROV MUHAMMAD ZAYD SHOKIR O’G’LI</t>
        </is>
      </c>
      <c r="F599" s="99" t="inlineStr">
        <is>
          <t xml:space="preserve">998903452720 SMS OZI, 998946300602 SMS AKASI, 998949180912 SMS AKASI 2,</t>
        </is>
      </c>
      <c r="G599" s="99" t="inlineStr">
        <is>
          <t xml:space="preserve">SAMARBONU KO’CHASI 51-UY</t>
        </is>
      </c>
      <c r="H599" s="100">
        <v>3.0</v>
      </c>
      <c r="I599" s="100">
        <v>3988140.78</v>
      </c>
      <c r="K599" s="99" t="inlineStr">
        <is>
          <t xml:space="preserve">1699 | Bugun 8 9 | 65000000 | 2124591.16 | 7 LARDA TO'LOV QILADI</t>
        </is>
      </c>
    </row>
    <row r="600">
      <c r="A600" s="99" t="inlineStr">
        <is>
          <t xml:space="preserve">ТОШКЕНТ ШАХРИ</t>
        </is>
      </c>
      <c r="B600" s="99" t="inlineStr">
        <is>
          <t xml:space="preserve">SUPER BRANCH</t>
        </is>
      </c>
      <c r="C600" s="99" t="inlineStr">
        <is>
          <t xml:space="preserve">Оплатил дозвон</t>
        </is>
      </c>
      <c r="D600" s="99" t="inlineStr">
        <is>
          <t xml:space="preserve">Кр-99031826-3</t>
        </is>
      </c>
      <c r="E600" s="99" t="inlineStr">
        <is>
          <t xml:space="preserve">SHAMSIYEVA ZAXRO FAXRIDDINOVNA</t>
        </is>
      </c>
      <c r="F600" s="99" t="inlineStr">
        <is>
          <t xml:space="preserve">998999365383 SMS O’ZI, 998974705383 SMS ERI, 998977305383 SMS O’G’LI, 998999375383 SMS QIZI, +998999365383 Primary phone from road24,</t>
        </is>
      </c>
      <c r="G600" s="99" t="inlineStr">
        <is>
          <t xml:space="preserve">ЮҚОРИ СЕБЗОР МФЙ, СЕБЗОР Ц17/18 ДАХАСИ,  uy:44 xonadon:69</t>
        </is>
      </c>
      <c r="H600" s="100">
        <v>3.0</v>
      </c>
      <c r="I600" s="100">
        <v>3853949.52</v>
      </c>
      <c r="J600" s="100">
        <v>3853949.52</v>
      </c>
      <c r="K600" s="99" t="inlineStr">
        <is>
          <t xml:space="preserve">qisman qolgani ertaga</t>
        </is>
      </c>
    </row>
    <row r="601">
      <c r="A601" s="99" t="inlineStr">
        <is>
          <t xml:space="preserve">ТОШКЕНТ ШАХРИ</t>
        </is>
      </c>
      <c r="B601" s="99" t="inlineStr">
        <is>
          <t xml:space="preserve">SUPER BRANCH</t>
        </is>
      </c>
      <c r="C601" s="99" t="inlineStr">
        <is>
          <t xml:space="preserve">Обещали</t>
        </is>
      </c>
      <c r="D601" s="99" t="inlineStr">
        <is>
          <t xml:space="preserve">Кр-99021371-2</t>
        </is>
      </c>
      <c r="E601" s="99" t="inlineStr">
        <is>
          <t xml:space="preserve">XAMIDXODJAYEV ZUXRUTDIN IKRAMOVICH</t>
        </is>
      </c>
      <c r="F601" s="99" t="inlineStr">
        <is>
          <t xml:space="preserve">90-031-15-65 SMS OZI, 97-131-63-60 SMS ONASI, 90-823-66-00 SMS AKASI, 91-774-01-68 SMS O’G’LI,</t>
        </is>
      </c>
      <c r="G601" s="99" t="inlineStr">
        <is>
          <t xml:space="preserve">TOSHKENT SHAHAHR OLMAZOR TUMANI QIZIL QO’SHIN 95-XONADON</t>
        </is>
      </c>
      <c r="H601" s="100">
        <v>3.0</v>
      </c>
      <c r="I601" s="100">
        <v>3557327.65</v>
      </c>
    </row>
    <row r="602">
      <c r="A602" s="99" t="inlineStr">
        <is>
          <t xml:space="preserve">ТОШКЕНТ ШАХРИ</t>
        </is>
      </c>
      <c r="B602" s="99" t="inlineStr">
        <is>
          <t xml:space="preserve">SUPER BRANCH</t>
        </is>
      </c>
      <c r="C602" s="99" t="inlineStr">
        <is>
          <t xml:space="preserve">Обещали</t>
        </is>
      </c>
      <c r="D602" s="99" t="inlineStr">
        <is>
          <t xml:space="preserve">Кр-99035003-2</t>
        </is>
      </c>
      <c r="E602" s="99" t="inlineStr">
        <is>
          <t xml:space="preserve">ABDULAZIZOV AKBARJON ABDUSALOM O‘G‘LI</t>
        </is>
      </c>
      <c r="F602" s="99" t="inlineStr">
        <is>
          <t xml:space="preserve">998998865038 SMS O’ZI, 998811103432 SMS O’ZI 2, 998994092541 SMS DO’STI, 998998865038 SMS O’ZI 3, +998998865038 Primary phone from road24,</t>
        </is>
      </c>
      <c r="G602" s="99" t="inlineStr">
        <is>
          <t xml:space="preserve">УСТА ШИРИН МФЙ, КЎРГАЗМА КЎЧАСИ,  uy:57</t>
        </is>
      </c>
      <c r="H602" s="100">
        <v>3.0</v>
      </c>
      <c r="I602" s="100">
        <v>3378694.02</v>
      </c>
      <c r="K602" s="99" t="inlineStr">
        <is>
          <t xml:space="preserve">15 kunga</t>
        </is>
      </c>
    </row>
    <row r="603">
      <c r="A603" s="99" t="inlineStr">
        <is>
          <t xml:space="preserve">ТОШКЕНТ ШАХРИ</t>
        </is>
      </c>
      <c r="B603" s="99" t="inlineStr">
        <is>
          <t xml:space="preserve">SUPER BRANCH</t>
        </is>
      </c>
      <c r="C603" s="99" t="inlineStr">
        <is>
          <t xml:space="preserve">Обещали</t>
        </is>
      </c>
      <c r="D603" s="99" t="inlineStr">
        <is>
          <t xml:space="preserve">Кр-99039331-1</t>
        </is>
      </c>
      <c r="E603" s="99" t="inlineStr">
        <is>
          <t xml:space="preserve">BABAYEV MAXAMADJON MUXAMEDOVICH</t>
        </is>
      </c>
      <c r="F603" s="99" t="inlineStr">
        <is>
          <t xml:space="preserve">+998939833002 SMS O’ZI, 998339805349 SMS OPASI, 998935290300 SMS JIYANI, 998977085669 SMS OZI  begona qilinmasin !!!,</t>
        </is>
      </c>
      <c r="G603" s="99" t="inlineStr">
        <is>
          <t xml:space="preserve">TOSHKENT SHAHRI YASHNOBOD TUMANI XILOL MFY YANGI XAYOT 2 TOR KO'CHASI 14-UY</t>
        </is>
      </c>
      <c r="H603" s="100">
        <v>2.0</v>
      </c>
      <c r="I603" s="100">
        <v>3299647.83</v>
      </c>
      <c r="K603" s="99" t="inlineStr">
        <is>
          <t xml:space="preserve">terpila tolash niyati yoq | ertaga to'lov qilamn dedi</t>
        </is>
      </c>
    </row>
    <row r="604">
      <c r="A604" s="99" t="inlineStr">
        <is>
          <t xml:space="preserve">ТОШКЕНТ ШАХРИ</t>
        </is>
      </c>
      <c r="B604" s="99" t="inlineStr">
        <is>
          <t xml:space="preserve">SUPER BRANCH</t>
        </is>
      </c>
      <c r="C604" s="99" t="inlineStr">
        <is>
          <t xml:space="preserve">Обещали</t>
        </is>
      </c>
      <c r="D604" s="99" t="inlineStr">
        <is>
          <t xml:space="preserve">Кр-99052930-1</t>
        </is>
      </c>
      <c r="E604" s="99" t="inlineStr">
        <is>
          <t xml:space="preserve">BOYMIRZAYEV SHAXZOD XOLMIRZA O’G’LI</t>
        </is>
      </c>
      <c r="F604" s="99" t="inlineStr">
        <is>
          <t xml:space="preserve">998998610910 SMS OZI, 998988086680 SMS AKASI, 998770881600 SMS ONASI, 998998839906 SMS OPASI,</t>
        </is>
      </c>
      <c r="G604" s="99" t="inlineStr">
        <is>
          <t xml:space="preserve">TOSHKEN SHAXAR UCHTEPA TUMANI YANGIYO’L MFY QURULISH KO’CHASI 43-UY 171-KVARTIRA</t>
        </is>
      </c>
      <c r="H604" s="100">
        <v>3.0</v>
      </c>
      <c r="I604" s="100">
        <v>3152911.97</v>
      </c>
      <c r="K604" s="99" t="inlineStr">
        <is>
          <t xml:space="preserve">1479 | 10- gacha oylikdan dedi | 24800000 | 2090890.4 | ertaga kechga to'lov qiladi</t>
        </is>
      </c>
    </row>
    <row r="605">
      <c r="A605" s="99" t="inlineStr">
        <is>
          <t xml:space="preserve">ТОШКЕНТ ШАХРИ</t>
        </is>
      </c>
      <c r="B605" s="99" t="inlineStr">
        <is>
          <t xml:space="preserve">SUPER BRANCH</t>
        </is>
      </c>
      <c r="C605" s="99" t="inlineStr">
        <is>
          <t xml:space="preserve">Обещали</t>
        </is>
      </c>
      <c r="D605" s="99" t="inlineStr">
        <is>
          <t xml:space="preserve">Кр-99032062-2</t>
        </is>
      </c>
      <c r="E605" s="99" t="inlineStr">
        <is>
          <t xml:space="preserve">NABIRAXODJAYEVA MUXARRAM DJALALOVNA</t>
        </is>
      </c>
      <c r="F605" s="99" t="inlineStr">
        <is>
          <t xml:space="preserve">998770038119 SMS KELINI, 998903571006 SMS UZI, 998903583237 SMS UGLI,</t>
        </is>
      </c>
      <c r="G605" s="99" t="inlineStr">
        <is>
          <t xml:space="preserve">CHILONZOR TUMANI 20-A.8-UY.37-XONADON</t>
        </is>
      </c>
      <c r="H605" s="100">
        <v>3.0</v>
      </c>
      <c r="I605" s="100">
        <v>3079871.69</v>
      </c>
      <c r="K605" s="99" t="inlineStr">
        <is>
          <t xml:space="preserve">399 | Kechga xarakat qladi | 50000000 | 1049875.96 | xoz to'lov qiladi</t>
        </is>
      </c>
    </row>
    <row r="606">
      <c r="A606" s="99" t="inlineStr">
        <is>
          <t xml:space="preserve">ТОШКЕНТ ШАХРИ</t>
        </is>
      </c>
      <c r="B606" s="99" t="inlineStr">
        <is>
          <t xml:space="preserve">SUPER BRANCH</t>
        </is>
      </c>
      <c r="C606" s="99" t="inlineStr">
        <is>
          <t xml:space="preserve">Обещали</t>
        </is>
      </c>
      <c r="D606" s="99" t="inlineStr">
        <is>
          <t xml:space="preserve">Кр-99027054-3</t>
        </is>
      </c>
      <c r="E606" s="99" t="inlineStr">
        <is>
          <t xml:space="preserve">KASIMOV IBROXIM VAXIDOVICH</t>
        </is>
      </c>
      <c r="F606" s="99" t="inlineStr">
        <is>
          <t xml:space="preserve">998933897299 SMS O’ZI PAXTA SEXDA ISHLIDI , 998935371018 SMS AYOLI, 998953731018 SMS OTASI, 998935341018 SMS O’G’LI,</t>
        </is>
      </c>
      <c r="G606" s="99" t="inlineStr">
        <is>
          <t xml:space="preserve">TOSHKENT SHAHAR OLMAZOR TUMANI SAG’BON MAVZESI OLCHA TOR KO’CAHSI 1-UY 11-XONADON</t>
        </is>
      </c>
      <c r="H606" s="100">
        <v>3.0</v>
      </c>
      <c r="I606" s="100">
        <v>3019732.0</v>
      </c>
      <c r="K606" s="99" t="inlineStr">
        <is>
          <t xml:space="preserve">10 kun tolab beradi</t>
        </is>
      </c>
    </row>
    <row r="607">
      <c r="A607" s="99" t="inlineStr">
        <is>
          <t xml:space="preserve">ТОШКЕНТ ШАХРИ</t>
        </is>
      </c>
      <c r="B607" s="99" t="inlineStr">
        <is>
          <t xml:space="preserve">SUPER BRANCH</t>
        </is>
      </c>
      <c r="C607" s="99" t="inlineStr">
        <is>
          <t xml:space="preserve">Обещали</t>
        </is>
      </c>
      <c r="D607" s="99" t="inlineStr">
        <is>
          <t xml:space="preserve">Кр-99027829-3</t>
        </is>
      </c>
      <c r="E607" s="99" t="inlineStr">
        <is>
          <t xml:space="preserve">MUXAMADJANOVA MUXABBAT FARUXOVNA</t>
        </is>
      </c>
      <c r="F607" s="99" t="inlineStr">
        <is>
          <t xml:space="preserve">+998998550503 SMS OZI, 998998251505 SMS ONASI,</t>
        </is>
      </c>
      <c r="G607" s="99" t="inlineStr">
        <is>
          <t xml:space="preserve">ХОНЧОРБОГ МФЙ, ШИМОЛИЙ ОЛМАЗОР ДАХАСИ,  uy:1 xonadon:12</t>
        </is>
      </c>
      <c r="I607" s="100">
        <v>2999911.63</v>
      </c>
      <c r="K607" s="99" t="inlineStr">
        <is>
          <t xml:space="preserve">15 kun tolov qib ketad</t>
        </is>
      </c>
    </row>
    <row r="608">
      <c r="A608" s="99" t="inlineStr">
        <is>
          <t xml:space="preserve">ТОШКЕНТ ШАХРИ</t>
        </is>
      </c>
      <c r="B608" s="99" t="inlineStr">
        <is>
          <t xml:space="preserve">SUPER BRANCH</t>
        </is>
      </c>
      <c r="C608" s="99" t="inlineStr">
        <is>
          <t xml:space="preserve">Обещали</t>
        </is>
      </c>
      <c r="D608" s="99" t="inlineStr">
        <is>
          <t xml:space="preserve">Кр-99064354-2</t>
        </is>
      </c>
      <c r="E608" s="99" t="inlineStr">
        <is>
          <t xml:space="preserve">RAXIMOVA BARNO RUSTAMOVNA</t>
        </is>
      </c>
      <c r="F608" s="99" t="inlineStr">
        <is>
          <t xml:space="preserve">998778281288 SMS UZI, 998974106636 SMS DOSTI, 998998030916 SMS UZI,</t>
        </is>
      </c>
      <c r="G608" s="99" t="inlineStr">
        <is>
          <t xml:space="preserve">КУШТУТ МФЙ, ФАРОБИЙ, 2 БЕРК КЎЧАСИ,  uy:35</t>
        </is>
      </c>
      <c r="H608" s="100">
        <v>3.0</v>
      </c>
      <c r="I608" s="100">
        <v>2837046.95</v>
      </c>
      <c r="K608" s="99" t="inlineStr">
        <is>
          <t xml:space="preserve">bugun tolab beradi 6 laga habar olish kere</t>
        </is>
      </c>
    </row>
    <row r="609">
      <c r="A609" s="99" t="inlineStr">
        <is>
          <t xml:space="preserve">ТОШКЕНТ ШАХРИ</t>
        </is>
      </c>
      <c r="B609" s="99" t="inlineStr">
        <is>
          <t xml:space="preserve">SUPER BRANCH</t>
        </is>
      </c>
      <c r="C609" s="99" t="inlineStr">
        <is>
          <t xml:space="preserve">Обещали</t>
        </is>
      </c>
      <c r="D609" s="99" t="inlineStr">
        <is>
          <t xml:space="preserve">Кр-99023341-1</t>
        </is>
      </c>
      <c r="E609" s="99" t="inlineStr">
        <is>
          <t xml:space="preserve">RAIMOV FARXOD MAXMUDJANOVICH</t>
        </is>
      </c>
      <c r="F609" s="99" t="inlineStr">
        <is>
          <t xml:space="preserve">998973728008 sms tolovchi, 998996907535 sms ozi,</t>
        </is>
      </c>
      <c r="G609" s="99" t="inlineStr">
        <is>
          <t xml:space="preserve">TOSHKENT SHAHRI UCHTEPA TUMANI IBRAT KO’CHASI 87-UY</t>
        </is>
      </c>
      <c r="H609" s="100">
        <v>5.0</v>
      </c>
      <c r="I609" s="100">
        <v>2801208.69</v>
      </c>
      <c r="K609" s="99" t="inlineStr">
        <is>
          <t xml:space="preserve">158 | Tolovchi ogli ekan 15 sutka krb ketbdi chiqib tolarkan 10 - kuni | 25000000 | 2246671.04 | sms yozvordim</t>
        </is>
      </c>
    </row>
    <row r="610">
      <c r="A610" s="99" t="inlineStr">
        <is>
          <t xml:space="preserve">ТОШКЕНТ ШАХРИ</t>
        </is>
      </c>
      <c r="B610" s="99" t="inlineStr">
        <is>
          <t xml:space="preserve">SUPER BRANCH</t>
        </is>
      </c>
      <c r="C610" s="99" t="inlineStr">
        <is>
          <t xml:space="preserve">Обещали</t>
        </is>
      </c>
      <c r="D610" s="99" t="inlineStr">
        <is>
          <t xml:space="preserve">Кр-99027020-3</t>
        </is>
      </c>
      <c r="E610" s="99" t="inlineStr">
        <is>
          <t xml:space="preserve">NABIYEVA MOHIRA MUHIDDIN QIZI</t>
        </is>
      </c>
      <c r="F610" s="99" t="inlineStr">
        <is>
          <t xml:space="preserve">97-462-40-42  SMS ERI CHASNI FIRMADA TV DA ISHLIDI , 98-880-40-42  SMS UY, 90-900-05-09  SMS AKASI , 97-729-52-54  SMS DADASI, 909000509 SMS AKASI, 974624042 SMS ERI CHASNI FIRMADA TV DA ISHLIDI, 977295254 SMS DADASI, 988804042 SMS UY,</t>
        </is>
      </c>
      <c r="G610" s="99" t="inlineStr">
        <is>
          <t xml:space="preserve">TOSHKENT SHAHAR SERGELI TUMANI QUYI TOLARIQ KO’CHASI QUSH QO’RG’ON MFY 36-UY</t>
        </is>
      </c>
      <c r="H610" s="100">
        <v>3.0</v>
      </c>
      <c r="I610" s="100">
        <v>2800238.0</v>
      </c>
      <c r="K610" s="99" t="inlineStr">
        <is>
          <t xml:space="preserve">10 lada tolov</t>
        </is>
      </c>
    </row>
    <row r="611">
      <c r="A611" s="99" t="inlineStr">
        <is>
          <t xml:space="preserve">ТОШКЕНТ ШАХРИ</t>
        </is>
      </c>
      <c r="B611" s="99" t="inlineStr">
        <is>
          <t xml:space="preserve">SUPER BRANCH</t>
        </is>
      </c>
      <c r="C611" s="99" t="inlineStr">
        <is>
          <t xml:space="preserve">Обещали</t>
        </is>
      </c>
      <c r="D611" s="99" t="inlineStr">
        <is>
          <t xml:space="preserve">Кр-99028987-5</t>
        </is>
      </c>
      <c r="E611" s="99" t="inlineStr">
        <is>
          <t xml:space="preserve">MIRZAYEV BEHRUZ ALISHER O’G’LI</t>
        </is>
      </c>
      <c r="F611" s="99" t="inlineStr">
        <is>
          <t xml:space="preserve">99-890-69-79 SMS, 91-787-70-01 SMS Ozi 2, 71-242-26-28 SMS,</t>
        </is>
      </c>
      <c r="G611" s="99" t="inlineStr">
        <is>
          <t xml:space="preserve">TOSHKENT SHAHAR YANGIHAYOT TUMANI IBRAT 2 TOR KOCHASI 16-UY</t>
        </is>
      </c>
      <c r="H611" s="100">
        <v>6.0</v>
      </c>
      <c r="I611" s="100">
        <v>2792325.83</v>
      </c>
      <c r="K611" s="99" t="inlineStr">
        <is>
          <t xml:space="preserve">bugunga kecha vada bergan</t>
        </is>
      </c>
    </row>
    <row r="612">
      <c r="A612" s="99" t="inlineStr">
        <is>
          <t xml:space="preserve">ТОШКЕНТ ШАХРИ</t>
        </is>
      </c>
      <c r="B612" s="99" t="inlineStr">
        <is>
          <t xml:space="preserve">SUPER BRANCH</t>
        </is>
      </c>
      <c r="C612" s="99" t="inlineStr">
        <is>
          <t xml:space="preserve">Обещали</t>
        </is>
      </c>
      <c r="D612" s="99" t="inlineStr">
        <is>
          <t xml:space="preserve">Кр-99002442-11</t>
        </is>
      </c>
      <c r="E612" s="99" t="inlineStr">
        <is>
          <t xml:space="preserve">FAYZILLAYEV LUTFILLA NARZILLA O’G’LI</t>
        </is>
      </c>
      <c r="F612" s="99" t="inlineStr">
        <is>
          <t xml:space="preserve">93-813-36-36 SMS, 93-813-62-68 SMS XOTINI, 71-220-62-06 sms UY NOMER, 90-126-23-45 SMS SHOHRUX AKA ,</t>
        </is>
      </c>
      <c r="G612" s="99" t="inlineStr">
        <is>
          <t xml:space="preserve">TOSHKENT SHAHAR YUNUSOBOD TUMANI YOSHLIK KUCHASI 26 UY</t>
        </is>
      </c>
      <c r="H612" s="100">
        <v>3.0</v>
      </c>
      <c r="I612" s="100">
        <v>2747633.2</v>
      </c>
      <c r="K612" s="99" t="inlineStr">
        <is>
          <t xml:space="preserve">bugunga kecha vada bergan</t>
        </is>
      </c>
    </row>
    <row r="613">
      <c r="A613" s="99" t="inlineStr">
        <is>
          <t xml:space="preserve">ТОШКЕНТ ШАХРИ</t>
        </is>
      </c>
      <c r="B613" s="99" t="inlineStr">
        <is>
          <t xml:space="preserve">SUPER BRANCH</t>
        </is>
      </c>
      <c r="C613" s="99" t="inlineStr">
        <is>
          <t xml:space="preserve">Обещали</t>
        </is>
      </c>
      <c r="D613" s="99" t="inlineStr">
        <is>
          <t xml:space="preserve">Кр-99035088-4</t>
        </is>
      </c>
      <c r="E613" s="99" t="inlineStr">
        <is>
          <t xml:space="preserve">MAMADALIYEV BAXADIR SATVOLDIYEVICH</t>
        </is>
      </c>
      <c r="F613" s="99" t="inlineStr">
        <is>
          <t xml:space="preserve">998935116436 SMS O’ZI, 998935226436 SMS AYOLI, 998946312014 SMS O’G’LI, 998935126436 SMS NEVARASI,</t>
        </is>
      </c>
      <c r="G613" s="99" t="inlineStr">
        <is>
          <t xml:space="preserve">IIV60003</t>
        </is>
      </c>
      <c r="H613" s="100">
        <v>3.0</v>
      </c>
      <c r="I613" s="100">
        <v>2727395.94</v>
      </c>
      <c r="K613" s="99" t="inlineStr">
        <is>
          <t xml:space="preserve">dushanba oyligi tushadi  tolab beradi</t>
        </is>
      </c>
    </row>
    <row r="614">
      <c r="A614" s="99" t="inlineStr">
        <is>
          <t xml:space="preserve">ТОШКЕНТ ШАХРИ</t>
        </is>
      </c>
      <c r="B614" s="99" t="inlineStr">
        <is>
          <t xml:space="preserve">SUPER BRANCH</t>
        </is>
      </c>
      <c r="C614" s="99" t="inlineStr">
        <is>
          <t xml:space="preserve">Обещали</t>
        </is>
      </c>
      <c r="D614" s="99" t="inlineStr">
        <is>
          <t xml:space="preserve">Кр-99064552-1</t>
        </is>
      </c>
      <c r="E614" s="99" t="inlineStr">
        <is>
          <t xml:space="preserve">KAMILDJANOV OLIMDJON ABIDOVICH</t>
        </is>
      </c>
      <c r="F614" s="99" t="inlineStr">
        <is>
          <t xml:space="preserve">998946501299 SMS DOSTI, 998971878898 SMS AYOLI, 998998431985 SMS UZI,</t>
        </is>
      </c>
      <c r="G614" s="99" t="inlineStr">
        <is>
          <t xml:space="preserve">Янги Белтепа МФЙ, Белтепа мавзеси, 33-уй, 62-хонадон</t>
        </is>
      </c>
      <c r="H614" s="100">
        <v>3.0</v>
      </c>
      <c r="I614" s="100">
        <v>2643543.8</v>
      </c>
      <c r="K614" s="99" t="inlineStr">
        <is>
          <t xml:space="preserve">bugun</t>
        </is>
      </c>
    </row>
    <row r="615">
      <c r="A615" s="99" t="inlineStr">
        <is>
          <t xml:space="preserve">ТОШКЕНТ ШАХРИ</t>
        </is>
      </c>
      <c r="B615" s="99" t="inlineStr">
        <is>
          <t xml:space="preserve">SUPER BRANCH</t>
        </is>
      </c>
      <c r="C615" s="99" t="inlineStr">
        <is>
          <t xml:space="preserve">Обещали</t>
        </is>
      </c>
      <c r="D615" s="99" t="inlineStr">
        <is>
          <t xml:space="preserve">Кр-99063537-3</t>
        </is>
      </c>
      <c r="E615" s="99" t="inlineStr">
        <is>
          <t xml:space="preserve">RUSTAMOV ABDULLOH SHOXAKIM O’G’LI</t>
        </is>
      </c>
      <c r="F615" s="99" t="inlineStr">
        <is>
          <t xml:space="preserve">998200071717 SMS ORTOGI, 998982001212 SMS UKALAARI, 998996069036 SMS OZI, 998998889878 SMS AKASI,</t>
        </is>
      </c>
      <c r="G615" s="99" t="inlineStr">
        <is>
          <t xml:space="preserve">TOSHKENT SHAHAR CHILONZOR TUMANI 1-QATORTOL MFY KATOROL 1 TOR  KOCHASI 47-UY</t>
        </is>
      </c>
      <c r="H615" s="100">
        <v>3.0</v>
      </c>
      <c r="I615" s="100">
        <v>2562621.0</v>
      </c>
      <c r="K615" s="99" t="inlineStr">
        <is>
          <t xml:space="preserve">2078 | 4 5 gacham qberarkan | 65000000 | 1583168.9 | kechga to'lov qiladi shuxrat aka bn gaplashgan</t>
        </is>
      </c>
    </row>
    <row r="616">
      <c r="A616" s="99" t="inlineStr">
        <is>
          <t xml:space="preserve">ТОШКЕНТ ШАХРИ</t>
        </is>
      </c>
      <c r="B616" s="99" t="inlineStr">
        <is>
          <t xml:space="preserve">SUPER BRANCH</t>
        </is>
      </c>
      <c r="C616" s="99" t="inlineStr">
        <is>
          <t xml:space="preserve">Обещали</t>
        </is>
      </c>
      <c r="D616" s="99" t="inlineStr">
        <is>
          <t xml:space="preserve">Кр-99063615-1</t>
        </is>
      </c>
      <c r="E616" s="99" t="inlineStr">
        <is>
          <t xml:space="preserve">MULLADJANOV ZIYODJON MURATOVICH</t>
        </is>
      </c>
      <c r="F616" s="99" t="inlineStr">
        <is>
          <t xml:space="preserve">998917957878 SMS JIYANI, 998956592777 SMS AYOLI, 998956594777 SMS OZI,</t>
        </is>
      </c>
      <c r="G616" s="99" t="inlineStr">
        <is>
          <t xml:space="preserve">11-мавзе 12-уй 33-хонадон</t>
        </is>
      </c>
      <c r="H616" s="100">
        <v>3.0</v>
      </c>
      <c r="I616" s="100">
        <v>2516867.35</v>
      </c>
      <c r="K616" s="99" t="inlineStr">
        <is>
          <t xml:space="preserve">2104 | Uzogi oddixgacha qisman qisman yopadi | 42000000 | 854396.36 | ertalaga pulim boladi to'lavoramn dedi</t>
        </is>
      </c>
    </row>
    <row r="617">
      <c r="A617" s="99" t="inlineStr">
        <is>
          <t xml:space="preserve">ТОШКЕНТ ШАХРИ</t>
        </is>
      </c>
      <c r="B617" s="99" t="inlineStr">
        <is>
          <t xml:space="preserve">SUPER BRANCH</t>
        </is>
      </c>
      <c r="C617" s="99" t="inlineStr">
        <is>
          <t xml:space="preserve">Оплатил дозвон</t>
        </is>
      </c>
      <c r="D617" s="99" t="inlineStr">
        <is>
          <t xml:space="preserve">Кр-99062722-1</t>
        </is>
      </c>
      <c r="E617" s="99" t="inlineStr">
        <is>
          <t xml:space="preserve">MAXKAMOVA MASTURA NURMAMATOVNA</t>
        </is>
      </c>
      <c r="F617" s="99" t="inlineStr">
        <is>
          <t xml:space="preserve">+998971595899 SMS OZI, 998933585899 SMS OZI 2, 998940121675 SMS UKASI, 998946828216 SMS OGLI,</t>
        </is>
      </c>
      <c r="G617" s="99" t="inlineStr">
        <is>
          <t xml:space="preserve">TOSHKENT SHAHAR BEKTEMIR TUMANI USTOZLAR MFY  NULI PR 2-KUCHASI 83-UY</t>
        </is>
      </c>
      <c r="H617" s="100">
        <v>6.0</v>
      </c>
      <c r="I617" s="100">
        <v>2497879.88</v>
      </c>
      <c r="J617" s="100">
        <v>2497879.88</v>
      </c>
      <c r="K617" s="99" t="inlineStr">
        <is>
          <t xml:space="preserve">qisman</t>
        </is>
      </c>
    </row>
    <row r="618">
      <c r="A618" s="99" t="inlineStr">
        <is>
          <t xml:space="preserve">ТОШКЕНТ ШАХРИ</t>
        </is>
      </c>
      <c r="B618" s="99" t="inlineStr">
        <is>
          <t xml:space="preserve">SUPER BRANCH</t>
        </is>
      </c>
      <c r="C618" s="99" t="inlineStr">
        <is>
          <t xml:space="preserve">Обещали</t>
        </is>
      </c>
      <c r="D618" s="99" t="inlineStr">
        <is>
          <t xml:space="preserve">Кр-99027055-5</t>
        </is>
      </c>
      <c r="E618" s="99" t="inlineStr">
        <is>
          <t xml:space="preserve">KASIMOVA DILORAM ISMAILOVNA</t>
        </is>
      </c>
      <c r="F618" s="99" t="inlineStr">
        <is>
          <t xml:space="preserve">93-389-72-99  SMS O’GLI, 93-537-10-18  SMS KELINI, 95-373-10-18 SMS ERI, 95-837-10-18 SMS O’GLI,</t>
        </is>
      </c>
      <c r="G618" s="99" t="inlineStr">
        <is>
          <t xml:space="preserve">TOSHKENT SHAHAR OLMAZOR TUMANI SAGBON OLCHA TOR 1-BERK 11-XONADON</t>
        </is>
      </c>
      <c r="H618" s="100">
        <v>3.0</v>
      </c>
      <c r="I618" s="100">
        <v>2311703.27</v>
      </c>
      <c r="K618" s="99" t="inlineStr">
        <is>
          <t xml:space="preserve">10 kujnga tolid</t>
        </is>
      </c>
    </row>
    <row r="619">
      <c r="A619" s="99" t="inlineStr">
        <is>
          <t xml:space="preserve">ТОШКЕНТ ШАХРИ</t>
        </is>
      </c>
      <c r="B619" s="99" t="inlineStr">
        <is>
          <t xml:space="preserve">SUPER BRANCH</t>
        </is>
      </c>
      <c r="C619" s="99" t="inlineStr">
        <is>
          <t xml:space="preserve">Оплатил дозвон</t>
        </is>
      </c>
      <c r="D619" s="99" t="inlineStr">
        <is>
          <t xml:space="preserve">Кр-99002959-8</t>
        </is>
      </c>
      <c r="E619" s="99" t="inlineStr">
        <is>
          <t xml:space="preserve">YULDASHEVA NARGIZA TULKUNOVNA</t>
        </is>
      </c>
      <c r="F619" s="99" t="inlineStr">
        <is>
          <t xml:space="preserve">998993955070 SMS ozi, 91-190-50-70 ozi , 99-395-50-70 ozi , 90-160-57-69 SMS QIZLARI BIBSORA   бегона,</t>
        </is>
      </c>
      <c r="G619" s="99" t="inlineStr">
        <is>
          <t xml:space="preserve">TOSHKENT SHAHAR OLMAZOR TUMANI QORA QAMISH 2/1 38 UY 70 XONADON</t>
        </is>
      </c>
      <c r="H619" s="100">
        <v>3.0</v>
      </c>
      <c r="I619" s="100">
        <v>2287591.5</v>
      </c>
      <c r="J619" s="100">
        <v>2287591.5</v>
      </c>
      <c r="K619" s="99" t="inlineStr">
        <is>
          <t xml:space="preserve">yopildi</t>
        </is>
      </c>
    </row>
    <row r="620">
      <c r="A620" s="99" t="inlineStr">
        <is>
          <t xml:space="preserve">ТОШКЕНТ ШАХРИ</t>
        </is>
      </c>
      <c r="B620" s="99" t="inlineStr">
        <is>
          <t xml:space="preserve">SUPER BRANCH</t>
        </is>
      </c>
      <c r="C620" s="99" t="inlineStr">
        <is>
          <t xml:space="preserve">Обещали</t>
        </is>
      </c>
      <c r="D620" s="99" t="inlineStr">
        <is>
          <t xml:space="preserve">Кр-99036264-2</t>
        </is>
      </c>
      <c r="E620" s="99" t="inlineStr">
        <is>
          <t xml:space="preserve">XOLDOROV BAXROMJON ABDUXAKIMOVICH</t>
        </is>
      </c>
      <c r="F620" s="99" t="inlineStr">
        <is>
          <t xml:space="preserve">998909631886 SMS OZI, 998909631886 SMS AYOLI, 998958434020 SMS UY,</t>
        </is>
      </c>
      <c r="G620" s="99" t="inlineStr">
        <is>
          <t xml:space="preserve">Маърифат МФЙ, Ахсикат кучаси, 50-уй</t>
        </is>
      </c>
      <c r="H620" s="100">
        <v>3.0</v>
      </c>
      <c r="I620" s="100">
        <v>2264725.69</v>
      </c>
    </row>
    <row r="621">
      <c r="A621" s="99" t="inlineStr">
        <is>
          <t xml:space="preserve">ТОШКЕНТ ШАХРИ</t>
        </is>
      </c>
      <c r="B621" s="99" t="inlineStr">
        <is>
          <t xml:space="preserve">SUPER BRANCH</t>
        </is>
      </c>
      <c r="C621" s="99" t="inlineStr">
        <is>
          <t xml:space="preserve">Обещали</t>
        </is>
      </c>
      <c r="D621" s="99" t="inlineStr">
        <is>
          <t xml:space="preserve">Кр-99023949-4</t>
        </is>
      </c>
      <c r="E621" s="99" t="inlineStr">
        <is>
          <t xml:space="preserve">XAYRULLAYEV ABDULLO SHUKURULLO O’G’LI</t>
        </is>
      </c>
      <c r="F621" s="99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621" s="99" t="inlineStr">
        <is>
          <t xml:space="preserve">MUNAVVARQORI MFY 2-PILLA KO’CHASI 53-UY</t>
        </is>
      </c>
      <c r="H621" s="100">
        <v>3.0</v>
      </c>
      <c r="I621" s="100">
        <v>2248988.69</v>
      </c>
      <c r="K621" s="99" t="inlineStr">
        <is>
          <t xml:space="preserve">2 ku8nda tolid</t>
        </is>
      </c>
    </row>
    <row r="622">
      <c r="A622" s="99" t="inlineStr">
        <is>
          <t xml:space="preserve">ТОШКЕНТ ШАХРИ</t>
        </is>
      </c>
      <c r="B622" s="99" t="inlineStr">
        <is>
          <t xml:space="preserve">SUPER BRANCH</t>
        </is>
      </c>
      <c r="C622" s="99" t="inlineStr">
        <is>
          <t xml:space="preserve">Обещали</t>
        </is>
      </c>
      <c r="D622" s="99" t="inlineStr">
        <is>
          <t xml:space="preserve">Кр-99020581-6</t>
        </is>
      </c>
      <c r="E622" s="99" t="inlineStr">
        <is>
          <t xml:space="preserve">ASKAROV SHOAKBAR SHOADILOVICH</t>
        </is>
      </c>
      <c r="F622" s="99" t="inlineStr">
        <is>
          <t xml:space="preserve">99-617-00-59  SMS OZI, 94-696-76-67  SMS AYOLI, 71-298-45-74  SMS UY, 71-248-08-03  SMS UY 2,</t>
        </is>
      </c>
      <c r="G622" s="99" t="inlineStr">
        <is>
          <t xml:space="preserve">TOSHKENT SHAHAR OLMAZOR TUMANI X.RAXMONOV 10-XONADON</t>
        </is>
      </c>
      <c r="H622" s="100">
        <v>3.0</v>
      </c>
      <c r="I622" s="100">
        <v>2243940.59</v>
      </c>
      <c r="K622" s="99" t="inlineStr">
        <is>
          <t xml:space="preserve">15 kun tolab berad</t>
        </is>
      </c>
    </row>
    <row r="623">
      <c r="A623" s="99" t="inlineStr">
        <is>
          <t xml:space="preserve">ТОШКЕНТ ШАХРИ</t>
        </is>
      </c>
      <c r="B623" s="99" t="inlineStr">
        <is>
          <t xml:space="preserve">SUPER BRANCH</t>
        </is>
      </c>
      <c r="C623" s="99" t="inlineStr">
        <is>
          <t xml:space="preserve">Оплатил дозвон</t>
        </is>
      </c>
      <c r="D623" s="99" t="inlineStr">
        <is>
          <t xml:space="preserve">Кр-99032028-3</t>
        </is>
      </c>
      <c r="E623" s="99" t="inlineStr">
        <is>
          <t xml:space="preserve">BERDIKULOV RUSTAM SHAMILEVICH</t>
        </is>
      </c>
      <c r="F623" s="99" t="inlineStr">
        <is>
          <t xml:space="preserve">998884555156 SMS O’ZI, 998711327122 SMS O’ZI 2, 998946403653 SMS DO’STI, 998949314249 SMS onasi shu nomerga qilinsin,</t>
        </is>
      </c>
      <c r="G623" s="99" t="inlineStr">
        <is>
          <t xml:space="preserve">КЎТАРМА МФЙ, 10 МАВЗЕ,  uy:11 xonadon:93</t>
        </is>
      </c>
      <c r="H623" s="100">
        <v>3.0</v>
      </c>
      <c r="I623" s="100">
        <v>2239584.55</v>
      </c>
      <c r="J623" s="100">
        <v>2239584.55</v>
      </c>
      <c r="K623" s="99" t="inlineStr">
        <is>
          <t xml:space="preserve">397 | Bugun kechgi 8 da clickdan | 42000000 | 705151.58</t>
        </is>
      </c>
    </row>
    <row r="624">
      <c r="A624" s="99" t="inlineStr">
        <is>
          <t xml:space="preserve">ТОШКЕНТ ШАХРИ</t>
        </is>
      </c>
      <c r="B624" s="99" t="inlineStr">
        <is>
          <t xml:space="preserve">SUPER BRANCH</t>
        </is>
      </c>
      <c r="C624" s="99" t="inlineStr">
        <is>
          <t xml:space="preserve">Обещали</t>
        </is>
      </c>
      <c r="D624" s="99" t="inlineStr">
        <is>
          <t xml:space="preserve">Кр-99063464-1</t>
        </is>
      </c>
      <c r="E624" s="99" t="inlineStr">
        <is>
          <t xml:space="preserve">AZIMOVA ZEBOXON TOXIROVNA</t>
        </is>
      </c>
      <c r="F624" s="99" t="inlineStr">
        <is>
          <t xml:space="preserve">998998562803 Ozi, 998909774699 Eri, 998935854699 Mul egasi dodasi,</t>
        </is>
      </c>
      <c r="G624" s="99" t="inlineStr">
        <is>
          <t xml:space="preserve">OLMAZOR TUMANI</t>
        </is>
      </c>
      <c r="H624" s="100">
        <v>3.0</v>
      </c>
      <c r="I624" s="100">
        <v>2063829.21</v>
      </c>
      <c r="K624" s="99" t="inlineStr">
        <is>
          <t xml:space="preserve">9 kun tolid</t>
        </is>
      </c>
    </row>
    <row r="625">
      <c r="A625" s="99" t="inlineStr">
        <is>
          <t xml:space="preserve">ТОШКЕНТ ШАХРИ</t>
        </is>
      </c>
      <c r="B625" s="99" t="inlineStr">
        <is>
          <t xml:space="preserve">SUPER BRANCH</t>
        </is>
      </c>
      <c r="C625" s="99" t="inlineStr">
        <is>
          <t xml:space="preserve">Обещали</t>
        </is>
      </c>
      <c r="D625" s="99" t="inlineStr">
        <is>
          <t xml:space="preserve">Кр-99041059-1</t>
        </is>
      </c>
      <c r="E625" s="99" t="inlineStr">
        <is>
          <t xml:space="preserve">ABBOSOV NOZIMJON XOJIAKBAR O’G’LI</t>
        </is>
      </c>
      <c r="F625" s="99" t="inlineStr">
        <is>
          <t xml:space="preserve">+998774889944 SMS O’ZI, 998950227769 SMS ONASI, 998991445334 SMS ADASI, 998977579418 sms ukasi ,</t>
        </is>
      </c>
      <c r="G625" s="99" t="inlineStr">
        <is>
          <t xml:space="preserve">YANGIHAYOT TUMANI YANGI SERGELI 2-UY</t>
        </is>
      </c>
      <c r="H625" s="100">
        <v>3.0</v>
      </c>
      <c r="I625" s="100">
        <v>1984525.14</v>
      </c>
      <c r="K625" s="99" t="inlineStr">
        <is>
          <t xml:space="preserve">qarzi bor kotarmayuapti</t>
        </is>
      </c>
    </row>
    <row r="626">
      <c r="A626" s="99" t="inlineStr">
        <is>
          <t xml:space="preserve">ТОШКЕНТ ШАХРИ</t>
        </is>
      </c>
      <c r="B626" s="99" t="inlineStr">
        <is>
          <t xml:space="preserve">SUPER BRANCH</t>
        </is>
      </c>
      <c r="C626" s="99" t="inlineStr">
        <is>
          <t xml:space="preserve">Обещали</t>
        </is>
      </c>
      <c r="D626" s="99" t="inlineStr">
        <is>
          <t xml:space="preserve">Кр-99036235-2</t>
        </is>
      </c>
      <c r="E626" s="99" t="inlineStr">
        <is>
          <t xml:space="preserve">KIRGIZBAYEV JAMSHID VALIJANOVICH</t>
        </is>
      </c>
      <c r="F626" s="99" t="inlineStr">
        <is>
          <t xml:space="preserve">998988000703 SMS O’ZI, 998998615414 SMS O’ZI 2, 998909005414 SMS AYOLI,</t>
        </is>
      </c>
      <c r="G626" s="99" t="inlineStr">
        <is>
          <t xml:space="preserve">мас. Узгариш, дом 1, кв. 213</t>
        </is>
      </c>
      <c r="H626" s="100">
        <v>3.0</v>
      </c>
      <c r="I626" s="100">
        <v>1897364.32</v>
      </c>
      <c r="K626" s="99" t="inlineStr">
        <is>
          <t xml:space="preserve">25 kuni oyligi tushadi</t>
        </is>
      </c>
    </row>
    <row r="627">
      <c r="A627" s="99" t="inlineStr">
        <is>
          <t xml:space="preserve">ТОШКЕНТ ШАХРИ</t>
        </is>
      </c>
      <c r="B627" s="99" t="inlineStr">
        <is>
          <t xml:space="preserve">SUPER BRANCH</t>
        </is>
      </c>
      <c r="C627" s="99" t="inlineStr">
        <is>
          <t xml:space="preserve">Обещали</t>
        </is>
      </c>
      <c r="D627" s="99" t="inlineStr">
        <is>
          <t xml:space="preserve">Кр-99057343-3</t>
        </is>
      </c>
      <c r="E627" s="99" t="inlineStr">
        <is>
          <t xml:space="preserve">BOYMURODOV AZIZ XUSAN O’G’LI</t>
        </is>
      </c>
      <c r="F627" s="99" t="inlineStr">
        <is>
          <t xml:space="preserve">998915380630 SMS UZI, 998995036022 SMS DOSTI,</t>
        </is>
      </c>
      <c r="G627" s="99" t="inlineStr">
        <is>
          <t xml:space="preserve">TOSHKENT SHAHAR CHILONZOR TUAMNI NAFOSAT MFY 8-MAVZE 13-UY 10-XONODON</t>
        </is>
      </c>
      <c r="H627" s="100">
        <v>3.0</v>
      </c>
      <c r="I627" s="100">
        <v>1894259.99</v>
      </c>
      <c r="K627" s="99" t="inlineStr">
        <is>
          <t xml:space="preserve">1588 | ertaga 10 | 50000000 | 839465.42 | bugun to'lov qiladi 8 gacha</t>
        </is>
      </c>
    </row>
    <row r="628">
      <c r="A628" s="99" t="inlineStr">
        <is>
          <t xml:space="preserve">ТОШКЕНТ ШАХРИ</t>
        </is>
      </c>
      <c r="B628" s="99" t="inlineStr">
        <is>
          <t xml:space="preserve">SUPER BRANCH</t>
        </is>
      </c>
      <c r="C628" s="99" t="inlineStr">
        <is>
          <t xml:space="preserve">Обещали</t>
        </is>
      </c>
      <c r="D628" s="99" t="inlineStr">
        <is>
          <t xml:space="preserve">Кр-99029372-2</t>
        </is>
      </c>
      <c r="E628" s="99" t="inlineStr">
        <is>
          <t xml:space="preserve">BADALOV MIRISLOM MIRBOXODIR O’G’LI</t>
        </is>
      </c>
      <c r="F628" s="99" t="inlineStr">
        <is>
          <t xml:space="preserve">90-901-68-38 SMS OZI, 33-901-68-38 SMS OKASI,</t>
        </is>
      </c>
      <c r="G628" s="99" t="inlineStr">
        <is>
          <t xml:space="preserve">БОҒОБОД МФЙ, 15 МАВЗЕ,  uy:22 xonadon:25</t>
        </is>
      </c>
      <c r="H628" s="100">
        <v>3.0</v>
      </c>
      <c r="I628" s="100">
        <v>1875910.53</v>
      </c>
      <c r="K628" s="99" t="inlineStr">
        <is>
          <t xml:space="preserve">310 | Bugun oylikdan | 30000000 | 909090.72 | to'lovdan oldin tel qiladi</t>
        </is>
      </c>
    </row>
    <row r="629">
      <c r="A629" s="99" t="inlineStr">
        <is>
          <t xml:space="preserve">ТОШКЕНТ ШАХРИ</t>
        </is>
      </c>
      <c r="B629" s="99" t="inlineStr">
        <is>
          <t xml:space="preserve">SUPER BRANCH</t>
        </is>
      </c>
      <c r="C629" s="99" t="inlineStr">
        <is>
          <t xml:space="preserve">Обещали</t>
        </is>
      </c>
      <c r="D629" s="99" t="inlineStr">
        <is>
          <t xml:space="preserve">Кр-99018467-2</t>
        </is>
      </c>
      <c r="E629" s="99" t="inlineStr">
        <is>
          <t xml:space="preserve">RAXMATULLAYEV XASAN ZAXIDOVICH</t>
        </is>
      </c>
      <c r="F629" s="99" t="inlineStr">
        <is>
          <t xml:space="preserve">998998404562 SMS O’ZI, 998912007010 SMS HAMKASBI, 998994349899 SMS HAMKASBI2, 998998409009 SMS UKASI,</t>
        </is>
      </c>
      <c r="G629" s="99" t="inlineStr">
        <is>
          <t xml:space="preserve">8-строительная территория, дом 43, кв. 35</t>
        </is>
      </c>
      <c r="H629" s="100">
        <v>3.0</v>
      </c>
      <c r="I629" s="100">
        <v>1855120.0</v>
      </c>
      <c r="K629" s="99" t="inlineStr">
        <is>
          <t xml:space="preserve">5lada qolida puli bor</t>
        </is>
      </c>
    </row>
    <row r="630">
      <c r="A630" s="99" t="inlineStr">
        <is>
          <t xml:space="preserve">ТОШКЕНТ ШАХРИ</t>
        </is>
      </c>
      <c r="B630" s="99" t="inlineStr">
        <is>
          <t xml:space="preserve">SUPER BRANCH</t>
        </is>
      </c>
      <c r="C630" s="99" t="inlineStr">
        <is>
          <t xml:space="preserve">Обещали</t>
        </is>
      </c>
      <c r="D630" s="99" t="inlineStr">
        <is>
          <t xml:space="preserve">Кр-99021933-1</t>
        </is>
      </c>
      <c r="E630" s="99" t="inlineStr">
        <is>
          <t xml:space="preserve">MAXAMADALIYEV ABDURAXIM ABDUXAMIDOVICH</t>
        </is>
      </c>
      <c r="F630" s="99" t="inlineStr">
        <is>
          <t xml:space="preserve">998990908118 SMS AYOLI, 998997273438 SMS OZI 2, 998998806697 SMS OZI, 998998808118 SMS ONASI,</t>
        </is>
      </c>
      <c r="G630" s="99" t="inlineStr">
        <is>
          <t xml:space="preserve">TOSHKENT SHAHAR OLMAZOR TUMANI XO’JALIK TOR KO’CHASI 1-UY</t>
        </is>
      </c>
      <c r="H630" s="100">
        <v>3.0</v>
      </c>
      <c r="I630" s="100">
        <v>1785249.84</v>
      </c>
    </row>
    <row r="631">
      <c r="A631" s="99" t="inlineStr">
        <is>
          <t xml:space="preserve">ТОШКЕНТ ШАХРИ</t>
        </is>
      </c>
      <c r="B631" s="99" t="inlineStr">
        <is>
          <t xml:space="preserve">SUPER BRANCH</t>
        </is>
      </c>
      <c r="C631" s="99" t="inlineStr">
        <is>
          <t xml:space="preserve">Оплатил дозвон</t>
        </is>
      </c>
      <c r="D631" s="99" t="inlineStr">
        <is>
          <t xml:space="preserve">Кр-99034655-3</t>
        </is>
      </c>
      <c r="E631" s="99" t="inlineStr">
        <is>
          <t xml:space="preserve">ABDULLAYEVA SHAXNOZA SOLIX QIZI</t>
        </is>
      </c>
      <c r="F631" s="99" t="inlineStr">
        <is>
          <t xml:space="preserve">998909313811 SMS ERI, 998909502141 SMS O’ZI, 998909102102 SMS AKASI, 998930541256 SMS ERI 2,</t>
        </is>
      </c>
      <c r="G631" s="99" t="inlineStr">
        <is>
          <t xml:space="preserve">TOSHKENT SHAHAR SHAYXONTOXUR TUAMANI MARKAZ 14, 15-UY 59-XONADON</t>
        </is>
      </c>
      <c r="H631" s="100">
        <v>1.0</v>
      </c>
      <c r="I631" s="100">
        <v>1711000.0</v>
      </c>
      <c r="J631" s="100">
        <v>1711000.0</v>
      </c>
      <c r="K631" s="99" t="inlineStr">
        <is>
          <t xml:space="preserve">yopildi ozim</t>
        </is>
      </c>
    </row>
    <row r="632">
      <c r="A632" s="99" t="inlineStr">
        <is>
          <t xml:space="preserve">ТОШКЕНТ ШАХРИ</t>
        </is>
      </c>
      <c r="B632" s="99" t="inlineStr">
        <is>
          <t xml:space="preserve">SUPER BRANCH</t>
        </is>
      </c>
      <c r="C632" s="99" t="inlineStr">
        <is>
          <t xml:space="preserve">Обещали</t>
        </is>
      </c>
      <c r="D632" s="99" t="inlineStr">
        <is>
          <t xml:space="preserve">Кр-99063412-2</t>
        </is>
      </c>
      <c r="E632" s="99" t="inlineStr">
        <is>
          <t xml:space="preserve">ESANOVA NOZIGULXON ISROILJON  QIZI</t>
        </is>
      </c>
      <c r="F632" s="99" t="inlineStr">
        <is>
          <t xml:space="preserve">998504557389 SMS OZI, 998946300100 SMS ERI, 998946712822 SMS OZI,</t>
        </is>
      </c>
      <c r="G632" s="99" t="inlineStr">
        <is>
          <t xml:space="preserve">TOSHKENT SHAHAR UCHTEPA TUMANI KO’KCHA OQTEPA MFY KOSHG’ARIY KOCHASI 18-UY</t>
        </is>
      </c>
      <c r="H632" s="100">
        <v>3.0</v>
      </c>
      <c r="I632" s="100">
        <v>1625640.44</v>
      </c>
      <c r="K632" s="99" t="inlineStr">
        <is>
          <t xml:space="preserve">2041 | Bugun kechga | 17000000 | 1138544.69 | xoz to'lavoradi</t>
        </is>
      </c>
    </row>
    <row r="633">
      <c r="A633" s="99" t="inlineStr">
        <is>
          <t xml:space="preserve">ТОШКЕНТ ШАХРИ</t>
        </is>
      </c>
      <c r="B633" s="99" t="inlineStr">
        <is>
          <t xml:space="preserve">SUPER BRANCH</t>
        </is>
      </c>
      <c r="C633" s="99" t="inlineStr">
        <is>
          <t xml:space="preserve">Оплатил дозвон</t>
        </is>
      </c>
      <c r="D633" s="99" t="inlineStr">
        <is>
          <t xml:space="preserve">Кр-99064517-1</t>
        </is>
      </c>
      <c r="E633" s="99" t="inlineStr">
        <is>
          <t xml:space="preserve">TILABOV JALOLIDDIN FARXOD O’G’LI</t>
        </is>
      </c>
      <c r="F633" s="99" t="inlineStr">
        <is>
          <t xml:space="preserve">998970441302 SMS AYOLI, 998990797873 SMS DOSTI, 998998755398 SMS UZI,</t>
        </is>
      </c>
      <c r="G633" s="99" t="inlineStr">
        <is>
          <t xml:space="preserve">г. Ташкент, Мирзо Улугбекский район, ул. Сайрам, Буюк ипак йули МСГ, 33а- Дом, 1- Квартира</t>
        </is>
      </c>
      <c r="H633" s="100">
        <v>3.0</v>
      </c>
      <c r="I633" s="100">
        <v>1592890.0</v>
      </c>
      <c r="J633" s="100">
        <v>1592890.0</v>
      </c>
      <c r="K633" s="99" t="inlineStr">
        <is>
          <t xml:space="preserve">yopildi ozim</t>
        </is>
      </c>
    </row>
    <row r="634">
      <c r="A634" s="99" t="inlineStr">
        <is>
          <t xml:space="preserve">ТОШКЕНТ ШАХРИ</t>
        </is>
      </c>
      <c r="B634" s="99" t="inlineStr">
        <is>
          <t xml:space="preserve">SUPER BRANCH</t>
        </is>
      </c>
      <c r="C634" s="99" t="inlineStr">
        <is>
          <t xml:space="preserve">Обещали</t>
        </is>
      </c>
      <c r="D634" s="99" t="inlineStr">
        <is>
          <t xml:space="preserve">Кр-99039317-1</t>
        </is>
      </c>
      <c r="E634" s="99" t="inlineStr">
        <is>
          <t xml:space="preserve">ERGASHBOYEVA MALOXAT BAXTIYOR QIZI</t>
        </is>
      </c>
      <c r="F634" s="99" t="inlineStr">
        <is>
          <t xml:space="preserve">998998767634 SMS OZI , 998931035553 SMS ONASI , 998990311101 SMS ERI , 998931767634 SMS ERI , 998935393359 SMS ERI YANGI,</t>
        </is>
      </c>
      <c r="G634" s="99" t="inlineStr">
        <is>
          <t xml:space="preserve">TOSHKENT SHAHAR CHILONZOR TUMANI TIRSAKOBOD MFY  SHOSH KO’CHASI 37-UY</t>
        </is>
      </c>
      <c r="H634" s="100">
        <v>3.0</v>
      </c>
      <c r="I634" s="100">
        <v>1582690.82</v>
      </c>
      <c r="K634" s="99" t="inlineStr">
        <is>
          <t xml:space="preserve">820 | bugun kechgacha qisman qoganini ertaga | 13500000 | 1567212.1 | 15 da to'liman dedi</t>
        </is>
      </c>
    </row>
    <row r="635">
      <c r="A635" s="99" t="inlineStr">
        <is>
          <t xml:space="preserve">ТОШКЕНТ ШАХРИ</t>
        </is>
      </c>
      <c r="B635" s="99" t="inlineStr">
        <is>
          <t xml:space="preserve">SUPER BRANCH</t>
        </is>
      </c>
      <c r="C635" s="99" t="inlineStr">
        <is>
          <t xml:space="preserve">Обещали</t>
        </is>
      </c>
      <c r="D635" s="99" t="inlineStr">
        <is>
          <t xml:space="preserve">Кр-99045800-1</t>
        </is>
      </c>
      <c r="E635" s="99" t="inlineStr">
        <is>
          <t xml:space="preserve">XOSHIMOV MIRAGZAM MIRGANIYEVICH</t>
        </is>
      </c>
      <c r="F635" s="99" t="inlineStr">
        <is>
          <t xml:space="preserve">+998998660109 SMS OZI, 998334320109 SMS AYOLI, 998779712617 SMS QIZI, 998909751959 SMS ONASI,</t>
        </is>
      </c>
      <c r="G635" s="99" t="inlineStr">
        <is>
          <t xml:space="preserve">5-строительная территория, дом 3, кв. 41</t>
        </is>
      </c>
      <c r="H635" s="100">
        <v>3.0</v>
      </c>
      <c r="I635" s="100">
        <v>1549364.07</v>
      </c>
      <c r="K635" s="99" t="inlineStr">
        <is>
          <t xml:space="preserve">15 kun tolab beradi</t>
        </is>
      </c>
    </row>
    <row r="636">
      <c r="A636" s="99" t="inlineStr">
        <is>
          <t xml:space="preserve">ТОШКЕНТ ШАХРИ</t>
        </is>
      </c>
      <c r="B636" s="99" t="inlineStr">
        <is>
          <t xml:space="preserve">SUPER BRANCH</t>
        </is>
      </c>
      <c r="C636" s="99" t="inlineStr">
        <is>
          <t xml:space="preserve">Обещали</t>
        </is>
      </c>
      <c r="D636" s="99" t="inlineStr">
        <is>
          <t xml:space="preserve">Кр-99062678-1</t>
        </is>
      </c>
      <c r="E636" s="99" t="inlineStr">
        <is>
          <t xml:space="preserve">IBAYDULLAYEV DILSHODBEK ULUG’EK O’G’LI</t>
        </is>
      </c>
      <c r="F636" s="99" t="inlineStr">
        <is>
          <t xml:space="preserve">998934905320 SMS OZI, 998944975105 SMS DOSTI, 998930670329 SMS DOSTI 2,</t>
        </is>
      </c>
      <c r="G636" s="99" t="inlineStr">
        <is>
          <t xml:space="preserve">TOSHKENT SHAHAR YANGIHAYOT TUMANI YANGI UMID MFY 37-UY</t>
        </is>
      </c>
      <c r="H636" s="100">
        <v>3.0</v>
      </c>
      <c r="I636" s="100">
        <v>1312606.09</v>
      </c>
      <c r="K636" s="99" t="inlineStr">
        <is>
          <t xml:space="preserve">10 kuni tolab beradi</t>
        </is>
      </c>
    </row>
    <row r="637">
      <c r="A637" s="99" t="inlineStr">
        <is>
          <t xml:space="preserve">ТОШКЕНТ ШАХРИ</t>
        </is>
      </c>
      <c r="B637" s="99" t="inlineStr">
        <is>
          <t xml:space="preserve">SUPER BRANCH</t>
        </is>
      </c>
      <c r="C637" s="99" t="inlineStr">
        <is>
          <t xml:space="preserve">Обещали</t>
        </is>
      </c>
      <c r="D637" s="99" t="inlineStr">
        <is>
          <t xml:space="preserve">Кр-99034806-3</t>
        </is>
      </c>
      <c r="E637" s="99" t="inlineStr">
        <is>
          <t xml:space="preserve">KAMALOV DILSHODBEK KAMOLJON O‘G‘LI</t>
        </is>
      </c>
      <c r="F637" s="99" t="inlineStr">
        <is>
          <t xml:space="preserve">998900005357 SMS OZI, 998977444083 SMS OPASI, 998909118730 SMS POCHCHASI, 998991478646 SMS OTASI,</t>
        </is>
      </c>
      <c r="G637" s="99" t="inlineStr">
        <is>
          <t xml:space="preserve">TOSHKENT SHAHAR UCHTEPA TUMANI VATAN MFY 24-MAVZE 8-UY 32-XONADON</t>
        </is>
      </c>
      <c r="H637" s="100">
        <v>3.0</v>
      </c>
      <c r="I637" s="100">
        <v>1252056.04</v>
      </c>
      <c r="K637" s="99" t="inlineStr">
        <is>
          <t xml:space="preserve">531 | Ertaga kechga | 40000000 | 548982.06 | ertga kechgacha to'laydi</t>
        </is>
      </c>
    </row>
    <row r="638">
      <c r="A638" s="99" t="inlineStr">
        <is>
          <t xml:space="preserve">ТОШКЕНТ ШАХРИ</t>
        </is>
      </c>
      <c r="B638" s="99" t="inlineStr">
        <is>
          <t xml:space="preserve">SUPER BRANCH</t>
        </is>
      </c>
      <c r="C638" s="99" t="inlineStr">
        <is>
          <t xml:space="preserve">Обещали</t>
        </is>
      </c>
      <c r="D638" s="99" t="inlineStr">
        <is>
          <t xml:space="preserve">Кр-99032143-4</t>
        </is>
      </c>
      <c r="E638" s="99" t="inlineStr">
        <is>
          <t xml:space="preserve">TO’XTASINOV NODIRBEK JAMSHID O’G’LI</t>
        </is>
      </c>
      <c r="F638" s="99" t="inlineStr">
        <is>
          <t xml:space="preserve">998771295256 SMS O’ZI, 998901920404 SMS O’ZI 2, 998931225795 SMS O’RTOG’I JASUR, 998974704120 SMS O’RTOG’I QODIR,</t>
        </is>
      </c>
      <c r="G638" s="99" t="inlineStr">
        <is>
          <t xml:space="preserve">TOSHKENT SHAHARI YASHNAOBOD TUMANI BOYQO’RGON 11-3UY</t>
        </is>
      </c>
      <c r="H638" s="100">
        <v>3.0</v>
      </c>
      <c r="I638" s="100">
        <v>1162100.0</v>
      </c>
      <c r="K638" s="99" t="inlineStr">
        <is>
          <t xml:space="preserve">bugun korishib bervorishim kere dvotti | bugun to'lov bo'ladi</t>
        </is>
      </c>
    </row>
    <row r="639">
      <c r="A639" s="99" t="inlineStr">
        <is>
          <t xml:space="preserve">ТОШКЕНТ ШАХРИ</t>
        </is>
      </c>
      <c r="B639" s="99" t="inlineStr">
        <is>
          <t xml:space="preserve">SUPER BRANCH</t>
        </is>
      </c>
      <c r="C639" s="99" t="inlineStr">
        <is>
          <t xml:space="preserve">Ko'tardi</t>
        </is>
      </c>
      <c r="D639" s="99" t="inlineStr">
        <is>
          <t xml:space="preserve">Кр-99009948-4</t>
        </is>
      </c>
      <c r="E639" s="99" t="inlineStr">
        <is>
          <t xml:space="preserve">YO’LDOSHALIYEV JAVOHIR OYBEK O’G’LI</t>
        </is>
      </c>
      <c r="F639" s="99" t="inlineStr">
        <is>
          <t xml:space="preserve">90-334-43-40 SMS, 90-811-43-40 SMS AYOLI, 71-251-49-51 UY, 88-333-45-25 SMS UKASI SUNNATILLA, 712514951 UY, 883334525 SMS UKASI SUNNATILLA, 903344340 SMS, 908114340 SMS AYOLI,</t>
        </is>
      </c>
      <c r="G639" s="99" t="inlineStr">
        <is>
          <t xml:space="preserve">TOSHKENT SHAHAR SERGELI TUMANI UZAR KO’CHASI 63-UY</t>
        </is>
      </c>
      <c r="H639" s="100">
        <v>3.0</v>
      </c>
      <c r="I639" s="100">
        <v>1148363.64</v>
      </c>
    </row>
    <row r="640">
      <c r="A640" s="99" t="inlineStr">
        <is>
          <t xml:space="preserve">ТОШКЕНТ ШАХРИ</t>
        </is>
      </c>
      <c r="B640" s="99" t="inlineStr">
        <is>
          <t xml:space="preserve">SUPER BRANCH</t>
        </is>
      </c>
      <c r="C640" s="99" t="inlineStr">
        <is>
          <t xml:space="preserve">Оплатил дозвон</t>
        </is>
      </c>
      <c r="D640" s="99" t="inlineStr">
        <is>
          <t xml:space="preserve">Кр-99039796-3</t>
        </is>
      </c>
      <c r="E640" s="99" t="inlineStr">
        <is>
          <t xml:space="preserve">SHOKIROV SARVARXON ALISHER O’G’LI</t>
        </is>
      </c>
      <c r="F640" s="99" t="inlineStr">
        <is>
          <t xml:space="preserve">+998958017737 SMS O’ZI, 998909150349 SMS GAROVCHI, 998946741057 SMS O’G’LI, 998951011181 uzi new , 998958017737 SMS O’ZI,</t>
        </is>
      </c>
      <c r="G640" s="99" t="inlineStr">
        <is>
          <t xml:space="preserve">TOSHKENT SHAHAR SHAYXONTOXUR TUMANI KOXOTA MFY FAOL KO’CHASI 53-UY / TOSHKENT SHAHAR SHAYXONTOXUR TUMANI LABZAK MFY LABZAK KO’CHASI 70-UY</t>
        </is>
      </c>
      <c r="H640" s="100">
        <v>3.0</v>
      </c>
      <c r="I640" s="100">
        <v>1129928.78</v>
      </c>
      <c r="J640" s="100">
        <v>1129928.78</v>
      </c>
      <c r="K640" s="99" t="inlineStr">
        <is>
          <t xml:space="preserve">yopildi</t>
        </is>
      </c>
    </row>
    <row r="641">
      <c r="A641" s="99" t="inlineStr">
        <is>
          <t xml:space="preserve">ТОШКЕНТ ШАХРИ</t>
        </is>
      </c>
      <c r="B641" s="99" t="inlineStr">
        <is>
          <t xml:space="preserve">SUPER BRANCH</t>
        </is>
      </c>
      <c r="C641" s="99" t="inlineStr">
        <is>
          <t xml:space="preserve">Обещали</t>
        </is>
      </c>
      <c r="D641" s="99" t="inlineStr">
        <is>
          <t xml:space="preserve">Кр-99003228-3</t>
        </is>
      </c>
      <c r="E641" s="99" t="inlineStr">
        <is>
          <t xml:space="preserve">KAMOLOV FARRUHJON FURQAT O’G’LI</t>
        </is>
      </c>
      <c r="F641" s="99" t="inlineStr">
        <is>
          <t xml:space="preserve">998977080734 SMS OZI TOLOVCHI , 99-030-34-64 SMS , 93-135-70-20 SMS UKASI, 93-551-91-31  SMS DRUG,</t>
        </is>
      </c>
      <c r="G641" s="99" t="inlineStr">
        <is>
          <t xml:space="preserve">TOSHKENT SHAHAR OLMAZOR TUMANI GULSAROY MFY QORA-QAMISH 1/4 MAVZESI 23-UY 21-XONADON </t>
        </is>
      </c>
      <c r="H641" s="100">
        <v>3.0</v>
      </c>
      <c r="I641" s="100">
        <v>1108415.64</v>
      </c>
      <c r="K641" s="99" t="inlineStr">
        <is>
          <t xml:space="preserve">ertag a</t>
        </is>
      </c>
    </row>
    <row r="642">
      <c r="A642" s="99" t="inlineStr">
        <is>
          <t xml:space="preserve">ТОШКЕНТ ШАХРИ</t>
        </is>
      </c>
      <c r="B642" s="99" t="inlineStr">
        <is>
          <t xml:space="preserve">SUPER BRANCH</t>
        </is>
      </c>
      <c r="C642" s="99" t="inlineStr">
        <is>
          <t xml:space="preserve">Обещали</t>
        </is>
      </c>
      <c r="D642" s="99" t="inlineStr">
        <is>
          <t xml:space="preserve">Кр-99064353-1</t>
        </is>
      </c>
      <c r="E642" s="99" t="inlineStr">
        <is>
          <t xml:space="preserve">NIYOZALIYEV QOBILJON BAXROMJON O’G’LI</t>
        </is>
      </c>
      <c r="F642" s="99" t="inlineStr">
        <is>
          <t xml:space="preserve">998935484774 смс айоли, 998941733930 смс отаси, 998946246339 смс узи,</t>
        </is>
      </c>
      <c r="G642" s="99" t="inlineStr">
        <is>
          <t xml:space="preserve">Beshqoʻrgʻon MFY, Karvonsaroy ko’chasi, 5 tor ko’chasi, 19-uy</t>
        </is>
      </c>
      <c r="H642" s="100">
        <v>3.0</v>
      </c>
      <c r="I642" s="100">
        <v>730736.36</v>
      </c>
      <c r="K642" s="99" t="inlineStr">
        <is>
          <t xml:space="preserve">2302 | Ertaga kechga | 25000000 | 261443.03 | bugun pul tushsa bugun to'lavoradi</t>
        </is>
      </c>
    </row>
    <row r="643">
      <c r="A643" s="99" t="inlineStr">
        <is>
          <t xml:space="preserve">ТОШКЕНТ ШАХРИ</t>
        </is>
      </c>
      <c r="B643" s="99" t="inlineStr">
        <is>
          <t xml:space="preserve">SUPER BRANCH</t>
        </is>
      </c>
      <c r="C643" s="99" t="inlineStr">
        <is>
          <t xml:space="preserve">Обещали</t>
        </is>
      </c>
      <c r="D643" s="99" t="inlineStr">
        <is>
          <t xml:space="preserve">Кр-99033926-2</t>
        </is>
      </c>
      <c r="E643" s="99" t="inlineStr">
        <is>
          <t xml:space="preserve">SAIPOV ABDUKODIR ALIDJONOVICH</t>
        </is>
      </c>
      <c r="F643" s="99" t="inlineStr">
        <is>
          <t xml:space="preserve">998977521987 SMS O’ZI, 998971821914 SMS OGLI, 998977494315 SMS AYOLI, 998909333492 SMS ONASI,</t>
        </is>
      </c>
      <c r="G643" s="99" t="inlineStr">
        <is>
          <t xml:space="preserve">TOSHKENT SHAHAR YAKKASAROY TUMANI AKADEMIK SIROJIDDINOV 26A-UY XONADON</t>
        </is>
      </c>
      <c r="H643" s="100">
        <v>3.0</v>
      </c>
      <c r="I643" s="100">
        <v>667770.08</v>
      </c>
      <c r="K643" s="99" t="inlineStr">
        <is>
          <t xml:space="preserve">500 | Qisman yopadi qoganini ertaga | 40000000 | 373120.61</t>
        </is>
      </c>
    </row>
    <row r="644">
      <c r="A644" s="99" t="inlineStr">
        <is>
          <t xml:space="preserve">ТОШКЕНТ ШАХРИ</t>
        </is>
      </c>
      <c r="B644" s="99" t="inlineStr">
        <is>
          <t xml:space="preserve">SUPER BRANCH</t>
        </is>
      </c>
      <c r="C644" s="99" t="inlineStr">
        <is>
          <t xml:space="preserve">Обещали</t>
        </is>
      </c>
      <c r="D644" s="99" t="inlineStr">
        <is>
          <t xml:space="preserve">Кр-99028267-2</t>
        </is>
      </c>
      <c r="E644" s="99" t="inlineStr">
        <is>
          <t xml:space="preserve">KADIROV MUZAFFAR AKRAMJANOVICH</t>
        </is>
      </c>
      <c r="F644" s="99" t="inlineStr">
        <is>
          <t xml:space="preserve">98-307-15-84  SMS OZI , 97-703-15-84 SMS AYOLI, 71-283-25-69 SMS UY , 91-002-78-22 SMS OGLI,</t>
        </is>
      </c>
      <c r="G644" s="99" t="inlineStr">
        <is>
          <t xml:space="preserve">TOSHKENT SHAHAR YASHNOBOD TUMANI MUXTOR ASHRAFIY 1-BERK 128A-UY</t>
        </is>
      </c>
      <c r="H644" s="100">
        <v>3.0</v>
      </c>
      <c r="I644" s="100">
        <v>623114.65</v>
      </c>
      <c r="K644" s="99" t="inlineStr">
        <is>
          <t xml:space="preserve">xoz tolavoradi | bugun tolaydi</t>
        </is>
      </c>
    </row>
    <row r="645">
      <c r="A645" s="99" t="inlineStr">
        <is>
          <t xml:space="preserve">ТОШКЕНТ ШАХРИ</t>
        </is>
      </c>
      <c r="B645" s="99" t="inlineStr">
        <is>
          <t xml:space="preserve">SUPER BRANCH</t>
        </is>
      </c>
      <c r="C645" s="99" t="inlineStr">
        <is>
          <t xml:space="preserve">Обещали</t>
        </is>
      </c>
      <c r="D645" s="99" t="inlineStr">
        <is>
          <t xml:space="preserve">Кр-99064062-1</t>
        </is>
      </c>
      <c r="E645" s="99" t="inlineStr">
        <is>
          <t xml:space="preserve">BAXRAMOV FARRUX MUXTAROVICH</t>
        </is>
      </c>
      <c r="F645" s="99" t="inlineStr">
        <is>
          <t xml:space="preserve">998954352018 SMS QIZI, 998990081816 SMS UZI, 998998243426 SMS AYOLI,</t>
        </is>
      </c>
      <c r="G645" s="99" t="inlineStr">
        <is>
          <t xml:space="preserve">Икбол МФЙ, Водник мавзеси, 78-уй, 67-хонадон</t>
        </is>
      </c>
      <c r="H645" s="100">
        <v>3.0</v>
      </c>
      <c r="I645" s="100">
        <v>586399.32</v>
      </c>
      <c r="K645" s="99" t="inlineStr">
        <is>
          <t xml:space="preserve">bugun tolab beradi 6 laga habar olish kere</t>
        </is>
      </c>
    </row>
    <row r="646">
      <c r="A646" s="99" t="inlineStr">
        <is>
          <t xml:space="preserve">ТОШКЕНТ ШАХРИ</t>
        </is>
      </c>
      <c r="B646" s="99" t="inlineStr">
        <is>
          <t xml:space="preserve">SUPER BRANCH</t>
        </is>
      </c>
      <c r="C646" s="99" t="inlineStr">
        <is>
          <t xml:space="preserve">Обещали</t>
        </is>
      </c>
      <c r="D646" s="99" t="inlineStr">
        <is>
          <t xml:space="preserve">Кр-99027295-4</t>
        </is>
      </c>
      <c r="E646" s="99" t="inlineStr">
        <is>
          <t xml:space="preserve">GULOMOV JAMOLIDDIN DJURAYEVICH</t>
        </is>
      </c>
      <c r="F646" s="99" t="inlineStr">
        <is>
          <t xml:space="preserve">99-882-49-24 SMS, 99-888-49-24 SMS Ogli Jamshid TOLOVCHI, 99-070-77-51 SMS Ayoli, 93-377-62-20 SMS UY,</t>
        </is>
      </c>
      <c r="G646" s="99" t="inlineStr">
        <is>
          <t xml:space="preserve">Тошкент шахар Олмазор тумани Хислат МФЙ Шифокорлар Шахарчаси 30Г Даха</t>
        </is>
      </c>
      <c r="I646" s="100">
        <v>531389.11</v>
      </c>
    </row>
    <row r="647">
      <c r="A647" s="99" t="inlineStr">
        <is>
          <t xml:space="preserve">ТОШКЕНТ ШАХРИ</t>
        </is>
      </c>
      <c r="B647" s="99" t="inlineStr">
        <is>
          <t xml:space="preserve">SUPER BRANCH</t>
        </is>
      </c>
      <c r="C647" s="99" t="inlineStr">
        <is>
          <t xml:space="preserve">Оплатил дозвон</t>
        </is>
      </c>
      <c r="D647" s="99" t="inlineStr">
        <is>
          <t xml:space="preserve">Кр-99048124-1</t>
        </is>
      </c>
      <c r="E647" s="99" t="inlineStr">
        <is>
          <t xml:space="preserve">XAYDAROV FURXAT YUSUPOVICH</t>
        </is>
      </c>
      <c r="F647" s="99" t="inlineStr">
        <is>
          <t xml:space="preserve">998999317183 SMS OZI, 998991059499 SMS OGLI, 998998508281 SMS AYOLI, 998998618281 SMS QIZI,</t>
        </is>
      </c>
      <c r="G647" s="99" t="inlineStr">
        <is>
          <t xml:space="preserve">TOSHKENT SHAHRI MIRZO ULUG’BEK TUMANI DUSTLIK MFY, YANGIOBOD, PR. 2 KUCHASI, 27-UY </t>
        </is>
      </c>
      <c r="H647" s="100">
        <v>3.0</v>
      </c>
      <c r="I647" s="100">
        <v>57.29</v>
      </c>
      <c r="J647" s="100">
        <v>57.29</v>
      </c>
      <c r="K647" s="99" t="inlineStr">
        <is>
          <t xml:space="preserve">yopildi</t>
        </is>
      </c>
    </row>
    <row r="648">
      <c r="A648" s="101" t="inlineStr">
        <is>
          <t xml:space="preserve">ТОШКЕНТ ШАХРИ</t>
        </is>
      </c>
      <c r="B648" s="101" t="inlineStr">
        <is>
          <t xml:space="preserve">Денов филиали</t>
        </is>
      </c>
      <c r="C648" s="101" t="inlineStr">
        <is>
          <t xml:space="preserve">Обещали</t>
        </is>
      </c>
      <c r="D648" s="101" t="inlineStr">
        <is>
          <t xml:space="preserve">Кр-99009917-2</t>
        </is>
      </c>
      <c r="E648" s="101" t="inlineStr">
        <is>
          <t xml:space="preserve">ABDURAHMANOV ABDUMUTAL ABDUJABBOROVICH</t>
        </is>
      </c>
      <c r="F648" s="101" t="inlineStr">
        <is>
          <t xml:space="preserve">90-961-00-97 SMS, 97-755-00-08 SMS, 93-033-38-82 SMS ONASI, 71-225-66-95 UY, 998712256695 SMS ISHXONA, 998909150104 SMS UY,</t>
        </is>
      </c>
      <c r="G648" s="101" t="inlineStr">
        <is>
          <t xml:space="preserve">TOSHKENT SHAHAR YUNUSOBOD TUMANI  11-MAVZE  BOG'ISHAMOL MFY 8- UY 70-XONADON</t>
        </is>
      </c>
      <c r="H648" s="102">
        <v>3.0</v>
      </c>
      <c r="I648" s="102">
        <v>4311064.56</v>
      </c>
      <c r="K648" s="101" t="inlineStr">
        <is>
          <t xml:space="preserve">9 kun tolab beradi</t>
        </is>
      </c>
    </row>
    <row r="649">
      <c r="A649" s="103" t="inlineStr">
        <is>
          <t xml:space="preserve">ТОШКЕНТ ШАХРИ</t>
        </is>
      </c>
      <c r="B649" s="103" t="inlineStr">
        <is>
          <t xml:space="preserve">Самарқанд филиали</t>
        </is>
      </c>
      <c r="C649" s="103" t="inlineStr">
        <is>
          <t xml:space="preserve">Обещали</t>
        </is>
      </c>
      <c r="D649" s="103" t="inlineStr">
        <is>
          <t xml:space="preserve">Кр-99037581-3</t>
        </is>
      </c>
      <c r="E649" s="103" t="inlineStr">
        <is>
          <t xml:space="preserve">TEMUROV FARRUX MURODULLAYEVICH</t>
        </is>
      </c>
      <c r="F649" s="103" t="inlineStr">
        <is>
          <t xml:space="preserve">998904680273 SMS OZI, 998915360000 SMS OZI 2, 998904543333 SMS UKASI, 998772608877 SMS AKASI,</t>
        </is>
      </c>
      <c r="G649" s="103" t="inlineStr">
        <is>
          <t xml:space="preserve">TOSHKENT VILOYATI TOSHKENT SHAHAR YAKKASAROY TUMANI KUSHBEGI KUXHAS 12 B DOM 12-UY</t>
        </is>
      </c>
      <c r="H649" s="104">
        <v>3.0</v>
      </c>
      <c r="I649" s="104">
        <v>9756207.0</v>
      </c>
      <c r="K649" s="103" t="inlineStr">
        <is>
          <t xml:space="preserve">709 | 6 gacha | 150000000 | 3653467.2</t>
        </is>
      </c>
    </row>
    <row r="650">
      <c r="A650" s="105" t="inlineStr">
        <is>
          <t xml:space="preserve">ТОШКЕНТ ШАХРИ</t>
        </is>
      </c>
      <c r="B650" s="105" t="inlineStr">
        <is>
          <t xml:space="preserve">Урганч филиали</t>
        </is>
      </c>
      <c r="C650" s="105" t="inlineStr">
        <is>
          <t xml:space="preserve">Оплатил дозвон</t>
        </is>
      </c>
      <c r="D650" s="105" t="inlineStr">
        <is>
          <t xml:space="preserve">Кр-99063105-2</t>
        </is>
      </c>
      <c r="E650" s="105" t="inlineStr">
        <is>
          <t xml:space="preserve">RAXIMOVA NILUFAR YULDASHEVNA</t>
        </is>
      </c>
      <c r="F650" s="105" t="inlineStr">
        <is>
          <t xml:space="preserve">998977927577 OZI, 998995077757 OZI 2, 998985777757 OZI 3, 998770977577 OGLI,</t>
        </is>
      </c>
      <c r="G650" s="105" t="inlineStr">
        <is>
          <t xml:space="preserve">TOSHKENT SHAHAR SHAYXANTOXUR TUMANI SEBZOR KO’CHASI 7-UY,35-XONADON</t>
        </is>
      </c>
      <c r="H650" s="106">
        <v>31.0</v>
      </c>
      <c r="I650" s="106">
        <v>25602907.85</v>
      </c>
      <c r="J650" s="106">
        <v>25602907.85</v>
      </c>
      <c r="K650" s="105" t="inlineStr">
        <is>
          <t xml:space="preserve">yopildi</t>
        </is>
      </c>
    </row>
    <row r="651">
      <c r="A651" s="107" t="inlineStr">
        <is>
          <t xml:space="preserve">ФАРГОНА ВИЛОЯТИ</t>
        </is>
      </c>
      <c r="B651" s="107" t="inlineStr">
        <is>
          <t xml:space="preserve">BOSH OFIS</t>
        </is>
      </c>
      <c r="C651" s="107" t="inlineStr">
        <is>
          <t xml:space="preserve">Ko'tardi</t>
        </is>
      </c>
      <c r="D651" s="107" t="inlineStr">
        <is>
          <t xml:space="preserve">Кр-99041382-1</t>
        </is>
      </c>
      <c r="E651" s="107" t="inlineStr">
        <is>
          <t xml:space="preserve">KARIMOV ABDURASHIT MAXAMATYUNUSOVICH</t>
        </is>
      </c>
      <c r="F651" s="107" t="inlineStr">
        <is>
          <t xml:space="preserve">998901664100 SMS OZI, 998901803636 SMS AYOLI, 998901632214 SMS ONASI, 998933840630 SMS SHERIGI,</t>
        </is>
      </c>
      <c r="G651" s="107" t="inlineStr">
        <is>
          <t xml:space="preserve">FARG’ONA VILOYATI TOSHLOQ TUMANI ZARKENT MFY ASILOBOD KO’CHASI 3-UY</t>
        </is>
      </c>
      <c r="H651" s="108">
        <v>3.0</v>
      </c>
      <c r="I651" s="108">
        <v>4415898.17</v>
      </c>
      <c r="K651" s="107" t="inlineStr">
        <is>
          <t xml:space="preserve">1157</t>
        </is>
      </c>
    </row>
    <row r="652">
      <c r="A652" s="109" t="inlineStr">
        <is>
          <t xml:space="preserve">ФАРГОНА ВИЛОЯТИ</t>
        </is>
      </c>
      <c r="B652" s="109" t="inlineStr">
        <is>
          <t xml:space="preserve">SUPER BRANCH</t>
        </is>
      </c>
      <c r="C652" s="109" t="inlineStr">
        <is>
          <t xml:space="preserve">Обещали</t>
        </is>
      </c>
      <c r="D652" s="109" t="inlineStr">
        <is>
          <t xml:space="preserve">Кр-99036825-1</t>
        </is>
      </c>
      <c r="E652" s="109" t="inlineStr">
        <is>
          <t xml:space="preserve">RAXMANKULOVA RANO EMINOVNA</t>
        </is>
      </c>
      <c r="F652" s="109" t="inlineStr">
        <is>
          <t xml:space="preserve">998916619568 SMS OZI, 998916667777 SMS OGLI BEGONA, 998992041119 SMS OGLI 2, 998902741221 SMS UYI BEGONA, 998972711111 SMS ,</t>
        </is>
      </c>
      <c r="G652" s="109" t="inlineStr">
        <is>
          <t xml:space="preserve">FARG’ONA VILOYATI FARG’ONA SHAHAR OQARIQ MFY OQARIQ KO’CHASI 350-A UY </t>
        </is>
      </c>
      <c r="H652" s="110">
        <v>143.0</v>
      </c>
      <c r="I652" s="110">
        <v>71650307.58</v>
      </c>
      <c r="K652" s="109" t="inlineStr">
        <is>
          <t xml:space="preserve">673</t>
        </is>
      </c>
    </row>
    <row r="653">
      <c r="A653" s="109" t="inlineStr">
        <is>
          <t xml:space="preserve">ФАРГОНА ВИЛОЯТИ</t>
        </is>
      </c>
      <c r="B653" s="109" t="inlineStr">
        <is>
          <t xml:space="preserve">SUPER BRANCH</t>
        </is>
      </c>
      <c r="C653" s="109" t="inlineStr">
        <is>
          <t xml:space="preserve">Обещали</t>
        </is>
      </c>
      <c r="D653" s="109" t="inlineStr">
        <is>
          <t xml:space="preserve">Кр-99041102-2</t>
        </is>
      </c>
      <c r="E653" s="109" t="inlineStr">
        <is>
          <t xml:space="preserve">KADIROVA MAVLUDA ANVAROVNA</t>
        </is>
      </c>
      <c r="F653" s="109" t="inlineStr">
        <is>
          <t xml:space="preserve">998916508656 SMS OZI , 998910478741 SMS O’G’LI, 998916540408 SMS OPASI,</t>
        </is>
      </c>
      <c r="G653" s="109" t="inlineStr">
        <is>
          <t xml:space="preserve">FARG’ONA VILOYATI FARG’ONA SHAHAR TO’QIMACHILAR MFY AFROSIYOB KO’CHASI 2-UY 17-XONADON</t>
        </is>
      </c>
      <c r="H653" s="110">
        <v>125.0</v>
      </c>
      <c r="I653" s="110">
        <v>59374854.1</v>
      </c>
      <c r="K653" s="109" t="inlineStr">
        <is>
          <t xml:space="preserve">1111</t>
        </is>
      </c>
    </row>
    <row r="654">
      <c r="A654" s="109" t="inlineStr">
        <is>
          <t xml:space="preserve">ФАРГОНА ВИЛОЯТИ</t>
        </is>
      </c>
      <c r="B654" s="109" t="inlineStr">
        <is>
          <t xml:space="preserve">SUPER BRANCH</t>
        </is>
      </c>
      <c r="C654" s="109" t="inlineStr">
        <is>
          <t xml:space="preserve">Оплатил дозвон</t>
        </is>
      </c>
      <c r="D654" s="109" t="inlineStr">
        <is>
          <t xml:space="preserve">Кр-99055209-1</t>
        </is>
      </c>
      <c r="E654" s="109" t="inlineStr">
        <is>
          <t xml:space="preserve">ISMOILOV KOMOLJON ISROILOVICH</t>
        </is>
      </c>
      <c r="F654" s="109" t="inlineStr">
        <is>
          <t xml:space="preserve">998911083458 OZI, 998916523715 AYOLI, 998911165525 SINGLISI, 998905343715 UKASI,</t>
        </is>
      </c>
      <c r="G654" s="109" t="inlineStr">
        <is>
          <t xml:space="preserve">FARG’ONA VILOYATI FARG’ONA SHAHAR OQARIQ MFY OQARIQ KO’CHASI 235-UY</t>
        </is>
      </c>
      <c r="H654" s="110">
        <v>64.0</v>
      </c>
      <c r="I654" s="110">
        <v>27868404.91</v>
      </c>
      <c r="J654" s="110">
        <v>27868404.91</v>
      </c>
      <c r="K654" s="109" t="inlineStr">
        <is>
          <t xml:space="preserve">1567</t>
        </is>
      </c>
    </row>
    <row r="655">
      <c r="A655" s="109" t="inlineStr">
        <is>
          <t xml:space="preserve">ФАРГОНА ВИЛОЯТИ</t>
        </is>
      </c>
      <c r="B655" s="109" t="inlineStr">
        <is>
          <t xml:space="preserve">SUPER BRANCH</t>
        </is>
      </c>
      <c r="C655" s="109" t="inlineStr">
        <is>
          <t xml:space="preserve">Обещали</t>
        </is>
      </c>
      <c r="D655" s="109" t="inlineStr">
        <is>
          <t xml:space="preserve">Кр-99039832-1</t>
        </is>
      </c>
      <c r="E655" s="109" t="inlineStr">
        <is>
          <t xml:space="preserve">USMANOV MUZAFFAR MUXAMEDOVICH</t>
        </is>
      </c>
      <c r="F655" s="109" t="inlineStr">
        <is>
          <t xml:space="preserve">998900552185 SMS OZI, 998910593282 SMS AYOLI, 998913241110 SMS UKASI, 998910596232 SMS OGLI,</t>
        </is>
      </c>
      <c r="G655" s="109" t="inlineStr">
        <is>
          <t xml:space="preserve">FARG’ONA VILOYATI QO’QON SHAHAR ISTIQBOL MFY ALISHER NAVOIY KO’CHASI 68-UY 15-XONADON</t>
        </is>
      </c>
      <c r="H655" s="110">
        <v>3.0</v>
      </c>
      <c r="I655" s="110">
        <v>6969143.09</v>
      </c>
      <c r="K655" s="109" t="inlineStr">
        <is>
          <t xml:space="preserve">бугун ерта йопиб беради ишончли мижозимиз | 895</t>
        </is>
      </c>
    </row>
    <row r="656">
      <c r="A656" s="109" t="inlineStr">
        <is>
          <t xml:space="preserve">ФАРГОНА ВИЛОЯТИ</t>
        </is>
      </c>
      <c r="B656" s="109" t="inlineStr">
        <is>
          <t xml:space="preserve">SUPER BRANCH</t>
        </is>
      </c>
      <c r="C656" s="109" t="inlineStr">
        <is>
          <t xml:space="preserve">Оплатил дозвон</t>
        </is>
      </c>
      <c r="D656" s="109" t="inlineStr">
        <is>
          <t xml:space="preserve">Кр-99056929-1</t>
        </is>
      </c>
      <c r="E656" s="109" t="inlineStr">
        <is>
          <t xml:space="preserve">XOJIMATOV AVAZBEK ALISHER O’G’LI</t>
        </is>
      </c>
      <c r="F656" s="109" t="inlineStr">
        <is>
          <t xml:space="preserve">998945650004 SMS OZI, 998908532606 SMS ONASI, 998903666515 SMS UKASI, 998911555576 SMS AKASI,</t>
        </is>
      </c>
      <c r="G656" s="109" t="inlineStr">
        <is>
          <t xml:space="preserve">FARG’ONA VILOYATI QO’QON SHAHAR DAVRONBEK MFY DAVRONBEK KO’CHASI 11-XONADON</t>
        </is>
      </c>
      <c r="H656" s="110">
        <v>3.0</v>
      </c>
      <c r="I656" s="110">
        <v>6630264.43</v>
      </c>
      <c r="J656" s="110">
        <v>6630264.43</v>
      </c>
      <c r="K656" s="109" t="inlineStr">
        <is>
          <t xml:space="preserve">1592</t>
        </is>
      </c>
    </row>
    <row r="657">
      <c r="A657" s="109" t="inlineStr">
        <is>
          <t xml:space="preserve">ФАРГОНА ВИЛОЯТИ</t>
        </is>
      </c>
      <c r="B657" s="109" t="inlineStr">
        <is>
          <t xml:space="preserve">SUPER BRANCH</t>
        </is>
      </c>
      <c r="C657" s="109" t="inlineStr">
        <is>
          <t xml:space="preserve">Обещали</t>
        </is>
      </c>
      <c r="D657" s="109" t="inlineStr">
        <is>
          <t xml:space="preserve">Кр-99040353-1</t>
        </is>
      </c>
      <c r="E657" s="109" t="inlineStr">
        <is>
          <t xml:space="preserve">MIRZAYEV MUXAMMAD YUSUPOVICH</t>
        </is>
      </c>
      <c r="F657" s="109" t="inlineStr">
        <is>
          <t xml:space="preserve">998916651008 SMS OZI, 998501706333 SMS AYOLI, 998935716562 SMS ONASI, 998905331919 SMS JIYANI,</t>
        </is>
      </c>
      <c r="G657" s="109" t="inlineStr">
        <is>
          <t xml:space="preserve">FARG’ONA VILOYATI TOSHLOQ TUMANI KONIZAR MFY MIROBOD KO’CHASI 180-UY</t>
        </is>
      </c>
      <c r="H657" s="110">
        <v>3.0</v>
      </c>
      <c r="I657" s="110">
        <v>5679891.96</v>
      </c>
      <c r="K657" s="109" t="inlineStr">
        <is>
          <t xml:space="preserve">997</t>
        </is>
      </c>
    </row>
    <row r="658">
      <c r="A658" s="109" t="inlineStr">
        <is>
          <t xml:space="preserve">ФАРГОНА ВИЛОЯТИ</t>
        </is>
      </c>
      <c r="B658" s="109" t="inlineStr">
        <is>
          <t xml:space="preserve">SUPER BRANCH</t>
        </is>
      </c>
      <c r="C658" s="109" t="inlineStr">
        <is>
          <t xml:space="preserve">Ko'tardi</t>
        </is>
      </c>
      <c r="D658" s="109" t="inlineStr">
        <is>
          <t xml:space="preserve">Кр-99039984-1</t>
        </is>
      </c>
      <c r="E658" s="109" t="inlineStr">
        <is>
          <t xml:space="preserve">MANSUROV DAVLATJON OMONJON O’G’LI</t>
        </is>
      </c>
      <c r="F658" s="109" t="inlineStr">
        <is>
          <t xml:space="preserve">998906738986 SMS OZI, 998916738986 SMS ZALOGADATEL, 998908424265 SMS ONASI, 998916502579 SMS AKASI,</t>
        </is>
      </c>
      <c r="G658" s="109" t="inlineStr">
        <is>
          <t xml:space="preserve">FARG’ONA VILOYATI QO’SHTEPA TUMANI QO’MTEPA MFY BOZORBOSHI KO’CHASI 17-XONADON</t>
        </is>
      </c>
      <c r="H658" s="110">
        <v>3.0</v>
      </c>
      <c r="I658" s="110">
        <v>5502262.19</v>
      </c>
      <c r="K658" s="109" t="inlineStr">
        <is>
          <t xml:space="preserve">927</t>
        </is>
      </c>
    </row>
    <row r="659">
      <c r="A659" s="109" t="inlineStr">
        <is>
          <t xml:space="preserve">ФАРГОНА ВИЛОЯТИ</t>
        </is>
      </c>
      <c r="B659" s="109" t="inlineStr">
        <is>
          <t xml:space="preserve">SUPER BRANCH</t>
        </is>
      </c>
      <c r="C659" s="109" t="inlineStr">
        <is>
          <t xml:space="preserve">Обещали</t>
        </is>
      </c>
      <c r="D659" s="109" t="inlineStr">
        <is>
          <t xml:space="preserve">Кр-99053631-1</t>
        </is>
      </c>
      <c r="E659" s="109" t="inlineStr">
        <is>
          <t xml:space="preserve">ABDUKARIMOV AKMALJON TO’XTASINOVICH</t>
        </is>
      </c>
      <c r="F659" s="109" t="inlineStr">
        <is>
          <t xml:space="preserve">998916720698 SMS OZI, 998505752669 SMS UKASI, 998943940527 SMKS AYOLI, 998939806766 SMS AKASI, 998941360809 hamkasbi tolovchi,</t>
        </is>
      </c>
      <c r="G659" s="109" t="inlineStr">
        <is>
          <t xml:space="preserve">FARG’ONA VILOYATI FARG’ONA TUMANI GULSHAN MFY BARKAMOL KO’CHASI 93-XONADON</t>
        </is>
      </c>
      <c r="H659" s="110">
        <v>3.0</v>
      </c>
      <c r="I659" s="110">
        <v>5348588.75</v>
      </c>
      <c r="K659" s="109" t="inlineStr">
        <is>
          <t xml:space="preserve">15 куни толов кберади анник | 1540</t>
        </is>
      </c>
    </row>
    <row r="660">
      <c r="A660" s="109" t="inlineStr">
        <is>
          <t xml:space="preserve">ФАРГОНА ВИЛОЯТИ</t>
        </is>
      </c>
      <c r="B660" s="109" t="inlineStr">
        <is>
          <t xml:space="preserve">SUPER BRANCH</t>
        </is>
      </c>
      <c r="C660" s="109" t="inlineStr">
        <is>
          <t xml:space="preserve">Оплатил дозвон</t>
        </is>
      </c>
      <c r="D660" s="109" t="inlineStr">
        <is>
          <t xml:space="preserve">Кр-99052905-1</t>
        </is>
      </c>
      <c r="E660" s="109" t="inlineStr">
        <is>
          <t xml:space="preserve">KURBONOV SHUXRAT SHAXABIDINOVICH</t>
        </is>
      </c>
      <c r="F660" s="109" t="inlineStr">
        <is>
          <t xml:space="preserve">998700190989 SMS OZI, 998077556362 SMS OZI, 998884130035 SMS OGLI, 998901628776 SMS AYOLI,</t>
        </is>
      </c>
      <c r="G660" s="109" t="inlineStr">
        <is>
          <t xml:space="preserve">FARG’ONA VILOYATI TOSHLOQ TUMANI ZARKENT MFY QASHQARQISHLOQ KO’CHASI 101-XONADON</t>
        </is>
      </c>
      <c r="H660" s="110">
        <v>3.0</v>
      </c>
      <c r="I660" s="110">
        <v>5194306.51</v>
      </c>
      <c r="J660" s="110">
        <v>5194306.51</v>
      </c>
      <c r="K660" s="109" t="inlineStr">
        <is>
          <t xml:space="preserve">кисман толов кберди | 1496</t>
        </is>
      </c>
    </row>
    <row r="661">
      <c r="A661" s="109" t="inlineStr">
        <is>
          <t xml:space="preserve">ФАРГОНА ВИЛОЯТИ</t>
        </is>
      </c>
      <c r="B661" s="109" t="inlineStr">
        <is>
          <t xml:space="preserve">SUPER BRANCH</t>
        </is>
      </c>
      <c r="C661" s="109" t="inlineStr">
        <is>
          <t xml:space="preserve">Обещали</t>
        </is>
      </c>
      <c r="D661" s="109" t="inlineStr">
        <is>
          <t xml:space="preserve">Кр-99037178-1</t>
        </is>
      </c>
      <c r="E661" s="109" t="inlineStr">
        <is>
          <t xml:space="preserve">NURULLAYEV XOKIMJON OBIDDINOVICH</t>
        </is>
      </c>
      <c r="F661" s="109" t="inlineStr">
        <is>
          <t xml:space="preserve">998972141971 SMS OZI, 998888141973 SMS AYOLI, 998903020279 SMS OGLI ABDULXAFIZ O'G'LI, 998905371938 SMS KELINI,</t>
        </is>
      </c>
      <c r="G661" s="109" t="inlineStr">
        <is>
          <t xml:space="preserve">FARG’ONA VILOYATI FARG’ONA SHAHAR NAFOSAT MFY XAZINA QASHAKAR KO’CHASI 224-UY</t>
        </is>
      </c>
      <c r="H661" s="110">
        <v>3.0</v>
      </c>
      <c r="I661" s="110">
        <v>5114976.5</v>
      </c>
      <c r="K661" s="109" t="inlineStr">
        <is>
          <t xml:space="preserve">хар ой 20 чида толов клади пенялари блан | 702</t>
        </is>
      </c>
    </row>
    <row r="662">
      <c r="A662" s="109" t="inlineStr">
        <is>
          <t xml:space="preserve">ФАРГОНА ВИЛОЯТИ</t>
        </is>
      </c>
      <c r="B662" s="109" t="inlineStr">
        <is>
          <t xml:space="preserve">SUPER BRANCH</t>
        </is>
      </c>
      <c r="C662" s="109" t="inlineStr">
        <is>
          <t xml:space="preserve">Обещали</t>
        </is>
      </c>
      <c r="D662" s="109" t="inlineStr">
        <is>
          <t xml:space="preserve">Кр-99040371-1</t>
        </is>
      </c>
      <c r="E662" s="109" t="inlineStr">
        <is>
          <t xml:space="preserve">FAYZULLAYEVA MUYASSARXON SAYDUMAROVNA</t>
        </is>
      </c>
      <c r="F662" s="109" t="inlineStr">
        <is>
          <t xml:space="preserve">998507161002 SMS OZI, 998945120202 SMS UY, 998330802006 SMS NEVARASI, 998936402057 SMS OGLI,</t>
        </is>
      </c>
      <c r="G662" s="109" t="inlineStr">
        <is>
          <t xml:space="preserve">FARG’ONA VILOYATI BUVAYDA TUMANI BACHQIR MFY GUZAR KO’CHASI 33-XONADON</t>
        </is>
      </c>
      <c r="H662" s="110">
        <v>3.0</v>
      </c>
      <c r="I662" s="110">
        <v>5044694.59</v>
      </c>
      <c r="K662" s="109" t="inlineStr">
        <is>
          <t xml:space="preserve">бугун ерта килиб йопиб беради | 1004</t>
        </is>
      </c>
    </row>
    <row r="663">
      <c r="A663" s="109" t="inlineStr">
        <is>
          <t xml:space="preserve">ФАРГОНА ВИЛОЯТИ</t>
        </is>
      </c>
      <c r="B663" s="109" t="inlineStr">
        <is>
          <t xml:space="preserve">SUPER BRANCH</t>
        </is>
      </c>
      <c r="C663" s="109" t="inlineStr">
        <is>
          <t xml:space="preserve">Обещали</t>
        </is>
      </c>
      <c r="D663" s="109" t="inlineStr">
        <is>
          <t xml:space="preserve">Кр-99035898-1</t>
        </is>
      </c>
      <c r="E663" s="109" t="inlineStr">
        <is>
          <t xml:space="preserve">SIROJIDDINOV IBROXIMJON YOKUBOVICH</t>
        </is>
      </c>
      <c r="F663" s="109" t="inlineStr">
        <is>
          <t xml:space="preserve">998911592058  SMS O’ZI, 998905842034 SMS AYOLI , 998906317262 SMS O’G’LI, 998913290611 SMS ONASI , 998916701978 жияни туловчи ,</t>
        </is>
      </c>
      <c r="G663" s="109" t="inlineStr">
        <is>
          <t xml:space="preserve">FARG’ONA VILOYATI FARG’ONA TUMANI YORMOZOR MFY IPAK YO’LI KO’CHASI 131-ONADON</t>
        </is>
      </c>
      <c r="H663" s="110">
        <v>1.0</v>
      </c>
      <c r="I663" s="110">
        <v>4491149.07</v>
      </c>
      <c r="K663" s="109" t="inlineStr">
        <is>
          <t xml:space="preserve">вада берди душанба кун шотига пул тушади толов кберади | 627</t>
        </is>
      </c>
    </row>
    <row r="664">
      <c r="A664" s="109" t="inlineStr">
        <is>
          <t xml:space="preserve">ФАРГОНА ВИЛОЯТИ</t>
        </is>
      </c>
      <c r="B664" s="109" t="inlineStr">
        <is>
          <t xml:space="preserve">SUPER BRANCH</t>
        </is>
      </c>
      <c r="C664" s="109" t="inlineStr">
        <is>
          <t xml:space="preserve">Обещали</t>
        </is>
      </c>
      <c r="D664" s="109" t="inlineStr">
        <is>
          <t xml:space="preserve">Кр-99040890-1</t>
        </is>
      </c>
      <c r="E664" s="109" t="inlineStr">
        <is>
          <t xml:space="preserve">JAMOLOV ASILBEK XOLIQJON O’GLI</t>
        </is>
      </c>
      <c r="F664" s="109" t="inlineStr">
        <is>
          <t xml:space="preserve">998946588800 SMS OZI, 998990099303 SMS DOSTI, 998786494942 SMS DOSTI 2, 998706094543 SMS DOSTI 3, 998770043045 DOST TOLOVCHI ,</t>
        </is>
      </c>
      <c r="G664" s="109" t="inlineStr">
        <is>
          <t xml:space="preserve">TOSHKENT SHAHAR YASHNABOD TUMANI JARBOSHI MFY, A.SERIKBAEV (BUSH) KO’CHASI 20-UY,39-XONADON</t>
        </is>
      </c>
      <c r="H664" s="110">
        <v>6.0</v>
      </c>
      <c r="I664" s="110">
        <v>4418545.74</v>
      </c>
      <c r="K664" s="109" t="inlineStr">
        <is>
          <t xml:space="preserve">бошка мошинасини койиб залогга пул оляпти озимиздан толов кберади | 1086</t>
        </is>
      </c>
    </row>
    <row r="665">
      <c r="A665" s="109" t="inlineStr">
        <is>
          <t xml:space="preserve">ФАРГОНА ВИЛОЯТИ</t>
        </is>
      </c>
      <c r="B665" s="109" t="inlineStr">
        <is>
          <t xml:space="preserve">SUPER BRANCH</t>
        </is>
      </c>
      <c r="C665" s="109" t="inlineStr">
        <is>
          <t xml:space="preserve">Обещали</t>
        </is>
      </c>
      <c r="D665" s="109" t="inlineStr">
        <is>
          <t xml:space="preserve">Кр-99039992-1</t>
        </is>
      </c>
      <c r="E665" s="109" t="inlineStr">
        <is>
          <t xml:space="preserve">JO’RAYEVA MARXAMATOY TURG’UNOVNA</t>
        </is>
      </c>
      <c r="F665" s="109" t="inlineStr">
        <is>
          <t xml:space="preserve">998996905719 uzi, 998996029191 jiyani tolovchi , 998936979191 ugli,</t>
        </is>
      </c>
      <c r="G665" s="109" t="inlineStr">
        <is>
          <t xml:space="preserve">FARG’ONA VILOYATI UCHKO’PRIK TUMANI</t>
        </is>
      </c>
      <c r="H665" s="110">
        <v>3.0</v>
      </c>
      <c r="I665" s="110">
        <v>4020711.36</v>
      </c>
      <c r="K665" s="109" t="inlineStr">
        <is>
          <t xml:space="preserve">20 числогача йопиб беради арендатирларидан пул йигиши кере | 931</t>
        </is>
      </c>
    </row>
    <row r="666">
      <c r="A666" s="109" t="inlineStr">
        <is>
          <t xml:space="preserve">ФАРГОНА ВИЛОЯТИ</t>
        </is>
      </c>
      <c r="B666" s="109" t="inlineStr">
        <is>
          <t xml:space="preserve">SUPER BRANCH</t>
        </is>
      </c>
      <c r="C666" s="109" t="inlineStr">
        <is>
          <t xml:space="preserve">Обещали</t>
        </is>
      </c>
      <c r="D666" s="109" t="inlineStr">
        <is>
          <t xml:space="preserve">Кр-99037171-1</t>
        </is>
      </c>
      <c r="E666" s="109" t="inlineStr">
        <is>
          <t xml:space="preserve">SHARABIDINOVA NUSRATXON ISMOILOVNA</t>
        </is>
      </c>
      <c r="F666" s="109" t="inlineStr">
        <is>
          <t xml:space="preserve">998911303102 SMS OZI, 998999810228 SMS O’G’LI, 998335755717 SMS  QIZI, 998335555717 SMS NEVARASI, 998889270228 OGLI TOLOVCHI ,</t>
        </is>
      </c>
      <c r="G666" s="109" t="inlineStr">
        <is>
          <t xml:space="preserve">FARG’ONA VILOYATI FARG’ONA SHAHAR KIMYOGARLAR MFY SO’LIM KO’CHASI 11/2-UY 18-XONADON</t>
        </is>
      </c>
      <c r="H666" s="110">
        <v>1.0</v>
      </c>
      <c r="I666" s="110">
        <v>3802891.88</v>
      </c>
      <c r="K666" s="109" t="inlineStr">
        <is>
          <t xml:space="preserve">ертага узоги толов кберади кредит оляпти | 699</t>
        </is>
      </c>
    </row>
    <row r="667">
      <c r="A667" s="109" t="inlineStr">
        <is>
          <t xml:space="preserve">ФАРГОНА ВИЛОЯТИ</t>
        </is>
      </c>
      <c r="B667" s="109" t="inlineStr">
        <is>
          <t xml:space="preserve">SUPER BRANCH</t>
        </is>
      </c>
      <c r="C667" s="109" t="inlineStr">
        <is>
          <t xml:space="preserve">Оплатил дозвон</t>
        </is>
      </c>
      <c r="D667" s="109" t="inlineStr">
        <is>
          <t xml:space="preserve">Кр-99062574-1</t>
        </is>
      </c>
      <c r="E667" s="109" t="inlineStr">
        <is>
          <t xml:space="preserve">XUSANOVA ZIYODAXON IBRAGIMJANOVNA</t>
        </is>
      </c>
      <c r="F667" s="109" t="inlineStr">
        <is>
          <t xml:space="preserve">998991015479 uzi, 998991165479 qizi, 998941386867 opasi,</t>
        </is>
      </c>
      <c r="G667" s="109" t="inlineStr">
        <is>
          <t xml:space="preserve">Манзил: FARG’ONA VILOYATI QUVASOY SHAHRI  QO’CHQORCHI MFY OLTIN VODIY KO’CHASI 36-UY</t>
        </is>
      </c>
      <c r="H667" s="110">
        <v>3.0</v>
      </c>
      <c r="I667" s="110">
        <v>3087678.04</v>
      </c>
      <c r="J667" s="110">
        <v>3087678.04</v>
      </c>
      <c r="K667" s="109" t="inlineStr">
        <is>
          <t xml:space="preserve">1829</t>
        </is>
      </c>
    </row>
    <row r="668">
      <c r="A668" s="109" t="inlineStr">
        <is>
          <t xml:space="preserve">ФАРГОНА ВИЛОЯТИ</t>
        </is>
      </c>
      <c r="B668" s="109" t="inlineStr">
        <is>
          <t xml:space="preserve">SUPER BRANCH</t>
        </is>
      </c>
      <c r="C668" s="109" t="inlineStr">
        <is>
          <t xml:space="preserve">Обещали</t>
        </is>
      </c>
      <c r="D668" s="109" t="inlineStr">
        <is>
          <t xml:space="preserve">Кр-99035863-1</t>
        </is>
      </c>
      <c r="E668" s="109" t="inlineStr">
        <is>
          <t xml:space="preserve">ERGASHEV ILXOMJON XAKIMOVICH</t>
        </is>
      </c>
      <c r="F668" s="109" t="inlineStr">
        <is>
          <t xml:space="preserve">998916767655 SMS OZI, 998907831068 SMS AYOLI, 998916584356 SMS OGLI, 998907814645 SMS SHERIGI begona, 998949767655 OZI NEW ,</t>
        </is>
      </c>
      <c r="G668" s="109" t="inlineStr">
        <is>
          <t xml:space="preserve">FARG’ONA VILOYATI MARG’ILON SHAHAR YANGI XAYOT MFY S-OLLOYOR KO’CHASI 288-UY</t>
        </is>
      </c>
      <c r="H668" s="110">
        <v>2.0</v>
      </c>
      <c r="I668" s="110">
        <v>2724648.38</v>
      </c>
      <c r="K668" s="109" t="inlineStr">
        <is>
          <t xml:space="preserve">бугун йопиб беради 2 ла анкетасиниям | 619</t>
        </is>
      </c>
    </row>
    <row r="669">
      <c r="A669" s="109" t="inlineStr">
        <is>
          <t xml:space="preserve">ФАРГОНА ВИЛОЯТИ</t>
        </is>
      </c>
      <c r="B669" s="109" t="inlineStr">
        <is>
          <t xml:space="preserve">SUPER BRANCH</t>
        </is>
      </c>
      <c r="C669" s="109" t="inlineStr">
        <is>
          <t xml:space="preserve">Обещали</t>
        </is>
      </c>
      <c r="D669" s="109" t="inlineStr">
        <is>
          <t xml:space="preserve">Кр-99038932-2</t>
        </is>
      </c>
      <c r="E669" s="109" t="inlineStr">
        <is>
          <t xml:space="preserve">ABDUMO’MINOV MUHAMMADYOSIN  ZOHIDJON O’G’LI</t>
        </is>
      </c>
      <c r="F669" s="109" t="inlineStr">
        <is>
          <t xml:space="preserve">998951622377 SMS OZI, 998901622377 SMS UKASI, 998938882104 SMS AYOLI, 998904062741 SMS ONASI,</t>
        </is>
      </c>
      <c r="G669" s="109" t="inlineStr">
        <is>
          <t xml:space="preserve">FARG’ONA VILOYATI RISHTON TUMANI BUSTON MFY GULISTON KO’CHASI 65-A XONADON</t>
        </is>
      </c>
      <c r="H669" s="110">
        <v>3.0</v>
      </c>
      <c r="I669" s="110">
        <v>2481745.55</v>
      </c>
      <c r="K669" s="109" t="inlineStr">
        <is>
          <t xml:space="preserve">шанба куни толов кберади курилиш ташкилотида сотув болимида ишлиди | 806</t>
        </is>
      </c>
    </row>
    <row r="670">
      <c r="A670" s="109" t="inlineStr">
        <is>
          <t xml:space="preserve">ФАРГОНА ВИЛОЯТИ</t>
        </is>
      </c>
      <c r="B670" s="109" t="inlineStr">
        <is>
          <t xml:space="preserve">SUPER BRANCH</t>
        </is>
      </c>
      <c r="C670" s="109" t="inlineStr">
        <is>
          <t xml:space="preserve">Обещали</t>
        </is>
      </c>
      <c r="D670" s="109" t="inlineStr">
        <is>
          <t xml:space="preserve">Кр-99036269-1</t>
        </is>
      </c>
      <c r="E670" s="109" t="inlineStr">
        <is>
          <t xml:space="preserve">TASHPULATOV AVAZJON AKRAMOVICH</t>
        </is>
      </c>
      <c r="F670" s="109" t="inlineStr">
        <is>
          <t xml:space="preserve">998911256909 SMS OZI, 998916797220 SMS OTASI, 998901792328 SMS AYOLI TOLOVCHI , 998911296260 SMS ONASI, +998911256909 Primary phone from road24,</t>
        </is>
      </c>
      <c r="G670" s="109" t="inlineStr">
        <is>
          <t xml:space="preserve">FARG’ONA VILOYATI TOSHLOQ TUMANI FURKAT MFY HUNARMANTLAR KO’CHASI 26-XONADON</t>
        </is>
      </c>
      <c r="I670" s="110">
        <v>2071308.03</v>
      </c>
      <c r="K670" s="109" t="inlineStr">
        <is>
          <t xml:space="preserve">бугун битта анкетасини йопиб беради ертага 2 чисини йопиб беради | 639</t>
        </is>
      </c>
    </row>
    <row r="671">
      <c r="A671" s="109" t="inlineStr">
        <is>
          <t xml:space="preserve">ФАРГОНА ВИЛОЯТИ</t>
        </is>
      </c>
      <c r="B671" s="109" t="inlineStr">
        <is>
          <t xml:space="preserve">SUPER BRANCH</t>
        </is>
      </c>
      <c r="C671" s="109" t="inlineStr">
        <is>
          <t xml:space="preserve">Оплатил дозвон</t>
        </is>
      </c>
      <c r="D671" s="109" t="inlineStr">
        <is>
          <t xml:space="preserve">Кр-99057272-1</t>
        </is>
      </c>
      <c r="E671" s="109" t="inlineStr">
        <is>
          <t xml:space="preserve">QAYUMOV KOMILJON OBIDJONOVICH</t>
        </is>
      </c>
      <c r="F671" s="109" t="inlineStr">
        <is>
          <t xml:space="preserve">998999870715 SMS UZI, 998997870414 SMS AYOLI, 998777918272 SMS O'G'LI, 998990198272 SMS UY,</t>
        </is>
      </c>
      <c r="G671" s="109" t="inlineStr">
        <is>
          <t xml:space="preserve">FARG’ONA VILOYATI QUVASOY SHAHAR ISFAYRAMSOY MFY MIRISHKOR KO’CHASI 8 A-XONADON</t>
        </is>
      </c>
      <c r="I671" s="110">
        <v>1876302.8</v>
      </c>
      <c r="J671" s="110">
        <v>1876302.8</v>
      </c>
      <c r="K671" s="109" t="inlineStr">
        <is>
          <t xml:space="preserve">1607</t>
        </is>
      </c>
    </row>
    <row r="672">
      <c r="A672" s="109" t="inlineStr">
        <is>
          <t xml:space="preserve">ФАРГОНА ВИЛОЯТИ</t>
        </is>
      </c>
      <c r="B672" s="109" t="inlineStr">
        <is>
          <t xml:space="preserve">SUPER BRANCH</t>
        </is>
      </c>
      <c r="C672" s="109" t="inlineStr">
        <is>
          <t xml:space="preserve">Обещали</t>
        </is>
      </c>
      <c r="D672" s="109" t="inlineStr">
        <is>
          <t xml:space="preserve">Кр-99060305-1</t>
        </is>
      </c>
      <c r="E672" s="109" t="inlineStr">
        <is>
          <t xml:space="preserve">IBRAGIMOV XAYOTILLO AMRULLOXONOVICH</t>
        </is>
      </c>
      <c r="F672" s="109" t="inlineStr">
        <is>
          <t xml:space="preserve">998995826214 SMS OIZI, 998905826214 SMS AKASI, 998993956214 SMS AYOLI, 998905096010 SMS JIYANI,</t>
        </is>
      </c>
      <c r="G672" s="109" t="inlineStr">
        <is>
          <t xml:space="preserve">FARG’ONA VILOYATI TOSHLOQ TUMANI XO’JJARIQ MFY A-NAVOIY KO’CHASI 153-XONADON</t>
        </is>
      </c>
      <c r="H672" s="110">
        <v>3.0</v>
      </c>
      <c r="I672" s="110">
        <v>1261900.93</v>
      </c>
      <c r="K672" s="109" t="inlineStr">
        <is>
          <t xml:space="preserve">1739</t>
        </is>
      </c>
    </row>
    <row r="673">
      <c r="A673" s="109" t="inlineStr">
        <is>
          <t xml:space="preserve">ФАРГОНА ВИЛОЯТИ</t>
        </is>
      </c>
      <c r="B673" s="109" t="inlineStr">
        <is>
          <t xml:space="preserve">SUPER BRANCH</t>
        </is>
      </c>
      <c r="C673" s="109" t="inlineStr">
        <is>
          <t xml:space="preserve">Обещали</t>
        </is>
      </c>
      <c r="D673" s="109" t="inlineStr">
        <is>
          <t xml:space="preserve">Кр-99018324-2</t>
        </is>
      </c>
      <c r="E673" s="109" t="inlineStr">
        <is>
          <t xml:space="preserve">O’KTAMOV ABDUSALOMBEK ABDIRASHIT O’G’LI</t>
        </is>
      </c>
      <c r="F673" s="109" t="inlineStr">
        <is>
          <t xml:space="preserve">998990095139 SMS OZI buvayda xokimyatida ishlid  mutaxassis, 998994729902 SMS OMAKISI, 998770171998 SMS UKASI, 998993641727 SMS TOGASI,</t>
        </is>
      </c>
      <c r="G673" s="109" t="inlineStr">
        <is>
          <t xml:space="preserve">FARG’ONA VILOYATI BUVAYDA TUMANI QORAQUM MFY, QORAQUM QISHLOG’I 56-UY</t>
        </is>
      </c>
      <c r="H673" s="110">
        <v>3.0</v>
      </c>
      <c r="I673" s="110">
        <v>883001.11</v>
      </c>
      <c r="K673" s="109" t="inlineStr">
        <is>
          <t xml:space="preserve">бугун кечгача йопиб беради | 92</t>
        </is>
      </c>
    </row>
    <row r="674">
      <c r="A674" s="109" t="inlineStr">
        <is>
          <t xml:space="preserve">ФАРГОНА ВИЛОЯТИ</t>
        </is>
      </c>
      <c r="B674" s="109" t="inlineStr">
        <is>
          <t xml:space="preserve">SUPER BRANCH</t>
        </is>
      </c>
      <c r="C674" s="109" t="inlineStr">
        <is>
          <t xml:space="preserve">Обещали</t>
        </is>
      </c>
      <c r="D674" s="109" t="inlineStr">
        <is>
          <t xml:space="preserve">Кр-99028581-4</t>
        </is>
      </c>
      <c r="E674" s="109" t="inlineStr">
        <is>
          <t xml:space="preserve">RUSTAMOVA CHINARA ABDRAXMANOVNA</t>
        </is>
      </c>
      <c r="F674" s="109" t="inlineStr">
        <is>
          <t xml:space="preserve">93-443-38-30  SMS O'ZI, 91-396-85-25  SMS ERI , 95-110-82-02  SMS OPASI , 50-772-85-87  SMS SINGLISI ,</t>
        </is>
      </c>
      <c r="G674" s="109" t="inlineStr">
        <is>
          <t xml:space="preserve">FARG’ONA VILOYATI FARG’ONA SHAHAR KIMYOGARLAR MFY, SO’LIM KO’CHASI 11/4-UY 18-XONADON</t>
        </is>
      </c>
      <c r="H674" s="110">
        <v>3.0</v>
      </c>
      <c r="I674" s="110">
        <v>801461.06</v>
      </c>
      <c r="K674" s="109" t="inlineStr">
        <is>
          <t xml:space="preserve">276</t>
        </is>
      </c>
    </row>
    <row r="675">
      <c r="A675" s="109" t="inlineStr">
        <is>
          <t xml:space="preserve">ФАРГОНА ВИЛОЯТИ</t>
        </is>
      </c>
      <c r="B675" s="109" t="inlineStr">
        <is>
          <t xml:space="preserve">SUPER BRANCH</t>
        </is>
      </c>
      <c r="C675" s="109" t="inlineStr">
        <is>
          <t xml:space="preserve">Обещали</t>
        </is>
      </c>
      <c r="D675" s="109" t="inlineStr">
        <is>
          <t xml:space="preserve">Кр-99057360-1</t>
        </is>
      </c>
      <c r="E675" s="109" t="inlineStr">
        <is>
          <t xml:space="preserve">EGAMOVA ZULFIYAXON XUDOYBERDIYEVNA</t>
        </is>
      </c>
      <c r="F675" s="109" t="inlineStr">
        <is>
          <t xml:space="preserve">998902737386 SMS UZI, 998913259406 SMS ERI, 998997501224 SMS UY, 998905838379 SMS UKASI,</t>
        </is>
      </c>
      <c r="G675" s="109" t="inlineStr">
        <is>
          <t xml:space="preserve">FARG’ONA VILOYATI FARG’ONA TUMANI SHIFOKOR MFY SHIFOKOR KO’CHASI 1-UY 20-XONADON</t>
        </is>
      </c>
      <c r="H675" s="110">
        <v>3.0</v>
      </c>
      <c r="I675" s="110">
        <v>776298.81</v>
      </c>
      <c r="K675" s="109" t="inlineStr">
        <is>
          <t xml:space="preserve">ертага толов кберади абетлага толов кберади | 1620</t>
        </is>
      </c>
    </row>
    <row r="676">
      <c r="A676" s="109" t="inlineStr">
        <is>
          <t xml:space="preserve">ФАРГОНА ВИЛОЯТИ</t>
        </is>
      </c>
      <c r="B676" s="109" t="inlineStr">
        <is>
          <t xml:space="preserve">SUPER BRANCH</t>
        </is>
      </c>
      <c r="C676" s="109" t="inlineStr">
        <is>
          <t xml:space="preserve">Ko'tardi</t>
        </is>
      </c>
      <c r="D676" s="109" t="inlineStr">
        <is>
          <t xml:space="preserve">Кр-99039743-1</t>
        </is>
      </c>
      <c r="E676" s="109" t="inlineStr">
        <is>
          <t xml:space="preserve">SULTONOV SAIDISLOMBEK O’KTAMOVICH</t>
        </is>
      </c>
      <c r="F676" s="109" t="inlineStr">
        <is>
          <t xml:space="preserve">998774229393 SMS OZI, 998911444351 SMS QIZI, 998430521412 SMS QIZI 2,</t>
        </is>
      </c>
      <c r="G676" s="109" t="inlineStr">
        <is>
          <t xml:space="preserve">FARG’ONA VILOYATI QO’SHTEPA TUMANI OQTEPA MFY ISTIQLOL KO’CHASI 845-XONADON</t>
        </is>
      </c>
      <c r="I676" s="110">
        <v>455620.2</v>
      </c>
      <c r="K676" s="109" t="inlineStr">
        <is>
          <t xml:space="preserve">883</t>
        </is>
      </c>
    </row>
    <row r="677">
      <c r="A677" s="109" t="inlineStr">
        <is>
          <t xml:space="preserve">ФАРГОНА ВИЛОЯТИ</t>
        </is>
      </c>
      <c r="B677" s="109" t="inlineStr">
        <is>
          <t xml:space="preserve">SUPER BRANCH</t>
        </is>
      </c>
      <c r="C677" s="109" t="inlineStr">
        <is>
          <t xml:space="preserve">Оплатил дозвон</t>
        </is>
      </c>
      <c r="D677" s="109" t="inlineStr">
        <is>
          <t xml:space="preserve">Кр-99039833-1</t>
        </is>
      </c>
      <c r="E677" s="109" t="inlineStr">
        <is>
          <t xml:space="preserve">USMANOV RAXIM MUXAMEDOVICH</t>
        </is>
      </c>
      <c r="F677" s="109" t="inlineStr">
        <is>
          <t xml:space="preserve">998990409522 SMS OZI, 998900552185 SMS UKASI, 998132411102 SMS UKASI 2, 998910593282 SMS KELINI,</t>
        </is>
      </c>
      <c r="G677" s="109" t="inlineStr">
        <is>
          <t xml:space="preserve">FARG’ONA VILOYATI QO’QON SHAHAR YANGI CHORSU MFY NORBO’TABEK KO’CHASI 4-UY</t>
        </is>
      </c>
      <c r="H677" s="110">
        <v>3.0</v>
      </c>
      <c r="I677" s="110">
        <v>199392.81</v>
      </c>
      <c r="J677" s="110">
        <v>199392.81</v>
      </c>
      <c r="K677" s="109" t="inlineStr">
        <is>
          <t xml:space="preserve">ярим соатлада толов кберади | 896</t>
        </is>
      </c>
    </row>
    <row r="678">
      <c r="A678" s="111" t="inlineStr">
        <is>
          <t xml:space="preserve">ФАРГОНА ВИЛОЯТИ</t>
        </is>
      </c>
      <c r="B678" s="111" t="inlineStr">
        <is>
          <t xml:space="preserve">Самарқанд филиали</t>
        </is>
      </c>
      <c r="C678" s="111" t="inlineStr">
        <is>
          <t xml:space="preserve">Обещали</t>
        </is>
      </c>
      <c r="D678" s="111" t="inlineStr">
        <is>
          <t xml:space="preserve">Кр-99018198-6</t>
        </is>
      </c>
      <c r="E678" s="111" t="inlineStr">
        <is>
          <t xml:space="preserve">MIRZAMAXMUDOV BUNYODJON MIRSULTON-O’G’LI</t>
        </is>
      </c>
      <c r="F678" s="111" t="inlineStr">
        <is>
          <t xml:space="preserve">90-725-11-33  sms UZI , 98-276-11-33  sms UZI , 97-337-11-33  sms UY, 99-312-11-68  sms AYOLI,</t>
        </is>
      </c>
      <c r="G678" s="111" t="inlineStr">
        <is>
          <t xml:space="preserve">FARG’ONA VILOYATI DANG’ARA TUMANI TAPTIQ SAROY QISHLOG’I ISTIQBOL MAHALLASI 1-UY</t>
        </is>
      </c>
      <c r="H678" s="112">
        <v>3.0</v>
      </c>
      <c r="I678" s="112">
        <v>1839667.92</v>
      </c>
      <c r="K678" s="111" t="inlineStr">
        <is>
          <t xml:space="preserve">ертага йопилади ойлик олади | 89</t>
        </is>
      </c>
    </row>
    <row r="679">
      <c r="A679" s="113" t="inlineStr">
        <is>
          <t xml:space="preserve">ФАРГОНА ВИЛОЯТИ</t>
        </is>
      </c>
      <c r="B679" s="113" t="inlineStr">
        <is>
          <t xml:space="preserve">Фарғона филиали</t>
        </is>
      </c>
      <c r="C679" s="113" t="inlineStr">
        <is>
          <t xml:space="preserve">Ko'tardi</t>
        </is>
      </c>
      <c r="D679" s="113" t="inlineStr">
        <is>
          <t xml:space="preserve">Кр-99063859-2</t>
        </is>
      </c>
      <c r="E679" s="113" t="inlineStr">
        <is>
          <t xml:space="preserve">ERALIYEV BAXROM DJUMABAYEVICH</t>
        </is>
      </c>
      <c r="F679" s="113" t="inlineStr">
        <is>
          <t xml:space="preserve">998944940700 O’G’LI, 998946859929 O’G’LI 2, 998947540059 SMS O’ZI, 998947930100 AYOLI,</t>
        </is>
      </c>
      <c r="G679" s="113" t="inlineStr">
        <is>
          <t xml:space="preserve">FARG’ONA VILOYATI MARG’ILON SHSHAR NAVRO’Z MFY NAMUNA KO’CHASI 2-UY</t>
        </is>
      </c>
      <c r="H679" s="114">
        <v>3.0</v>
      </c>
      <c r="I679" s="114">
        <v>12848094.9</v>
      </c>
      <c r="K679" s="113" t="inlineStr">
        <is>
          <t xml:space="preserve">2212</t>
        </is>
      </c>
    </row>
    <row r="680">
      <c r="A680" s="113" t="inlineStr">
        <is>
          <t xml:space="preserve">ФАРГОНА ВИЛОЯТИ</t>
        </is>
      </c>
      <c r="B680" s="113" t="inlineStr">
        <is>
          <t xml:space="preserve">Фарғона филиали</t>
        </is>
      </c>
      <c r="C680" s="113" t="inlineStr">
        <is>
          <t xml:space="preserve">Обещали</t>
        </is>
      </c>
      <c r="D680" s="113" t="inlineStr">
        <is>
          <t xml:space="preserve">Кр-99062910-2</t>
        </is>
      </c>
      <c r="E680" s="113" t="inlineStr">
        <is>
          <t xml:space="preserve">USMANOV TULKUN TOLIPOVICH</t>
        </is>
      </c>
      <c r="F680" s="113" t="inlineStr">
        <is>
          <t xml:space="preserve">998900409693 O’G’LI, 998902725478 JIYANI, 998916813005 SMS O’ZI, 998998090602 O’G’LI,</t>
        </is>
      </c>
      <c r="G680" s="113" t="inlineStr">
        <is>
          <t xml:space="preserve">FARG’ONA VILOYATI QO’SHTEPA TUMANI BALANDMASJID MFY NAVRO’Z KO’CHASI 454-UY</t>
        </is>
      </c>
      <c r="H680" s="114">
        <v>3.0</v>
      </c>
      <c r="I680" s="114">
        <v>9694311.04</v>
      </c>
      <c r="K680" s="113" t="inlineStr">
        <is>
          <t xml:space="preserve">1942</t>
        </is>
      </c>
    </row>
    <row r="681">
      <c r="A681" s="113" t="inlineStr">
        <is>
          <t xml:space="preserve">ФАРГОНА ВИЛОЯТИ</t>
        </is>
      </c>
      <c r="B681" s="113" t="inlineStr">
        <is>
          <t xml:space="preserve">Фарғона филиали</t>
        </is>
      </c>
      <c r="C681" s="113" t="inlineStr">
        <is>
          <t xml:space="preserve">Ko'tardi</t>
        </is>
      </c>
      <c r="D681" s="113" t="inlineStr">
        <is>
          <t xml:space="preserve">Кр-99063858-1</t>
        </is>
      </c>
      <c r="E681" s="113" t="inlineStr">
        <is>
          <t xml:space="preserve">JOROYEVA YULDUZXON MIRZAYEVNA</t>
        </is>
      </c>
      <c r="F681" s="113" t="inlineStr">
        <is>
          <t xml:space="preserve">+998902325971 SMS O’ZI, 998916713625 UY, 998916732112 O’G’LI, 998934837717 ERI,</t>
        </is>
      </c>
      <c r="G681" s="113" t="inlineStr">
        <is>
          <t xml:space="preserve">FARG’ONA VILOYATI FARG’ONA SHAHAR SHAKARQISHLOQ MFY BERUNIY KO’CHASI 25 A UY</t>
        </is>
      </c>
      <c r="H681" s="114">
        <v>3.0</v>
      </c>
      <c r="I681" s="114">
        <v>8101742.27</v>
      </c>
      <c r="K681" s="113" t="inlineStr">
        <is>
          <t xml:space="preserve">2211</t>
        </is>
      </c>
    </row>
    <row r="682">
      <c r="A682" s="113" t="inlineStr">
        <is>
          <t xml:space="preserve">ФАРГОНА ВИЛОЯТИ</t>
        </is>
      </c>
      <c r="B682" s="113" t="inlineStr">
        <is>
          <t xml:space="preserve">Фарғона филиали</t>
        </is>
      </c>
      <c r="C682" s="113" t="inlineStr">
        <is>
          <t xml:space="preserve">Обещали</t>
        </is>
      </c>
      <c r="D682" s="113" t="inlineStr">
        <is>
          <t xml:space="preserve">Кр-99040707-1</t>
        </is>
      </c>
      <c r="E682" s="113" t="inlineStr">
        <is>
          <t xml:space="preserve">KABILOVA DILOBA XAKIMOVNA</t>
        </is>
      </c>
      <c r="F682" s="113" t="inlineStr">
        <is>
          <t xml:space="preserve">+998999902233 SMS O’ZI, 998916716784 ERI, 998978828881 O’G’LI 2, 998988887881 O’G’LI,</t>
        </is>
      </c>
      <c r="G682" s="113" t="inlineStr">
        <is>
          <t xml:space="preserve">FARG’ONA VILOYATI FARG’ONA SHAHAR OYBEK MFY P.MAXMUD KO’CHASI 63-XONADON</t>
        </is>
      </c>
      <c r="H682" s="114">
        <v>3.0</v>
      </c>
      <c r="I682" s="114">
        <v>7832706.55</v>
      </c>
      <c r="K682" s="113" t="inlineStr">
        <is>
          <t xml:space="preserve">1065</t>
        </is>
      </c>
    </row>
    <row r="683">
      <c r="A683" s="113" t="inlineStr">
        <is>
          <t xml:space="preserve">ФАРГОНА ВИЛОЯТИ</t>
        </is>
      </c>
      <c r="B683" s="113" t="inlineStr">
        <is>
          <t xml:space="preserve">Фарғона филиали</t>
        </is>
      </c>
      <c r="C683" s="113" t="inlineStr">
        <is>
          <t xml:space="preserve">Ko'tardi</t>
        </is>
      </c>
      <c r="D683" s="113" t="inlineStr">
        <is>
          <t xml:space="preserve">Кр-99064304-1</t>
        </is>
      </c>
      <c r="E683" s="113" t="inlineStr">
        <is>
          <t xml:space="preserve">EMINDJONOVA MUAZZAM MUXTAROVNA</t>
        </is>
      </c>
      <c r="F683" s="113" t="inlineStr">
        <is>
          <t xml:space="preserve">998906322326 NEVARASI, 998906333704 O’G’LI, 998907758929 SMS O’ZI, 998913267141 O’G’LI,</t>
        </is>
      </c>
      <c r="G683" s="113" t="inlineStr">
        <is>
          <t xml:space="preserve">FARG’ONA VILOYATI FARG’ONA SHAHAR HAMKORLIK MFY NEFCHILAR KO’CHASI 33-UY 12-XONADON</t>
        </is>
      </c>
      <c r="H683" s="114">
        <v>3.0</v>
      </c>
      <c r="I683" s="114">
        <v>6822031.0</v>
      </c>
      <c r="K683" s="113" t="inlineStr">
        <is>
          <t xml:space="preserve">2335</t>
        </is>
      </c>
    </row>
    <row r="684">
      <c r="A684" s="113" t="inlineStr">
        <is>
          <t xml:space="preserve">ФАРГОНА ВИЛОЯТИ</t>
        </is>
      </c>
      <c r="B684" s="113" t="inlineStr">
        <is>
          <t xml:space="preserve">Фарғона филиали</t>
        </is>
      </c>
      <c r="C684" s="113" t="inlineStr">
        <is>
          <t xml:space="preserve">Обещали</t>
        </is>
      </c>
      <c r="D684" s="113" t="inlineStr">
        <is>
          <t xml:space="preserve">Кр-99038770-2</t>
        </is>
      </c>
      <c r="E684" s="113" t="inlineStr">
        <is>
          <t xml:space="preserve">XAYITOV MUXIDDIN DILSHODJONOVICH</t>
        </is>
      </c>
      <c r="F684" s="113" t="inlineStr">
        <is>
          <t xml:space="preserve">998949934000 SMS OZI, 998945688683 SMS OZI 2, 998505767908 SMS OGLI, 998950288992 UKASI TOLOVCHI , +998949934000 SMS O’ZI,</t>
        </is>
      </c>
      <c r="G684" s="113" t="inlineStr">
        <is>
          <t xml:space="preserve">FARG’ONA VILOYATI O’ZBEKISTON TUMANI KICHIK TAGOB MFY YOSHLAR KO’CHASI 112-XONADON</t>
        </is>
      </c>
      <c r="H684" s="114">
        <v>3.0</v>
      </c>
      <c r="I684" s="114">
        <v>5728627.36</v>
      </c>
      <c r="K684" s="113" t="inlineStr">
        <is>
          <t xml:space="preserve">797</t>
        </is>
      </c>
    </row>
    <row r="685">
      <c r="A685" s="113" t="inlineStr">
        <is>
          <t xml:space="preserve">ФАРГОНА ВИЛОЯТИ</t>
        </is>
      </c>
      <c r="B685" s="113" t="inlineStr">
        <is>
          <t xml:space="preserve">Фарғона филиали</t>
        </is>
      </c>
      <c r="C685" s="113" t="inlineStr">
        <is>
          <t xml:space="preserve">Обещали</t>
        </is>
      </c>
      <c r="D685" s="113" t="inlineStr">
        <is>
          <t xml:space="preserve">Кр-99042673-1</t>
        </is>
      </c>
      <c r="E685" s="113" t="inlineStr">
        <is>
          <t xml:space="preserve">UMURZAKOVA MUNIRA BAXTIYAROVNA</t>
        </is>
      </c>
      <c r="F685" s="113" t="inlineStr">
        <is>
          <t xml:space="preserve">+998951500250 SMS O’ZI, 998916501497 O’G’LI 2, 998936499485 O’G’LI, 998972050027 UY,</t>
        </is>
      </c>
      <c r="G685" s="113" t="inlineStr">
        <is>
          <t xml:space="preserve">FARG’ONA VILOYATI QO’SHTEPA TUMANI QAMISHTEPA MFY SERQO’YOSH KO’CHASI 90-XONADON</t>
        </is>
      </c>
      <c r="H685" s="114">
        <v>3.0</v>
      </c>
      <c r="I685" s="114">
        <v>5644893.44</v>
      </c>
      <c r="K685" s="113" t="inlineStr">
        <is>
          <t xml:space="preserve">1258</t>
        </is>
      </c>
    </row>
    <row r="686">
      <c r="A686" s="113" t="inlineStr">
        <is>
          <t xml:space="preserve">ФАРГОНА ВИЛОЯТИ</t>
        </is>
      </c>
      <c r="B686" s="113" t="inlineStr">
        <is>
          <t xml:space="preserve">Фарғона филиали</t>
        </is>
      </c>
      <c r="C686" s="113" t="inlineStr">
        <is>
          <t xml:space="preserve">Ko'tardi</t>
        </is>
      </c>
      <c r="D686" s="113" t="inlineStr">
        <is>
          <t xml:space="preserve">Кр-99064005-1</t>
        </is>
      </c>
      <c r="E686" s="113" t="inlineStr">
        <is>
          <t xml:space="preserve">RAXIMOV XURMATILLO SOTKINOVICH</t>
        </is>
      </c>
      <c r="F686" s="113" t="inlineStr">
        <is>
          <t xml:space="preserve">+998947706633 SMS O’ZI, 998505405414 QIZI, 998916542511 KELINI, 998998841672 QIZI 2,</t>
        </is>
      </c>
      <c r="G686" s="113" t="inlineStr">
        <is>
          <t xml:space="preserve">FARG’ONA VILOYATI FARG’ONA TUMANI DILKUSHO MFY YANGI MARG’ILON KO’CHASI 40-UY</t>
        </is>
      </c>
      <c r="H686" s="114">
        <v>3.0</v>
      </c>
      <c r="I686" s="114">
        <v>5590243.33</v>
      </c>
      <c r="K686" s="113" t="inlineStr">
        <is>
          <t xml:space="preserve">2262</t>
        </is>
      </c>
    </row>
    <row r="687">
      <c r="A687" s="113" t="inlineStr">
        <is>
          <t xml:space="preserve">ФАРГОНА ВИЛОЯТИ</t>
        </is>
      </c>
      <c r="B687" s="113" t="inlineStr">
        <is>
          <t xml:space="preserve">Фарғона филиали</t>
        </is>
      </c>
      <c r="C687" s="113" t="inlineStr">
        <is>
          <t xml:space="preserve">Ko'tardi</t>
        </is>
      </c>
      <c r="D687" s="113" t="inlineStr">
        <is>
          <t xml:space="preserve">Кр-99064240-1</t>
        </is>
      </c>
      <c r="E687" s="113" t="inlineStr">
        <is>
          <t xml:space="preserve">SAIBNAZAROVA TAMARA TALABOVNA</t>
        </is>
      </c>
      <c r="F687" s="113" t="inlineStr">
        <is>
          <t xml:space="preserve">998500099317 QIZI, 998910450805 O’G’LI, 998934807654 SMS O’ZI, 998954361697 KELINI,</t>
        </is>
      </c>
      <c r="G687" s="113" t="inlineStr">
        <is>
          <t xml:space="preserve">FARG’ONA VILOYATI FARG’ONA SHAHAR IFTIXOR MFY S.TEMUR KO’CHASI 77 A-UY 34-XONADON</t>
        </is>
      </c>
      <c r="H687" s="114">
        <v>3.0</v>
      </c>
      <c r="I687" s="114">
        <v>5437941.0</v>
      </c>
      <c r="K687" s="113" t="inlineStr">
        <is>
          <t xml:space="preserve">2321</t>
        </is>
      </c>
    </row>
    <row r="688">
      <c r="A688" s="113" t="inlineStr">
        <is>
          <t xml:space="preserve">ФАРГОНА ВИЛОЯТИ</t>
        </is>
      </c>
      <c r="B688" s="113" t="inlineStr">
        <is>
          <t xml:space="preserve">Фарғона филиали</t>
        </is>
      </c>
      <c r="C688" s="113" t="inlineStr">
        <is>
          <t xml:space="preserve">Ko'tardi</t>
        </is>
      </c>
      <c r="D688" s="113" t="inlineStr">
        <is>
          <t xml:space="preserve">Кр-99041300-1</t>
        </is>
      </c>
      <c r="E688" s="113" t="inlineStr">
        <is>
          <t xml:space="preserve">RAXMONOV ELDORBEK IFTIXORJON O’G’LI</t>
        </is>
      </c>
      <c r="F688" s="113" t="inlineStr">
        <is>
          <t xml:space="preserve">+998906283573 O’ZI, 998911170209 AKASI, 998952250504 DADASI BEGONA, 998959681278 ONASI,</t>
        </is>
      </c>
      <c r="G688" s="113" t="inlineStr">
        <is>
          <t xml:space="preserve">Ферганская область, Фуркатский район, Хайит МСГ, киш. Доғистон, дом 26</t>
        </is>
      </c>
      <c r="H688" s="114">
        <v>3.0</v>
      </c>
      <c r="I688" s="114">
        <v>5298488.61</v>
      </c>
      <c r="K688" s="113" t="inlineStr">
        <is>
          <t xml:space="preserve">1139</t>
        </is>
      </c>
    </row>
    <row r="689">
      <c r="A689" s="113" t="inlineStr">
        <is>
          <t xml:space="preserve">ФАРГОНА ВИЛОЯТИ</t>
        </is>
      </c>
      <c r="B689" s="113" t="inlineStr">
        <is>
          <t xml:space="preserve">Фарғона филиали</t>
        </is>
      </c>
      <c r="C689" s="113" t="inlineStr">
        <is>
          <t xml:space="preserve">Обещали</t>
        </is>
      </c>
      <c r="D689" s="113" t="inlineStr">
        <is>
          <t xml:space="preserve">Кр-99063971-1</t>
        </is>
      </c>
      <c r="E689" s="113" t="inlineStr">
        <is>
          <t xml:space="preserve">ISMOILOV DAVLATJON GAYBILLAJONOVICH</t>
        </is>
      </c>
      <c r="F689" s="113" t="inlineStr">
        <is>
          <t xml:space="preserve">+998916693159 SMS O’ZI, 998905820147 AYOLI, 998906693159 UY, 998911171378 ONASI,</t>
        </is>
      </c>
      <c r="G689" s="113" t="inlineStr">
        <is>
          <t xml:space="preserve">FARG’ONA VILOYATI FARG’ONA TUMANI SHOHIMARDONOBOD MFY NURONIYLAR KO’CHASI 9-UY</t>
        </is>
      </c>
      <c r="H689" s="114">
        <v>3.0</v>
      </c>
      <c r="I689" s="114">
        <v>5004875.63</v>
      </c>
      <c r="K689" s="113" t="inlineStr">
        <is>
          <t xml:space="preserve">2250</t>
        </is>
      </c>
    </row>
    <row r="690">
      <c r="A690" s="113" t="inlineStr">
        <is>
          <t xml:space="preserve">ФАРГОНА ВИЛОЯТИ</t>
        </is>
      </c>
      <c r="B690" s="113" t="inlineStr">
        <is>
          <t xml:space="preserve">Фарғона филиали</t>
        </is>
      </c>
      <c r="C690" s="113" t="inlineStr">
        <is>
          <t xml:space="preserve">Обещали</t>
        </is>
      </c>
      <c r="D690" s="113" t="inlineStr">
        <is>
          <t xml:space="preserve">Кр-99028113-4</t>
        </is>
      </c>
      <c r="E690" s="113" t="inlineStr">
        <is>
          <t xml:space="preserve">KARABAYEV ADXAMJON GULAMJONOVICH</t>
        </is>
      </c>
      <c r="F690" s="113" t="inlineStr">
        <is>
          <t xml:space="preserve">90-776-81-71 SMS OZI , 90-776-81-71  SMS ONASI , 97-475-99-40 SMS UKASI (БЕГОНА), 93-970-00-31 SMS XOLASI ,</t>
        </is>
      </c>
      <c r="G690" s="113" t="inlineStr">
        <is>
          <t xml:space="preserve">FARG’ONA VILOYATI FARG’ONA SHAHAR DO’SLIK MFY ALISHER NAVOIY SHOX KO’CHASI 47 B-UY 42-XONADON</t>
        </is>
      </c>
      <c r="H690" s="114">
        <v>3.0</v>
      </c>
      <c r="I690" s="114">
        <v>5002584.29</v>
      </c>
      <c r="K690" s="113" t="inlineStr">
        <is>
          <t xml:space="preserve">261</t>
        </is>
      </c>
    </row>
    <row r="691">
      <c r="A691" s="113" t="inlineStr">
        <is>
          <t xml:space="preserve">ФАРГОНА ВИЛОЯТИ</t>
        </is>
      </c>
      <c r="B691" s="113" t="inlineStr">
        <is>
          <t xml:space="preserve">Фарғона филиали</t>
        </is>
      </c>
      <c r="C691" s="113" t="inlineStr">
        <is>
          <t xml:space="preserve">Обещали</t>
        </is>
      </c>
      <c r="D691" s="113" t="inlineStr">
        <is>
          <t xml:space="preserve">Кр-99034161-1</t>
        </is>
      </c>
      <c r="E691" s="113" t="inlineStr">
        <is>
          <t xml:space="preserve">G’OFUROV KOMILJON TOLIBJONOVICH</t>
        </is>
      </c>
      <c r="F691" s="113" t="inlineStr">
        <is>
          <t xml:space="preserve">998902912907 SMS Ozi, 998937248207 SMS Ayoli , 998937278207 SMS Ayoli , 998507770652  qizi tolovchi , 998947963335 UZI NEWWW,</t>
        </is>
      </c>
      <c r="G691" s="113" t="inlineStr">
        <is>
          <t xml:space="preserve">FARG’ONA VILOYATI BOG’DOD TUMANI BEKOBOD MFY XUMO KO’CHASI 118-XONADON</t>
        </is>
      </c>
      <c r="H691" s="114">
        <v>3.0</v>
      </c>
      <c r="I691" s="114">
        <v>4934894.95</v>
      </c>
      <c r="K691" s="113" t="inlineStr">
        <is>
          <t xml:space="preserve">кисман кисман киилб толов кберади | 520</t>
        </is>
      </c>
    </row>
    <row r="692">
      <c r="A692" s="113" t="inlineStr">
        <is>
          <t xml:space="preserve">ФАРГОНА ВИЛОЯТИ</t>
        </is>
      </c>
      <c r="B692" s="113" t="inlineStr">
        <is>
          <t xml:space="preserve">Фарғона филиали</t>
        </is>
      </c>
      <c r="C692" s="113" t="inlineStr">
        <is>
          <t xml:space="preserve">Обещали</t>
        </is>
      </c>
      <c r="D692" s="113" t="inlineStr">
        <is>
          <t xml:space="preserve">Кр-99064162-1</t>
        </is>
      </c>
      <c r="E692" s="113" t="inlineStr">
        <is>
          <t xml:space="preserve">SHAROBIDINOVA GULBAXOR TURSINBOYEVNA</t>
        </is>
      </c>
      <c r="F692" s="113" t="inlineStr">
        <is>
          <t xml:space="preserve">998705123939 UY, 998901137766 UKASI, 998995593553 SMS O’ZI,</t>
        </is>
      </c>
      <c r="G692" s="113" t="inlineStr">
        <is>
          <t xml:space="preserve">FARG’ONA VILOYATI FARG’ONA SHAHAR ISTIQBOL MFY SO’LIM KO’CHASI 23/2-UY 15-XONADON</t>
        </is>
      </c>
      <c r="H692" s="114">
        <v>3.0</v>
      </c>
      <c r="I692" s="114">
        <v>4728196.0</v>
      </c>
      <c r="K692" s="113" t="inlineStr">
        <is>
          <t xml:space="preserve">ертага толов кберади бич пулларини йигяпти бозордан | 2301</t>
        </is>
      </c>
    </row>
    <row r="693">
      <c r="A693" s="113" t="inlineStr">
        <is>
          <t xml:space="preserve">ФАРГОНА ВИЛОЯТИ</t>
        </is>
      </c>
      <c r="B693" s="113" t="inlineStr">
        <is>
          <t xml:space="preserve">Фарғона филиали</t>
        </is>
      </c>
      <c r="C693" s="113" t="inlineStr">
        <is>
          <t xml:space="preserve">Оплатил дозвон</t>
        </is>
      </c>
      <c r="D693" s="113" t="inlineStr">
        <is>
          <t xml:space="preserve">Кр-99044631-3</t>
        </is>
      </c>
      <c r="E693" s="113" t="inlineStr">
        <is>
          <t xml:space="preserve">XAMIDOVA NAFISAXON XUSNIDDIN QIZI</t>
        </is>
      </c>
      <c r="F693" s="113" t="inlineStr">
        <is>
          <t xml:space="preserve">+998700283633 SMS O’ZI, 998774246212 ONASI, 998916516081 UKASI, 998992267314 ERI,</t>
        </is>
      </c>
      <c r="G693" s="113" t="inlineStr">
        <is>
          <t xml:space="preserve">FARG’ONA VILOYATI MARG’ILON SHAHAR CHILONZOR MFY TINCHILIK 181-UY 20-XONADON</t>
        </is>
      </c>
      <c r="H693" s="114">
        <v>3.0</v>
      </c>
      <c r="I693" s="114">
        <v>4512610.73</v>
      </c>
      <c r="J693" s="114">
        <v>4512610.73</v>
      </c>
      <c r="K693" s="113" t="inlineStr">
        <is>
          <t xml:space="preserve">1313</t>
        </is>
      </c>
    </row>
    <row r="694">
      <c r="A694" s="113" t="inlineStr">
        <is>
          <t xml:space="preserve">ФАРГОНА ВИЛОЯТИ</t>
        </is>
      </c>
      <c r="B694" s="113" t="inlineStr">
        <is>
          <t xml:space="preserve">Фарғона филиали</t>
        </is>
      </c>
      <c r="C694" s="113" t="inlineStr">
        <is>
          <t xml:space="preserve">Обещали</t>
        </is>
      </c>
      <c r="D694" s="113" t="inlineStr">
        <is>
          <t xml:space="preserve">Кр-99033385-2</t>
        </is>
      </c>
      <c r="E694" s="113" t="inlineStr">
        <is>
          <t xml:space="preserve">TOSHTEMIROV ULUG’JON NEMATJONOVICH</t>
        </is>
      </c>
      <c r="F694" s="113" t="inlineStr">
        <is>
          <t xml:space="preserve">998773017761 SMS O’ZI, 998907862235 SMS AYOLI, 998773072180 SMS O’G’LI, 998916537761 SMS AKASI, 998910429049 кизи,</t>
        </is>
      </c>
      <c r="G694" s="113" t="inlineStr">
        <is>
          <t xml:space="preserve">FARG'ONA VILOYATI FARG'ONA SHAXAR XO'JAMAG'IZ MFY ULUG'VOR KO'CHASI 528-UY</t>
        </is>
      </c>
      <c r="H694" s="114">
        <v>3.0</v>
      </c>
      <c r="I694" s="114">
        <v>4409351.72</v>
      </c>
      <c r="K694" s="113" t="inlineStr">
        <is>
          <t xml:space="preserve">488</t>
        </is>
      </c>
    </row>
    <row r="695">
      <c r="A695" s="113" t="inlineStr">
        <is>
          <t xml:space="preserve">ФАРГОНА ВИЛОЯТИ</t>
        </is>
      </c>
      <c r="B695" s="113" t="inlineStr">
        <is>
          <t xml:space="preserve">Фарғона филиали</t>
        </is>
      </c>
      <c r="C695" s="113" t="inlineStr">
        <is>
          <t xml:space="preserve">Ko'tardi</t>
        </is>
      </c>
      <c r="D695" s="113" t="inlineStr">
        <is>
          <t xml:space="preserve">Кр-99058090-3</t>
        </is>
      </c>
      <c r="E695" s="113" t="inlineStr">
        <is>
          <t xml:space="preserve">YUNUSOVA UMIDA OBIDJON QIZI</t>
        </is>
      </c>
      <c r="F695" s="113" t="inlineStr">
        <is>
          <t xml:space="preserve">998902900988 SMS OZI, 998916681988 SMS QIZI, 998910402015 SMS OGL, 998905812051 SMS OANSI,</t>
        </is>
      </c>
      <c r="G695" s="113" t="inlineStr">
        <is>
          <t xml:space="preserve">FARG’ONA VILOYATI FARG’ONA SHAHAR O’ZBEKISTON MFY A-QODIRIY KO’CHASI 148-UY 26-XONADON</t>
        </is>
      </c>
      <c r="H695" s="114">
        <v>3.0</v>
      </c>
      <c r="I695" s="114">
        <v>4303147.12</v>
      </c>
      <c r="K695" s="113" t="inlineStr">
        <is>
          <t xml:space="preserve">1674</t>
        </is>
      </c>
    </row>
    <row r="696">
      <c r="A696" s="113" t="inlineStr">
        <is>
          <t xml:space="preserve">ФАРГОНА ВИЛОЯТИ</t>
        </is>
      </c>
      <c r="B696" s="113" t="inlineStr">
        <is>
          <t xml:space="preserve">Фарғона филиали</t>
        </is>
      </c>
      <c r="C696" s="113" t="inlineStr">
        <is>
          <t xml:space="preserve">Ko'tardi</t>
        </is>
      </c>
      <c r="D696" s="113" t="inlineStr">
        <is>
          <t xml:space="preserve">Кр-99062830-1</t>
        </is>
      </c>
      <c r="E696" s="113" t="inlineStr">
        <is>
          <t xml:space="preserve">CHUYANOV AXRORJON A’ZAMOVICH</t>
        </is>
      </c>
      <c r="F696" s="113" t="inlineStr">
        <is>
          <t xml:space="preserve">+998911249487 SMS O’ZI, 998901649487 AYOLI, 998903955544 JIYANI, 998976630791 UKASI,</t>
        </is>
      </c>
      <c r="G696" s="113" t="inlineStr">
        <is>
          <t xml:space="preserve">FARG’ONA VILOYATI OLTIARIQ TUMANI OQ OLTIN MFY NAQISHBANDIY KO’CHASI 62-UY</t>
        </is>
      </c>
      <c r="H696" s="114">
        <v>3.0</v>
      </c>
      <c r="I696" s="114">
        <v>4237749.63</v>
      </c>
      <c r="K696" s="113" t="inlineStr">
        <is>
          <t xml:space="preserve">1909</t>
        </is>
      </c>
    </row>
    <row r="697">
      <c r="A697" s="113" t="inlineStr">
        <is>
          <t xml:space="preserve">ФАРГОНА ВИЛОЯТИ</t>
        </is>
      </c>
      <c r="B697" s="113" t="inlineStr">
        <is>
          <t xml:space="preserve">Фарғона филиали</t>
        </is>
      </c>
      <c r="C697" s="113" t="inlineStr">
        <is>
          <t xml:space="preserve">Оплатил дозвон</t>
        </is>
      </c>
      <c r="D697" s="113" t="inlineStr">
        <is>
          <t xml:space="preserve">Кр-99041498-1</t>
        </is>
      </c>
      <c r="E697" s="113" t="inlineStr">
        <is>
          <t xml:space="preserve">XAMZAYEVA MUKARRAMXON GANIXONOVNA</t>
        </is>
      </c>
      <c r="F697" s="113" t="inlineStr">
        <is>
          <t xml:space="preserve">+998914524444 SMS O’ZI 2 begana, 998903005488 SMS O’ZI, 998907794977 ERI, 998954747111 O’G’LI,</t>
        </is>
      </c>
      <c r="G697" s="113" t="inlineStr">
        <is>
          <t xml:space="preserve">ХУЖАРИК МФЙ, Ж.МАНГУБЕРДИ КЎЧАСИ,  uy:,</t>
        </is>
      </c>
      <c r="H697" s="114">
        <v>3.0</v>
      </c>
      <c r="I697" s="114">
        <v>3953180.14</v>
      </c>
      <c r="J697" s="114">
        <v>3953180.14</v>
      </c>
      <c r="K697" s="113" t="inlineStr">
        <is>
          <t xml:space="preserve">1175</t>
        </is>
      </c>
    </row>
    <row r="698">
      <c r="A698" s="113" t="inlineStr">
        <is>
          <t xml:space="preserve">ФАРГОНА ВИЛОЯТИ</t>
        </is>
      </c>
      <c r="B698" s="113" t="inlineStr">
        <is>
          <t xml:space="preserve">Фарғона филиали</t>
        </is>
      </c>
      <c r="C698" s="113" t="inlineStr">
        <is>
          <t xml:space="preserve">Оплатил дозвон</t>
        </is>
      </c>
      <c r="D698" s="113" t="inlineStr">
        <is>
          <t xml:space="preserve">Кр-99048148-2</t>
        </is>
      </c>
      <c r="E698" s="113" t="inlineStr">
        <is>
          <t xml:space="preserve">XAMIDOVA TAVAKALXON ISAYEVNA</t>
        </is>
      </c>
      <c r="F698" s="113" t="inlineStr">
        <is>
          <t xml:space="preserve">998882102992 QIZI, 998887728808 O’G’LI 2, 998888112992 SMS O’ZI, 998997615500 O’G’LI,</t>
        </is>
      </c>
      <c r="G698" s="113" t="inlineStr">
        <is>
          <t xml:space="preserve">FARG’ONA VILOYATI FARG’ONA SHAHAR OQARIQ MFY OQARIQ KO’CHASI 311 A-UY</t>
        </is>
      </c>
      <c r="H698" s="114">
        <v>3.0</v>
      </c>
      <c r="I698" s="114">
        <v>3943330.88</v>
      </c>
      <c r="J698" s="114">
        <v>3943330.88</v>
      </c>
      <c r="K698" s="113" t="inlineStr">
        <is>
          <t xml:space="preserve">1406</t>
        </is>
      </c>
    </row>
    <row r="699">
      <c r="A699" s="113" t="inlineStr">
        <is>
          <t xml:space="preserve">ФАРГОНА ВИЛОЯТИ</t>
        </is>
      </c>
      <c r="B699" s="113" t="inlineStr">
        <is>
          <t xml:space="preserve">Фарғона филиали</t>
        </is>
      </c>
      <c r="C699" s="113" t="inlineStr">
        <is>
          <t xml:space="preserve">Обещали</t>
        </is>
      </c>
      <c r="D699" s="113" t="inlineStr">
        <is>
          <t xml:space="preserve">Кр-99064355-2</t>
        </is>
      </c>
      <c r="E699" s="113" t="inlineStr">
        <is>
          <t xml:space="preserve">ORTIKOV JAXONGIR ORIPJONOVICH</t>
        </is>
      </c>
      <c r="F699" s="113" t="inlineStr">
        <is>
          <t xml:space="preserve">998905807722 UY, 998911297987 ONASI, 998941457464 SMS O’ZI, 998947257722 AYOLI,</t>
        </is>
      </c>
      <c r="G699" s="113" t="inlineStr">
        <is>
          <t xml:space="preserve">FARG’ONA VILOYATI QUVA TUMANI NAMUNA MFY PAXTAOBOD KO’CHASI 78-UY</t>
        </is>
      </c>
      <c r="H699" s="114">
        <v>3.0</v>
      </c>
      <c r="I699" s="114">
        <v>3638013.0</v>
      </c>
      <c r="K699" s="113" t="inlineStr">
        <is>
          <t xml:space="preserve">ертага абетга йопиб беради молини сотган пулини олади | 2347</t>
        </is>
      </c>
    </row>
    <row r="700">
      <c r="A700" s="113" t="inlineStr">
        <is>
          <t xml:space="preserve">ФАРГОНА ВИЛОЯТИ</t>
        </is>
      </c>
      <c r="B700" s="113" t="inlineStr">
        <is>
          <t xml:space="preserve">Фарғона филиали</t>
        </is>
      </c>
      <c r="C700" s="113" t="inlineStr">
        <is>
          <t xml:space="preserve">Обещали</t>
        </is>
      </c>
      <c r="D700" s="113" t="inlineStr">
        <is>
          <t xml:space="preserve">Кр-99039366-1</t>
        </is>
      </c>
      <c r="E700" s="113" t="inlineStr">
        <is>
          <t xml:space="preserve">JURAYEV INOMJON G’ULOMOVICH</t>
        </is>
      </c>
      <c r="F700" s="113" t="inlineStr">
        <is>
          <t xml:space="preserve">998912080108 QIZI, 998940740752 SMS O’ZI, 998949202737 QIZI 2, 998997546688 NABIRASI,</t>
        </is>
      </c>
      <c r="G700" s="113" t="inlineStr">
        <is>
          <t xml:space="preserve">FARG’ONA VILOYATI BUVAYDA TUMANI POSHSHOPIRIM MFY MUSTAQILLIK KO’CHASI 72-UY</t>
        </is>
      </c>
      <c r="H700" s="114">
        <v>3.0</v>
      </c>
      <c r="I700" s="114">
        <v>3149029.69</v>
      </c>
      <c r="K700" s="113" t="inlineStr">
        <is>
          <t xml:space="preserve">ертага йопиб беради | 851</t>
        </is>
      </c>
    </row>
    <row r="701">
      <c r="A701" s="113" t="inlineStr">
        <is>
          <t xml:space="preserve">ФАРГОНА ВИЛОЯТИ</t>
        </is>
      </c>
      <c r="B701" s="113" t="inlineStr">
        <is>
          <t xml:space="preserve">Фарғона филиали</t>
        </is>
      </c>
      <c r="C701" s="113" t="inlineStr">
        <is>
          <t xml:space="preserve">Обещали</t>
        </is>
      </c>
      <c r="D701" s="113" t="inlineStr">
        <is>
          <t xml:space="preserve">Кр-99064166-1</t>
        </is>
      </c>
      <c r="E701" s="113" t="inlineStr">
        <is>
          <t xml:space="preserve">QADIROV XATAMTOY AZIMOVICH</t>
        </is>
      </c>
      <c r="F701" s="113" t="inlineStr">
        <is>
          <t xml:space="preserve">998902903697 QIZI, 998906312893 AYOLI, 998911090860 SMS O’ZI, 998946122900 O’G’LI,</t>
        </is>
      </c>
      <c r="G701" s="113" t="inlineStr">
        <is>
          <t xml:space="preserve">FARG’ONA VILOYATI FARG’ONA TUMANI TOSHQO’RG’ONI MFY HAMKORLIK KO’CHASI 16-UY</t>
        </is>
      </c>
      <c r="H701" s="114">
        <v>3.0</v>
      </c>
      <c r="I701" s="114">
        <v>3134116.8</v>
      </c>
      <c r="K701" s="113" t="inlineStr">
        <is>
          <t xml:space="preserve">2303</t>
        </is>
      </c>
    </row>
    <row r="702">
      <c r="A702" s="113" t="inlineStr">
        <is>
          <t xml:space="preserve">ФАРГОНА ВИЛОЯТИ</t>
        </is>
      </c>
      <c r="B702" s="113" t="inlineStr">
        <is>
          <t xml:space="preserve">Фарғона филиали</t>
        </is>
      </c>
      <c r="C702" s="113" t="inlineStr">
        <is>
          <t xml:space="preserve">Ko'tardi</t>
        </is>
      </c>
      <c r="D702" s="113" t="inlineStr">
        <is>
          <t xml:space="preserve">Кр-99064458-2</t>
        </is>
      </c>
      <c r="E702" s="113" t="inlineStr">
        <is>
          <t xml:space="preserve">OTABOYEV AZIZJON ANVARJONOVICH</t>
        </is>
      </c>
      <c r="F702" s="113" t="inlineStr">
        <is>
          <t xml:space="preserve">998501778184 JIYANI, 998931585860 ONASI, 998937059020 SMS O’ZI, 998947139020 AYOLI,</t>
        </is>
      </c>
      <c r="G702" s="113" t="inlineStr">
        <is>
          <t xml:space="preserve">FARG’ONA VILOYATI FURQAT TUMANI POLVONTOSH MFY PAXTAKOR KO’CHASI 31-UY</t>
        </is>
      </c>
      <c r="H702" s="114">
        <v>3.0</v>
      </c>
      <c r="I702" s="114">
        <v>2910269.0</v>
      </c>
      <c r="K702" s="113" t="inlineStr">
        <is>
          <t xml:space="preserve">2369</t>
        </is>
      </c>
    </row>
    <row r="703">
      <c r="A703" s="113" t="inlineStr">
        <is>
          <t xml:space="preserve">ФАРГОНА ВИЛОЯТИ</t>
        </is>
      </c>
      <c r="B703" s="113" t="inlineStr">
        <is>
          <t xml:space="preserve">Фарғона филиали</t>
        </is>
      </c>
      <c r="C703" s="113" t="inlineStr">
        <is>
          <t xml:space="preserve">Ko'tardi</t>
        </is>
      </c>
      <c r="D703" s="113" t="inlineStr">
        <is>
          <t xml:space="preserve">Кр-99064382-1</t>
        </is>
      </c>
      <c r="E703" s="113" t="inlineStr">
        <is>
          <t xml:space="preserve">MADAMINOVA MAXSUDA MAMASADIKOVNA</t>
        </is>
      </c>
      <c r="F703" s="113" t="inlineStr">
        <is>
          <t xml:space="preserve">998917676070 ERI, 998950394865 KELINI, 998979607050 O’G’LI, 998999027165 SMS O’ZI,</t>
        </is>
      </c>
      <c r="G703" s="113" t="inlineStr">
        <is>
          <t xml:space="preserve">FARG’ONA VILOYATI MARG’ILON SHAHAR TURON MFY FARG’ONA KO’CHASI 101-UY 78-XONADON</t>
        </is>
      </c>
      <c r="H703" s="114">
        <v>3.0</v>
      </c>
      <c r="I703" s="114">
        <v>2894295.67</v>
      </c>
      <c r="K703" s="113" t="inlineStr">
        <is>
          <t xml:space="preserve">551 минг тортган картасидан толов кберади бугун | 2356</t>
        </is>
      </c>
    </row>
    <row r="704">
      <c r="A704" s="113" t="inlineStr">
        <is>
          <t xml:space="preserve">ФАРГОНА ВИЛОЯТИ</t>
        </is>
      </c>
      <c r="B704" s="113" t="inlineStr">
        <is>
          <t xml:space="preserve">Фарғона филиали</t>
        </is>
      </c>
      <c r="C704" s="113" t="inlineStr">
        <is>
          <t xml:space="preserve">Обещали</t>
        </is>
      </c>
      <c r="D704" s="113" t="inlineStr">
        <is>
          <t xml:space="preserve">Кр-99029636-6</t>
        </is>
      </c>
      <c r="E704" s="113" t="inlineStr">
        <is>
          <t xml:space="preserve">ABDULLAJONOV SHOKIRJON OBIDJON O’G’LI</t>
        </is>
      </c>
      <c r="F704" s="113" t="inlineStr">
        <is>
          <t xml:space="preserve">94-812-92-22 SMS O'ZI, 95-970-92-93 SMS AYOLI, 93-588-70-60 SMS DADASI, 94-788-70-60 SMS ONASI, 935887060 SMS DADASI, 947887060 SMS ONASI, 948129222 SMS O’ZI, 959709293 SMS AYOLI,</t>
        </is>
      </c>
      <c r="G704" s="113" t="inlineStr">
        <is>
          <t xml:space="preserve">FARG’ONA  VILOYATI FARG’ONA TUMANI MINDONOBOD  MFY, MADADKOR KO’CHASI 111-UY</t>
        </is>
      </c>
      <c r="H704" s="114">
        <v>3.0</v>
      </c>
      <c r="I704" s="114">
        <v>2763980.0</v>
      </c>
      <c r="K704" s="113" t="inlineStr">
        <is>
          <t xml:space="preserve">327</t>
        </is>
      </c>
    </row>
    <row r="705">
      <c r="A705" s="113" t="inlineStr">
        <is>
          <t xml:space="preserve">ФАРГОНА ВИЛОЯТИ</t>
        </is>
      </c>
      <c r="B705" s="113" t="inlineStr">
        <is>
          <t xml:space="preserve">Фарғона филиали</t>
        </is>
      </c>
      <c r="C705" s="113" t="inlineStr">
        <is>
          <t xml:space="preserve">Обещали</t>
        </is>
      </c>
      <c r="D705" s="113" t="inlineStr">
        <is>
          <t xml:space="preserve">Кр-99036269-2</t>
        </is>
      </c>
      <c r="E705" s="113" t="inlineStr">
        <is>
          <t xml:space="preserve">TASHPULATOV AVAZJON AKRAMOVICH</t>
        </is>
      </c>
      <c r="F705" s="113" t="inlineStr">
        <is>
          <t xml:space="preserve">998911256909 SMS OZI, 998916797220 SMS OTASI, 998901792328 SMS AYOLI TOLOVCHI , 998911296260 SMS ONASI, +998911256909 Primary phone from road24,</t>
        </is>
      </c>
      <c r="G705" s="113" t="inlineStr">
        <is>
          <t xml:space="preserve">FARG’ONA VILOYATI TOSHLOQ TUMANI FURKAT MFY HUNARMANTLAR KO’CHASI 26-XONADON</t>
        </is>
      </c>
      <c r="H705" s="114">
        <v>3.0</v>
      </c>
      <c r="I705" s="114">
        <v>2112546.23</v>
      </c>
      <c r="K705" s="113" t="inlineStr">
        <is>
          <t xml:space="preserve">бугун битта анкетасини йопиб беради ертага 2 чисини йопиб беради | 640</t>
        </is>
      </c>
    </row>
    <row r="706">
      <c r="A706" s="113" t="inlineStr">
        <is>
          <t xml:space="preserve">ФАРГОНА ВИЛОЯТИ</t>
        </is>
      </c>
      <c r="B706" s="113" t="inlineStr">
        <is>
          <t xml:space="preserve">Фарғона филиали</t>
        </is>
      </c>
      <c r="C706" s="113" t="inlineStr">
        <is>
          <t xml:space="preserve">Обещали</t>
        </is>
      </c>
      <c r="D706" s="113" t="inlineStr">
        <is>
          <t xml:space="preserve">Кр-99041835-1</t>
        </is>
      </c>
      <c r="E706" s="113" t="inlineStr">
        <is>
          <t xml:space="preserve">BOLTABOYEV SHOHRUXBEK BEGALI O’G’LI</t>
        </is>
      </c>
      <c r="F706" s="113" t="inlineStr">
        <is>
          <t xml:space="preserve">+998500170756 SMS O’ZI, 998335636300 DADASI, 998955416171 UY, 998999723515 AMAKISI,</t>
        </is>
      </c>
      <c r="G706" s="113" t="inlineStr">
        <is>
          <t xml:space="preserve">FARG’ONA VILOYATI TOSHLOQ TUMANI ZARKENT MFY QASHQARI KO’CHASI 33-XONADON</t>
        </is>
      </c>
      <c r="H706" s="114">
        <v>3.0</v>
      </c>
      <c r="I706" s="114">
        <v>1568374.29</v>
      </c>
      <c r="K706" s="113" t="inlineStr">
        <is>
          <t xml:space="preserve">1212</t>
        </is>
      </c>
    </row>
    <row r="707">
      <c r="A707" s="113" t="inlineStr">
        <is>
          <t xml:space="preserve">ФАРГОНА ВИЛОЯТИ</t>
        </is>
      </c>
      <c r="B707" s="113" t="inlineStr">
        <is>
          <t xml:space="preserve">Фарғона филиали</t>
        </is>
      </c>
      <c r="C707" s="113" t="inlineStr">
        <is>
          <t xml:space="preserve">Обещали</t>
        </is>
      </c>
      <c r="D707" s="113" t="inlineStr">
        <is>
          <t xml:space="preserve">Кр-99030462-1</t>
        </is>
      </c>
      <c r="E707" s="113" t="inlineStr">
        <is>
          <t xml:space="preserve">YIGITALIYEV TO’LQIN ERKINJONOVICH</t>
        </is>
      </c>
      <c r="F707" s="113" t="inlineStr">
        <is>
          <t xml:space="preserve">93-979-38-07 SMS  O'ZI, 93-973-50-05 SMS  UKASI, 93-535-84-40 SMS DADASI, 94-205-31-01  SMS AYOLI, 998932068870 sms ozi new, 998958784224 OZI NEW,</t>
        </is>
      </c>
      <c r="G707" s="113" t="inlineStr">
        <is>
          <t xml:space="preserve">FARG’ONA VILOYATI FARG’ONA TUMANI LANGAR MFY, TEPALIK KO’CHASI 55-UY</t>
        </is>
      </c>
      <c r="H707" s="114">
        <v>2.0</v>
      </c>
      <c r="I707" s="114">
        <v>1445544.03</v>
      </c>
      <c r="K707" s="113" t="inlineStr">
        <is>
          <t xml:space="preserve">ертага узоги толов кберади кредит оляпти | 350</t>
        </is>
      </c>
    </row>
    <row r="708">
      <c r="A708" s="113" t="inlineStr">
        <is>
          <t xml:space="preserve">ФАРГОНА ВИЛОЯТИ</t>
        </is>
      </c>
      <c r="B708" s="113" t="inlineStr">
        <is>
          <t xml:space="preserve">Фарғона филиали</t>
        </is>
      </c>
      <c r="C708" s="113" t="inlineStr">
        <is>
          <t xml:space="preserve">Обещали</t>
        </is>
      </c>
      <c r="D708" s="113" t="inlineStr">
        <is>
          <t xml:space="preserve">Кр-99030462-3</t>
        </is>
      </c>
      <c r="E708" s="113" t="inlineStr">
        <is>
          <t xml:space="preserve">YIGITALIYEV TO’LQIN ERKINJONOVICH</t>
        </is>
      </c>
      <c r="F708" s="113" t="inlineStr">
        <is>
          <t xml:space="preserve">93-979-38-07 SMS  O'ZI, 93-973-50-05 SMS  UKASI, 93-535-84-40 SMS DADASI, 94-205-31-01  SMS AYOLI, 998932068870 sms ozi new, 998958784224 OZI NEW,</t>
        </is>
      </c>
      <c r="G708" s="113" t="inlineStr">
        <is>
          <t xml:space="preserve">FARG’ONA VILOYATI FARG’ONA TUMANI LANGAR MFY, TEPALIK KO’CHASI 55-UY</t>
        </is>
      </c>
      <c r="H708" s="114">
        <v>3.0</v>
      </c>
      <c r="I708" s="114">
        <v>1305765.06</v>
      </c>
      <c r="K708" s="113" t="inlineStr">
        <is>
          <t xml:space="preserve">ертага узоги толов кберади кредит оляпти | 351</t>
        </is>
      </c>
    </row>
    <row r="709">
      <c r="A709" s="113" t="inlineStr">
        <is>
          <t xml:space="preserve">ФАРГОНА ВИЛОЯТИ</t>
        </is>
      </c>
      <c r="B709" s="113" t="inlineStr">
        <is>
          <t xml:space="preserve">Фарғона филиали</t>
        </is>
      </c>
      <c r="C709" s="113" t="inlineStr">
        <is>
          <t xml:space="preserve">Обещали</t>
        </is>
      </c>
      <c r="D709" s="113" t="inlineStr">
        <is>
          <t xml:space="preserve">Кр-99013236-3</t>
        </is>
      </c>
      <c r="E709" s="113" t="inlineStr">
        <is>
          <t xml:space="preserve">SULTONOV MUXSINJON MUXTOROVICH</t>
        </is>
      </c>
      <c r="F709" s="113" t="inlineStr">
        <is>
          <t xml:space="preserve">998901516164 SMS O’ZI, 998900571609 SMS AYOLI, 998886290123 SMS O’G’LI, 998977535228 SMS UYI, 998970821012 SMS UZI NEW,</t>
        </is>
      </c>
      <c r="G709" s="113" t="inlineStr">
        <is>
          <t xml:space="preserve">FARG’ONA VILOYATI UCHKO’PRIK TUMANI BEGOBOD MFY MUSTAQILIK KO’CHASI 86-XONADON</t>
        </is>
      </c>
      <c r="H709" s="114">
        <v>3.0</v>
      </c>
      <c r="I709" s="114">
        <v>1191159.8</v>
      </c>
      <c r="K709" s="113" t="inlineStr">
        <is>
          <t xml:space="preserve">бугун ерта харакат килиб йопиб беради | 69</t>
        </is>
      </c>
    </row>
    <row r="710">
      <c r="A710" s="113" t="inlineStr">
        <is>
          <t xml:space="preserve">ФАРГОНА ВИЛОЯТИ</t>
        </is>
      </c>
      <c r="B710" s="113" t="inlineStr">
        <is>
          <t xml:space="preserve">Фарғона филиали</t>
        </is>
      </c>
      <c r="C710" s="113" t="inlineStr">
        <is>
          <t xml:space="preserve">Обещали</t>
        </is>
      </c>
      <c r="D710" s="113" t="inlineStr">
        <is>
          <t xml:space="preserve">Кр-99034454-2</t>
        </is>
      </c>
      <c r="E710" s="113" t="inlineStr">
        <is>
          <t xml:space="preserve">MAMASAIDOV G’ANI ABDUXAMEDOVICH</t>
        </is>
      </c>
      <c r="F710" s="113" t="inlineStr">
        <is>
          <t xml:space="preserve">998887595115 SMS O’ZI, 998931360099 SMS JIYANI, 998951126168 SMS KELINI, 998999998218 SMS JIYANI, 998959626766 oybek tolovchi,</t>
        </is>
      </c>
      <c r="G710" s="113" t="inlineStr">
        <is>
          <t xml:space="preserve">FARG’ONA VOLIYATI FARG’ONA SHAHAR ILG’OR MFY FAROVON TURMUSH-1 KO’CHASI 369-XONADON</t>
        </is>
      </c>
      <c r="H710" s="114">
        <v>3.0</v>
      </c>
      <c r="I710" s="114">
        <v>1146888.0</v>
      </c>
      <c r="K710" s="113" t="inlineStr">
        <is>
          <t xml:space="preserve">538</t>
        </is>
      </c>
    </row>
    <row r="711">
      <c r="A711" s="113" t="inlineStr">
        <is>
          <t xml:space="preserve">ФАРГОНА ВИЛОЯТИ</t>
        </is>
      </c>
      <c r="B711" s="113" t="inlineStr">
        <is>
          <t xml:space="preserve">Фарғона филиали</t>
        </is>
      </c>
      <c r="C711" s="113" t="inlineStr">
        <is>
          <t xml:space="preserve">Оплатил дозвон</t>
        </is>
      </c>
      <c r="D711" s="113" t="inlineStr">
        <is>
          <t xml:space="preserve">Кр-99031813-4</t>
        </is>
      </c>
      <c r="E711" s="113" t="inlineStr">
        <is>
          <t xml:space="preserve">QOBILOV NORMURODJON SIROJIDDIN O’G’LI</t>
        </is>
      </c>
      <c r="F711" s="113" t="inlineStr">
        <is>
          <t xml:space="preserve">998900997097 SMS O’ZI, 998908483011 SMS ONASI, 998916706232 SMS AKASI, 998939792626 SMS AKASI 2,</t>
        </is>
      </c>
      <c r="G711" s="113" t="inlineStr">
        <is>
          <t xml:space="preserve">FARG’ONA VILOYATI FARG’ONA SHAHAR XUVAYDO MFY, XALQLAR DO’SLIGI 59-UY</t>
        </is>
      </c>
      <c r="H711" s="114">
        <v>3.0</v>
      </c>
      <c r="I711" s="114">
        <v>1131850.66</v>
      </c>
      <c r="J711" s="114">
        <v>1131850.66</v>
      </c>
      <c r="K711" s="113" t="inlineStr">
        <is>
          <t xml:space="preserve">406</t>
        </is>
      </c>
    </row>
    <row r="712">
      <c r="A712" s="113" t="inlineStr">
        <is>
          <t xml:space="preserve">ФАРГОНА ВИЛОЯТИ</t>
        </is>
      </c>
      <c r="B712" s="113" t="inlineStr">
        <is>
          <t xml:space="preserve">Фарғона филиали</t>
        </is>
      </c>
      <c r="C712" s="113" t="inlineStr">
        <is>
          <t xml:space="preserve">Обещали</t>
        </is>
      </c>
      <c r="D712" s="113" t="inlineStr">
        <is>
          <t xml:space="preserve">Кр-99034589-2</t>
        </is>
      </c>
      <c r="E712" s="113" t="inlineStr">
        <is>
          <t xml:space="preserve">USMANOV RUSTAM YUSUPOVICH</t>
        </is>
      </c>
      <c r="F712" s="113" t="inlineStr">
        <is>
          <t xml:space="preserve">998916667110 SMS O’ZI, 998942827313 SMS O’G’LI, 998398449442 SMS O’G’LI, 998916790196 SMS UY, 998777810098 SMS OGLI , 998777810098 OGLI NEW,</t>
        </is>
      </c>
      <c r="G712" s="113" t="inlineStr">
        <is>
          <t xml:space="preserve">FARG’ONA VILOYATI MARG’ILON SHAHAR SHOLDIRAMA MFY MUQUMIY KO’CHASI 64 A-UY</t>
        </is>
      </c>
      <c r="H712" s="114">
        <v>3.0</v>
      </c>
      <c r="I712" s="114">
        <v>1040099.0</v>
      </c>
      <c r="K712" s="113" t="inlineStr">
        <is>
          <t xml:space="preserve">541</t>
        </is>
      </c>
    </row>
    <row r="713">
      <c r="A713" s="113" t="inlineStr">
        <is>
          <t xml:space="preserve">ФАРГОНА ВИЛОЯТИ</t>
        </is>
      </c>
      <c r="B713" s="113" t="inlineStr">
        <is>
          <t xml:space="preserve">Фарғона филиали</t>
        </is>
      </c>
      <c r="C713" s="113" t="inlineStr">
        <is>
          <t xml:space="preserve">Обещали</t>
        </is>
      </c>
      <c r="D713" s="113" t="inlineStr">
        <is>
          <t xml:space="preserve">Кр-99040371-2</t>
        </is>
      </c>
      <c r="E713" s="113" t="inlineStr">
        <is>
          <t xml:space="preserve">FAYZULLAYEVA MUYASSARXON SAYDUMAROVNA</t>
        </is>
      </c>
      <c r="F713" s="113" t="inlineStr">
        <is>
          <t xml:space="preserve">998507161002 SMS OZI, 998945120202 SMS UY, 998330802006 SMS NEVARASI, 998936402057 SMS OGLI,</t>
        </is>
      </c>
      <c r="G713" s="113" t="inlineStr">
        <is>
          <t xml:space="preserve">FARG’ONA VILOYATI BUVAYDA TUMANI BACHQIR MFY GUZAR KO’CHASI 33-XONADON</t>
        </is>
      </c>
      <c r="H713" s="114">
        <v>3.0</v>
      </c>
      <c r="I713" s="114">
        <v>889292.0</v>
      </c>
      <c r="K713" s="113" t="inlineStr">
        <is>
          <t xml:space="preserve">бугун ерта килиб йопиб беради | 1005</t>
        </is>
      </c>
    </row>
    <row r="714">
      <c r="A714" s="113" t="inlineStr">
        <is>
          <t xml:space="preserve">ФАРГОНА ВИЛОЯТИ</t>
        </is>
      </c>
      <c r="B714" s="113" t="inlineStr">
        <is>
          <t xml:space="preserve">Фарғона филиали</t>
        </is>
      </c>
      <c r="C714" s="113" t="inlineStr">
        <is>
          <t xml:space="preserve">Обещали</t>
        </is>
      </c>
      <c r="D714" s="113" t="inlineStr">
        <is>
          <t xml:space="preserve">Кр-99064355-3</t>
        </is>
      </c>
      <c r="E714" s="113" t="inlineStr">
        <is>
          <t xml:space="preserve">ORTIKOV JAXONGIR ORIPJONOVICH</t>
        </is>
      </c>
      <c r="F714" s="113" t="inlineStr">
        <is>
          <t xml:space="preserve">998905807722 UY, 998911297987 ONASI, 998941457464 SMS O’ZI, 998947257722 AYOLI,</t>
        </is>
      </c>
      <c r="G714" s="113" t="inlineStr">
        <is>
          <t xml:space="preserve">FARG’ONA VILOYATI QUVA TUMANI NAMUNA MFY PAXTAOBOD KO’CHASI 78-UY</t>
        </is>
      </c>
      <c r="H714" s="114">
        <v>3.0</v>
      </c>
      <c r="I714" s="114">
        <v>780499.41</v>
      </c>
      <c r="K714" s="113" t="inlineStr">
        <is>
          <t xml:space="preserve">ертага абетга йопиб беради молини сотган пулини олади | 2348</t>
        </is>
      </c>
    </row>
    <row r="715">
      <c r="A715" s="113" t="inlineStr">
        <is>
          <t xml:space="preserve">ФАРГОНА ВИЛОЯТИ</t>
        </is>
      </c>
      <c r="B715" s="113" t="inlineStr">
        <is>
          <t xml:space="preserve">Фарғона филиали</t>
        </is>
      </c>
      <c r="C715" s="113" t="inlineStr">
        <is>
          <t xml:space="preserve">Обещали</t>
        </is>
      </c>
      <c r="D715" s="113" t="inlineStr">
        <is>
          <t xml:space="preserve">Кр-99035863-3</t>
        </is>
      </c>
      <c r="E715" s="113" t="inlineStr">
        <is>
          <t xml:space="preserve">ERGASHEV ILXOMJON XAKIMOVICH</t>
        </is>
      </c>
      <c r="F715" s="113" t="inlineStr">
        <is>
          <t xml:space="preserve">998916767655 SMS OZI, 998907831068 SMS AYOLI, 998916584356 SMS OGLI, 998907814645 SMS SHERIGI begona, 998949767655 OZI NEW ,</t>
        </is>
      </c>
      <c r="G715" s="113" t="inlineStr">
        <is>
          <t xml:space="preserve">FARG’ONA VILOYATI MARG’ILON SHAHAR YANGI XAYOT MFY S-OLLOYOR KO’CHASI 288-UY</t>
        </is>
      </c>
      <c r="H715" s="114">
        <v>3.0</v>
      </c>
      <c r="I715" s="114">
        <v>697479.44</v>
      </c>
      <c r="K715" s="113" t="inlineStr">
        <is>
          <t xml:space="preserve">2 болиб йопиб беради бозорда савдо клади | 620</t>
        </is>
      </c>
    </row>
    <row r="716">
      <c r="A716" s="113" t="inlineStr">
        <is>
          <t xml:space="preserve">ФАРГОНА ВИЛОЯТИ</t>
        </is>
      </c>
      <c r="B716" s="113" t="inlineStr">
        <is>
          <t xml:space="preserve">Фарғона филиали</t>
        </is>
      </c>
      <c r="C716" s="113" t="inlineStr">
        <is>
          <t xml:space="preserve">Оплатил дозвон</t>
        </is>
      </c>
      <c r="D716" s="113" t="inlineStr">
        <is>
          <t xml:space="preserve">Кр-99062967-1</t>
        </is>
      </c>
      <c r="E716" s="113" t="inlineStr">
        <is>
          <t xml:space="preserve">YUNUSALIYEV QAXRAMONJON RASULOVICH</t>
        </is>
      </c>
      <c r="F716" s="113" t="inlineStr">
        <is>
          <t xml:space="preserve">+998903609057 SMS O’ZI, 998336772616 KIYOVI, 998777162689 QIZI, 998908551566 AYOLI,</t>
        </is>
      </c>
      <c r="G716" s="113" t="inlineStr">
        <is>
          <t xml:space="preserve">FARG’ONA VILOYATI BOG’DOD TUMANI MATQULOBOD MFY YUKSAK KO’CHASI 240-UY</t>
        </is>
      </c>
      <c r="I716" s="114">
        <v>156636.6</v>
      </c>
      <c r="J716" s="114">
        <v>156636.6</v>
      </c>
      <c r="K716" s="113" t="inlineStr">
        <is>
          <t xml:space="preserve">1957</t>
        </is>
      </c>
    </row>
    <row r="717">
      <c r="A717" s="115" t="inlineStr">
        <is>
          <t xml:space="preserve">ХОРАЗМ ВИЛОЯТИ</t>
        </is>
      </c>
      <c r="B717" s="115" t="inlineStr">
        <is>
          <t xml:space="preserve">BOSH OFIS</t>
        </is>
      </c>
      <c r="C717" s="115" t="inlineStr">
        <is>
          <t xml:space="preserve">Ko'tardi</t>
        </is>
      </c>
      <c r="D717" s="115" t="inlineStr">
        <is>
          <t xml:space="preserve">Кр-99022070-5</t>
        </is>
      </c>
      <c r="E717" s="115" t="inlineStr">
        <is>
          <t xml:space="preserve">BABAJONOVA DILNOZA KADAMBOYEVNA</t>
        </is>
      </c>
      <c r="F717" s="115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717" s="115" t="inlineStr">
        <is>
          <t xml:space="preserve">XORAZM VILOYATI URGANCH SHAXAR NAVRUZ MAXALLASI NAVBAHOR 3-TOR KUCHASI 36-UY</t>
        </is>
      </c>
      <c r="H717" s="116">
        <v>3.0</v>
      </c>
      <c r="I717" s="116">
        <v>27511154.49</v>
      </c>
      <c r="K717" s="115" t="inlineStr">
        <is>
          <t xml:space="preserve">ou oxiri yopad | 149</t>
        </is>
      </c>
    </row>
    <row r="718">
      <c r="A718" s="115" t="inlineStr">
        <is>
          <t xml:space="preserve">ХОРАЗМ ВИЛОЯТИ</t>
        </is>
      </c>
      <c r="B718" s="115" t="inlineStr">
        <is>
          <t xml:space="preserve">BOSH OFIS</t>
        </is>
      </c>
      <c r="C718" s="115" t="inlineStr">
        <is>
          <t xml:space="preserve">Ko'tardi</t>
        </is>
      </c>
      <c r="D718" s="115" t="inlineStr">
        <is>
          <t xml:space="preserve">Кр-99041015-2</t>
        </is>
      </c>
      <c r="E718" s="115" t="inlineStr">
        <is>
          <t xml:space="preserve">JUMANIYAZOVA YOQUTJON SHUXRAT QIZI</t>
        </is>
      </c>
      <c r="F718" s="115" t="inlineStr">
        <is>
          <t xml:space="preserve">+998951015544 SMS UZI, 998885146666 SMS ERI, 998999555544 SMS ERI,</t>
        </is>
      </c>
      <c r="G718" s="115" t="inlineStr">
        <is>
          <t xml:space="preserve">XORAZM VILOYATI URGANCH TUMANI QUMRABOD MFY PROEKTNAYA 181 MAVZESI 59-UY</t>
        </is>
      </c>
      <c r="H718" s="116">
        <v>6.0</v>
      </c>
      <c r="I718" s="116">
        <v>6390993.15</v>
      </c>
      <c r="K718" s="115" t="inlineStr">
        <is>
          <t xml:space="preserve">eri Rassiyadan pul tashid | 1096</t>
        </is>
      </c>
    </row>
    <row r="719">
      <c r="A719" s="115" t="inlineStr">
        <is>
          <t xml:space="preserve">ХОРАЗМ ВИЛОЯТИ</t>
        </is>
      </c>
      <c r="B719" s="115" t="inlineStr">
        <is>
          <t xml:space="preserve">BOSH OFIS</t>
        </is>
      </c>
      <c r="C719" s="115" t="inlineStr">
        <is>
          <t xml:space="preserve">Обещали</t>
        </is>
      </c>
      <c r="D719" s="115" t="inlineStr">
        <is>
          <t xml:space="preserve">Кр-99022977-4</t>
        </is>
      </c>
      <c r="E719" s="115" t="inlineStr">
        <is>
          <t xml:space="preserve">BABAYEV OTAJON ABDULLAYEVICH</t>
        </is>
      </c>
      <c r="F719" s="115" t="inlineStr">
        <is>
          <t xml:space="preserve">99-123-85-64  SMS UZI, 99-562-96-90  SMS OGLI, 99-744-13-23 SMS KELINI, 998993778564 sms ozi , +998993778564 SMS UZI, 998991238564 SMS UKASI, 998995629690 SMS O’G’LI, 998997441323 SMS KELINI,</t>
        </is>
      </c>
      <c r="G719" s="115" t="inlineStr">
        <is>
          <t xml:space="preserve">ХОРАЗМ ВИЛОЯТИ ШОВОТ ТУМАНИ КАТКАЛЪА ҚФЙ, ХУНАРМАНД МФЙ, БИЛЛУР КЎЧАСИ,  uy:90</t>
        </is>
      </c>
      <c r="H719" s="116">
        <v>3.0</v>
      </c>
      <c r="I719" s="116">
        <v>3496264.34</v>
      </c>
      <c r="K719" s="115" t="inlineStr">
        <is>
          <t xml:space="preserve">bugun kechga yoki ertaga abetgacha yopad | 159</t>
        </is>
      </c>
    </row>
    <row r="720">
      <c r="A720" s="115" t="inlineStr">
        <is>
          <t xml:space="preserve">ХОРАЗМ ВИЛОЯТИ</t>
        </is>
      </c>
      <c r="B720" s="115" t="inlineStr">
        <is>
          <t xml:space="preserve">BOSH OFIS</t>
        </is>
      </c>
      <c r="C720" s="115" t="inlineStr">
        <is>
          <t xml:space="preserve">Ko'tardi</t>
        </is>
      </c>
      <c r="D720" s="115" t="inlineStr">
        <is>
          <t xml:space="preserve">Кр-99040881-1</t>
        </is>
      </c>
      <c r="E720" s="115" t="inlineStr">
        <is>
          <t xml:space="preserve">SAPARBAEV BAXTIYAR NURMETOVICH</t>
        </is>
      </c>
      <c r="F720" s="115" t="inlineStr">
        <is>
          <t xml:space="preserve">998910915251 SMS OZI, 998910937977 SMS OGLI, 998907130079 SMS KELINI, 999821408982 SMS KELINI,</t>
        </is>
      </c>
      <c r="G720" s="115" t="inlineStr">
        <is>
          <t xml:space="preserve">GULSHAN MFY ZULFIYA KKO’CHASI 28-UY</t>
        </is>
      </c>
      <c r="H720" s="116">
        <v>3.0</v>
      </c>
      <c r="I720" s="116">
        <v>1372780.71</v>
      </c>
      <c r="K720" s="115" t="inlineStr">
        <is>
          <t xml:space="preserve">bugun kechga ypad | 1083</t>
        </is>
      </c>
    </row>
    <row r="721">
      <c r="A721" s="117" t="inlineStr">
        <is>
          <t xml:space="preserve">ХОРАЗМ ВИЛОЯТИ</t>
        </is>
      </c>
      <c r="B721" s="117" t="inlineStr">
        <is>
          <t xml:space="preserve">SUPER BRANCH</t>
        </is>
      </c>
      <c r="C721" s="117" t="inlineStr">
        <is>
          <t xml:space="preserve">Обещали</t>
        </is>
      </c>
      <c r="D721" s="117" t="inlineStr">
        <is>
          <t xml:space="preserve">Кр-99018792-4</t>
        </is>
      </c>
      <c r="E721" s="117" t="inlineStr">
        <is>
          <t xml:space="preserve">QALANDAROV RUSLAN KADAMBAYEVICH</t>
        </is>
      </c>
      <c r="F721" s="117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721" s="117" t="inlineStr">
        <is>
          <t xml:space="preserve">XORAZM VILOYATI YANGIBOZOR TUMANI OYOQDO`RMAN QISHLOG`I YANGIOBOD MAXALLASI 92 UY</t>
        </is>
      </c>
      <c r="H721" s="118">
        <v>3.0</v>
      </c>
      <c r="I721" s="118">
        <v>7541250.72</v>
      </c>
      <c r="K721" s="117" t="inlineStr">
        <is>
          <t xml:space="preserve">fer 15 sanalaga yopad | 96</t>
        </is>
      </c>
    </row>
    <row r="722">
      <c r="A722" s="117" t="inlineStr">
        <is>
          <t xml:space="preserve">ХОРАЗМ ВИЛОЯТИ</t>
        </is>
      </c>
      <c r="B722" s="117" t="inlineStr">
        <is>
          <t xml:space="preserve">SUPER BRANCH</t>
        </is>
      </c>
      <c r="C722" s="117" t="inlineStr">
        <is>
          <t xml:space="preserve">Обещали</t>
        </is>
      </c>
      <c r="D722" s="117" t="inlineStr">
        <is>
          <t xml:space="preserve">Кр-99026626-1</t>
        </is>
      </c>
      <c r="E722" s="117" t="inlineStr">
        <is>
          <t xml:space="preserve">MATYAKUBOVA OLIYA SULTANOVNA</t>
        </is>
      </c>
      <c r="F722" s="117" t="inlineStr">
        <is>
          <t xml:space="preserve">998974569970 SMS O'ZI, 998976078717 SMS DILSHODA HAMKASBI, 998505722508 SMS O'G'LI, 998999692091 SMS QIZI,</t>
        </is>
      </c>
      <c r="G722" s="117" t="inlineStr">
        <is>
          <t xml:space="preserve">XORAZM VILOYATI QO’SHKO’PIR TUMANI XAYROBOD QFY XAYROBOD MFY MADANIYAT KO’CHASI 48-UY</t>
        </is>
      </c>
      <c r="H722" s="118">
        <v>3.0</v>
      </c>
      <c r="I722" s="118">
        <v>6826807.75</v>
      </c>
      <c r="K722" s="117" t="inlineStr">
        <is>
          <t xml:space="preserve">bugun yopad ortogi | 209</t>
        </is>
      </c>
    </row>
    <row r="723">
      <c r="A723" s="117" t="inlineStr">
        <is>
          <t xml:space="preserve">ХОРАЗМ ВИЛОЯТИ</t>
        </is>
      </c>
      <c r="B723" s="117" t="inlineStr">
        <is>
          <t xml:space="preserve">SUPER BRANCH</t>
        </is>
      </c>
      <c r="C723" s="117" t="inlineStr">
        <is>
          <t xml:space="preserve">Обещали</t>
        </is>
      </c>
      <c r="D723" s="117" t="inlineStr">
        <is>
          <t xml:space="preserve">Кр-99040398-2</t>
        </is>
      </c>
      <c r="E723" s="117" t="inlineStr">
        <is>
          <t xml:space="preserve">BOLTAYEV MUSA QURONBOYEVICH</t>
        </is>
      </c>
      <c r="F723" s="117" t="inlineStr">
        <is>
          <t xml:space="preserve">998500971976 SMS OZI, 998996853272 SMS OZI 2, 998992673111 SMS QIZI,</t>
        </is>
      </c>
      <c r="G723" s="117" t="inlineStr">
        <is>
          <t xml:space="preserve">XORAZM VILOYATI XONQA TUMANI G’AYRAT MFY G’AYRAT KUCHASI 46-UY</t>
        </is>
      </c>
      <c r="H723" s="118">
        <v>3.0</v>
      </c>
      <c r="I723" s="118">
        <v>5789624.47</v>
      </c>
      <c r="K723" s="117" t="inlineStr">
        <is>
          <t xml:space="preserve">ozi rassiyada qizi bilan gaplashdim oylik olsa tashavorad | 1012</t>
        </is>
      </c>
    </row>
    <row r="724">
      <c r="A724" s="117" t="inlineStr">
        <is>
          <t xml:space="preserve">ХОРАЗМ ВИЛОЯТИ</t>
        </is>
      </c>
      <c r="B724" s="117" t="inlineStr">
        <is>
          <t xml:space="preserve">SUPER BRANCH</t>
        </is>
      </c>
      <c r="C724" s="117" t="inlineStr">
        <is>
          <t xml:space="preserve">Ko'tardi</t>
        </is>
      </c>
      <c r="D724" s="117" t="inlineStr">
        <is>
          <t xml:space="preserve">Кр-99040149-1</t>
        </is>
      </c>
      <c r="E724" s="117" t="inlineStr">
        <is>
          <t xml:space="preserve">XUDOYBERGANOV DONIYOR QUVONDIQ O’G’LI</t>
        </is>
      </c>
      <c r="F724" s="117" t="inlineStr">
        <is>
          <t xml:space="preserve">998507170080 SMS OZI, 998994358118 SMS AYOLI, 998991121100 SMS DOSTI,</t>
        </is>
      </c>
      <c r="G724" s="117" t="inlineStr">
        <is>
          <t xml:space="preserve">XORAZM VILOYATI XAZORASP TUMANI ISHCHILAR MFY A.NAVOYI KUCHASI 8-UY</t>
        </is>
      </c>
      <c r="H724" s="118">
        <v>3.0</v>
      </c>
      <c r="I724" s="118">
        <v>5476456.13</v>
      </c>
      <c r="K724" s="117" t="inlineStr">
        <is>
          <t xml:space="preserve">ozi turkiyada oyligini kutvotti | 963</t>
        </is>
      </c>
    </row>
    <row r="725">
      <c r="A725" s="117" t="inlineStr">
        <is>
          <t xml:space="preserve">ХОРАЗМ ВИЛОЯТИ</t>
        </is>
      </c>
      <c r="B725" s="117" t="inlineStr">
        <is>
          <t xml:space="preserve">SUPER BRANCH</t>
        </is>
      </c>
      <c r="C725" s="117" t="inlineStr">
        <is>
          <t xml:space="preserve">Обещали</t>
        </is>
      </c>
      <c r="D725" s="117" t="inlineStr">
        <is>
          <t xml:space="preserve">Кр-99046672-1</t>
        </is>
      </c>
      <c r="E725" s="117" t="inlineStr">
        <is>
          <t xml:space="preserve">BOBOYEVA UMIDA EGAMBERDIYEVNA</t>
        </is>
      </c>
      <c r="F725" s="117" t="inlineStr">
        <is>
          <t xml:space="preserve">998972118547 SMS OZI, 998914266400 SMS O’G’LI, 998998184642 SMS OGLI 2,</t>
        </is>
      </c>
      <c r="G725" s="117" t="inlineStr">
        <is>
          <t xml:space="preserve">XORAZM VILOYATI XAZORASP TUMANI SANOAT MFY POKIZA KO’CHASI 93-UY</t>
        </is>
      </c>
      <c r="H725" s="118">
        <v>3.0</v>
      </c>
      <c r="I725" s="118">
        <v>5359230.64</v>
      </c>
      <c r="K725" s="117" t="inlineStr">
        <is>
          <t xml:space="preserve">ertaga filialga borib tolid | 1369</t>
        </is>
      </c>
    </row>
    <row r="726">
      <c r="A726" s="117" t="inlineStr">
        <is>
          <t xml:space="preserve">ХОРАЗМ ВИЛОЯТИ</t>
        </is>
      </c>
      <c r="B726" s="117" t="inlineStr">
        <is>
          <t xml:space="preserve">SUPER BRANCH</t>
        </is>
      </c>
      <c r="C726" s="117" t="inlineStr">
        <is>
          <t xml:space="preserve">Ko'tardi</t>
        </is>
      </c>
      <c r="D726" s="117" t="inlineStr">
        <is>
          <t xml:space="preserve">Кр-99040257-1</t>
        </is>
      </c>
      <c r="E726" s="117" t="inlineStr">
        <is>
          <t xml:space="preserve">KURBANOV UMRBEK UKTAMBAYEVICH</t>
        </is>
      </c>
      <c r="F726" s="117" t="inlineStr">
        <is>
          <t xml:space="preserve">998995641564 SMS OZI, 998991280118 SMS XOTINI, 998952713164 SMS OZI, 998995753164 SMS ISH,</t>
        </is>
      </c>
      <c r="G726" s="117" t="inlineStr">
        <is>
          <t xml:space="preserve">XORAZM VILOYATI URGANCH TUMANI TADQIQOTCHILAR MAXALLASI MARDANOVOR KUCHASI 42 UY</t>
        </is>
      </c>
      <c r="H726" s="118">
        <v>3.0</v>
      </c>
      <c r="I726" s="118">
        <v>4617208.58</v>
      </c>
      <c r="K726" s="117" t="inlineStr">
        <is>
          <t xml:space="preserve">moshinasi avariya bogan bolib bolib tolavotti | 982</t>
        </is>
      </c>
    </row>
    <row r="727">
      <c r="A727" s="117" t="inlineStr">
        <is>
          <t xml:space="preserve">ХОРАЗМ ВИЛОЯТИ</t>
        </is>
      </c>
      <c r="B727" s="117" t="inlineStr">
        <is>
          <t xml:space="preserve">SUPER BRANCH</t>
        </is>
      </c>
      <c r="C727" s="117" t="inlineStr">
        <is>
          <t xml:space="preserve">Обещали</t>
        </is>
      </c>
      <c r="D727" s="117" t="inlineStr">
        <is>
          <t xml:space="preserve">Кр-99040349-1</t>
        </is>
      </c>
      <c r="E727" s="117" t="inlineStr">
        <is>
          <t xml:space="preserve">KARIMOV JAHONGIR SHAROFADDIN O’G’LI</t>
        </is>
      </c>
      <c r="F727" s="117" t="inlineStr">
        <is>
          <t xml:space="preserve">998507157955 SMS OZI, 998952298584 SMS AKASI, 998774088961 SMS OPASI,</t>
        </is>
      </c>
      <c r="G727" s="117" t="inlineStr">
        <is>
          <t xml:space="preserve">XORAZM VILOYATI BOG’OT TUMANI TONG YOG’DU KUCHASI 2 UY </t>
        </is>
      </c>
      <c r="H727" s="118">
        <v>3.0</v>
      </c>
      <c r="I727" s="118">
        <v>3487924.17</v>
      </c>
      <c r="K727" s="117" t="inlineStr">
        <is>
          <t xml:space="preserve">15-sanaga oylik olad opasi tolid | 996</t>
        </is>
      </c>
    </row>
    <row r="728">
      <c r="A728" s="117" t="inlineStr">
        <is>
          <t xml:space="preserve">ХОРАЗМ ВИЛОЯТИ</t>
        </is>
      </c>
      <c r="B728" s="117" t="inlineStr">
        <is>
          <t xml:space="preserve">SUPER BRANCH</t>
        </is>
      </c>
      <c r="C728" s="117" t="inlineStr">
        <is>
          <t xml:space="preserve">Обещали</t>
        </is>
      </c>
      <c r="D728" s="117" t="inlineStr">
        <is>
          <t xml:space="preserve">Кр-99041894-2</t>
        </is>
      </c>
      <c r="E728" s="117" t="inlineStr">
        <is>
          <t xml:space="preserve">SAIDOV ALISHER BOG’BEKOVICH</t>
        </is>
      </c>
      <c r="F728" s="117" t="inlineStr">
        <is>
          <t xml:space="preserve">+998942564444 SMS UZI, 998903344044 SMS UZI 2, 998904517757 SMS AYOLI,</t>
        </is>
      </c>
      <c r="G728" s="117" t="inlineStr">
        <is>
          <t xml:space="preserve">ХОРАЗМ ВИЛОЯТИ ХАЗОРАСП ТУМАНИ ЖАЛОЛАДДИН МАНГУБЕРДИ МФЙ ШАРОФ РАШИДОВ КУЧАСИ 79 УЙ</t>
        </is>
      </c>
      <c r="H728" s="118">
        <v>3.0</v>
      </c>
      <c r="I728" s="118">
        <v>3449945.02</v>
      </c>
      <c r="K728" s="117" t="inlineStr">
        <is>
          <t xml:space="preserve">bugn yo erta id dan urvorad | 1221</t>
        </is>
      </c>
    </row>
    <row r="729">
      <c r="A729" s="117" t="inlineStr">
        <is>
          <t xml:space="preserve">ХОРАЗМ ВИЛОЯТИ</t>
        </is>
      </c>
      <c r="B729" s="117" t="inlineStr">
        <is>
          <t xml:space="preserve">SUPER BRANCH</t>
        </is>
      </c>
      <c r="C729" s="117" t="inlineStr">
        <is>
          <t xml:space="preserve">Ko'tardi</t>
        </is>
      </c>
      <c r="D729" s="117" t="inlineStr">
        <is>
          <t xml:space="preserve">Кр-99039933-1</t>
        </is>
      </c>
      <c r="E729" s="117" t="inlineStr">
        <is>
          <t xml:space="preserve">ATAJANOV FAXRIDDIN RUZMETOVICH</t>
        </is>
      </c>
      <c r="F729" s="117" t="inlineStr">
        <is>
          <t xml:space="preserve">998918616267 SMS OZI, 998918573148 SMS AYOLI, 998915722424 SMS OGLI, 998339007270 SMS QIZI,</t>
        </is>
      </c>
      <c r="G729" s="117" t="inlineStr">
        <is>
          <t xml:space="preserve">XORAZM VILOYATI XIVA TUMANI CHANASHIK MFY DIYOR KO’CHASI 55-UY</t>
        </is>
      </c>
      <c r="H729" s="118">
        <v>3.0</v>
      </c>
      <c r="I729" s="118">
        <v>3381374.13</v>
      </c>
      <c r="K729" s="117" t="inlineStr">
        <is>
          <t xml:space="preserve">hahta oxirlariga oyligini olarkan | 915</t>
        </is>
      </c>
    </row>
    <row r="730">
      <c r="A730" s="117" t="inlineStr">
        <is>
          <t xml:space="preserve">ХОРАЗМ ВИЛОЯТИ</t>
        </is>
      </c>
      <c r="B730" s="117" t="inlineStr">
        <is>
          <t xml:space="preserve">SUPER BRANCH</t>
        </is>
      </c>
      <c r="C730" s="117" t="inlineStr">
        <is>
          <t xml:space="preserve">Ko'tardi</t>
        </is>
      </c>
      <c r="D730" s="117" t="inlineStr">
        <is>
          <t xml:space="preserve">Кр-99040627-1</t>
        </is>
      </c>
      <c r="E730" s="117" t="inlineStr">
        <is>
          <t xml:space="preserve">TAJIYEV G’ULOMJON POLVON O’G’LI</t>
        </is>
      </c>
      <c r="F730" s="117" t="inlineStr">
        <is>
          <t xml:space="preserve">998938667858 SMS OZI, 998917525952 SMS ONASI, 998937521333 SMS UKASI, 998935981219 SMS DOSTI,</t>
        </is>
      </c>
      <c r="G730" s="117" t="inlineStr">
        <is>
          <t xml:space="preserve">XORAZM VILOYATI URGANCH TUMANI TANDIRCHI MFY PROEKTNAYA 4-UY</t>
        </is>
      </c>
      <c r="H730" s="118">
        <v>3.0</v>
      </c>
      <c r="I730" s="118">
        <v>3220661.76</v>
      </c>
      <c r="K730" s="117" t="inlineStr">
        <is>
          <t xml:space="preserve">Ortogi biolan gaplashdim ozi Rassiyadekan 1-2 kunda oyligini olsa tashaberad dd | 1054</t>
        </is>
      </c>
    </row>
    <row r="731">
      <c r="A731" s="117" t="inlineStr">
        <is>
          <t xml:space="preserve">ХОРАЗМ ВИЛОЯТИ</t>
        </is>
      </c>
      <c r="B731" s="117" t="inlineStr">
        <is>
          <t xml:space="preserve">SUPER BRANCH</t>
        </is>
      </c>
      <c r="C731" s="117" t="inlineStr">
        <is>
          <t xml:space="preserve">Обещали</t>
        </is>
      </c>
      <c r="D731" s="117" t="inlineStr">
        <is>
          <t xml:space="preserve">Кр-99040131-1</t>
        </is>
      </c>
      <c r="E731" s="117" t="inlineStr">
        <is>
          <t xml:space="preserve">YUSUPOV SHORIFJON ROMONBERGAN O’G’LI</t>
        </is>
      </c>
      <c r="F731" s="117" t="inlineStr">
        <is>
          <t xml:space="preserve">998999664447 SMS OZI, 998827744472 SMS AYOLI, 998956099999 SMS ISH,</t>
        </is>
      </c>
      <c r="G731" s="117" t="inlineStr">
        <is>
          <t xml:space="preserve">XORAZM VILOYATI URGANCH TUMANI BO’STON MFY MUQUMIY KUCHASI 113</t>
        </is>
      </c>
      <c r="H731" s="118">
        <v>3.0</v>
      </c>
      <c r="I731" s="118">
        <v>3187686.0</v>
      </c>
      <c r="K731" s="117" t="inlineStr">
        <is>
          <t xml:space="preserve">1-2 kunda yopad | 957</t>
        </is>
      </c>
    </row>
    <row r="732">
      <c r="A732" s="117" t="inlineStr">
        <is>
          <t xml:space="preserve">ХОРАЗМ ВИЛОЯТИ</t>
        </is>
      </c>
      <c r="B732" s="117" t="inlineStr">
        <is>
          <t xml:space="preserve">SUPER BRANCH</t>
        </is>
      </c>
      <c r="C732" s="117" t="inlineStr">
        <is>
          <t xml:space="preserve">Обещали</t>
        </is>
      </c>
      <c r="D732" s="117" t="inlineStr">
        <is>
          <t xml:space="preserve">Кр-99040078-1</t>
        </is>
      </c>
      <c r="E732" s="117" t="inlineStr">
        <is>
          <t xml:space="preserve">ISMAILOVA  LAYLO  PAVLVANNAZAROVNA</t>
        </is>
      </c>
      <c r="F732" s="117" t="inlineStr">
        <is>
          <t xml:space="preserve">998507970380 SMS ERI, 998904330302 SMS AYOLI, 998919192020 SMS OGLI,</t>
        </is>
      </c>
      <c r="G732" s="117" t="inlineStr">
        <is>
          <t xml:space="preserve">URGANCH SHAHRI</t>
        </is>
      </c>
      <c r="H732" s="118">
        <v>3.0</v>
      </c>
      <c r="I732" s="118">
        <v>2993977.24</v>
      </c>
      <c r="K732" s="117" t="inlineStr">
        <is>
          <t xml:space="preserve">eri bugn kechga yopibn berarkan | 945</t>
        </is>
      </c>
    </row>
    <row r="733">
      <c r="A733" s="117" t="inlineStr">
        <is>
          <t xml:space="preserve">ХОРАЗМ ВИЛОЯТИ</t>
        </is>
      </c>
      <c r="B733" s="117" t="inlineStr">
        <is>
          <t xml:space="preserve">SUPER BRANCH</t>
        </is>
      </c>
      <c r="C733" s="117" t="inlineStr">
        <is>
          <t xml:space="preserve">Оплатил дозвон</t>
        </is>
      </c>
      <c r="D733" s="117" t="inlineStr">
        <is>
          <t xml:space="preserve">Кр-99024098-2</t>
        </is>
      </c>
      <c r="E733" s="117" t="inlineStr">
        <is>
          <t xml:space="preserve">AXMEDOV RUSLANBEK BAXODIROVICH</t>
        </is>
      </c>
      <c r="F733" s="117" t="inlineStr">
        <is>
          <t xml:space="preserve">99-135-99-59 SMS UZI, 91-093-65-95 SMS UZI, 93-743-23-09 SMS QIZI,</t>
        </is>
      </c>
      <c r="G733" s="117" t="inlineStr">
        <is>
          <t xml:space="preserve">XORAZM VILOYATI URGANCH SHAHAR XALQ SO’ZI KUCHASI 21 UY</t>
        </is>
      </c>
      <c r="H733" s="118">
        <v>3.0</v>
      </c>
      <c r="I733" s="118">
        <v>2961410.95</v>
      </c>
      <c r="J733" s="118">
        <v>2961410.95</v>
      </c>
      <c r="K733" s="117" t="inlineStr">
        <is>
          <t xml:space="preserve">kotarmad | 175</t>
        </is>
      </c>
    </row>
    <row r="734">
      <c r="A734" s="117" t="inlineStr">
        <is>
          <t xml:space="preserve">ХОРАЗМ ВИЛОЯТИ</t>
        </is>
      </c>
      <c r="B734" s="117" t="inlineStr">
        <is>
          <t xml:space="preserve">SUPER BRANCH</t>
        </is>
      </c>
      <c r="C734" s="117" t="inlineStr">
        <is>
          <t xml:space="preserve">Обещали</t>
        </is>
      </c>
      <c r="D734" s="117" t="inlineStr">
        <is>
          <t xml:space="preserve">Кр-99039789-1</t>
        </is>
      </c>
      <c r="E734" s="117" t="inlineStr">
        <is>
          <t xml:space="preserve">SAMANDAROV XAMIDJON OTAXONOVICH</t>
        </is>
      </c>
      <c r="F734" s="117" t="inlineStr">
        <is>
          <t xml:space="preserve">998992020025 SMS OGLI, 998991327264 SMS KELINI, 999893103800 SMS OOZI, 998991468050 SMS AYOLI,</t>
        </is>
      </c>
      <c r="G734" s="117" t="inlineStr">
        <is>
          <t xml:space="preserve">XORAZM VILOYATI YANGIARIQ TUMANI KATTABOG’ QFY KATTABOG’ MFY EZOZ KO’CHASI 21-UY</t>
        </is>
      </c>
      <c r="H734" s="118">
        <v>3.0</v>
      </c>
      <c r="I734" s="118">
        <v>2578993.95</v>
      </c>
      <c r="K734" s="117" t="inlineStr">
        <is>
          <t xml:space="preserve">kengi hafta yopad boshqa bankdan kredit ovotti | 890</t>
        </is>
      </c>
    </row>
    <row r="735">
      <c r="A735" s="117" t="inlineStr">
        <is>
          <t xml:space="preserve">ХОРАЗМ ВИЛОЯТИ</t>
        </is>
      </c>
      <c r="B735" s="117" t="inlineStr">
        <is>
          <t xml:space="preserve">SUPER BRANCH</t>
        </is>
      </c>
      <c r="C735" s="117" t="inlineStr">
        <is>
          <t xml:space="preserve">Обещали</t>
        </is>
      </c>
      <c r="D735" s="117" t="inlineStr">
        <is>
          <t xml:space="preserve">Кр-99039439-2</t>
        </is>
      </c>
      <c r="E735" s="117" t="inlineStr">
        <is>
          <t xml:space="preserve">YUSUPOV UMRBEK ISMAILOVICH</t>
        </is>
      </c>
      <c r="F735" s="117" t="inlineStr">
        <is>
          <t xml:space="preserve">998957097606 SMS OZI, 998937113111 SMS OZI begona, 998994256205 SMS OGLI 2, 998958772474 SMS AYOLI,</t>
        </is>
      </c>
      <c r="G735" s="117" t="inlineStr">
        <is>
          <t xml:space="preserve">XORAZM VILOYATI URGANCH SHAHRI NAVRUZ MFY FIDOKORLAR KO’CHASI 59-UY</t>
        </is>
      </c>
      <c r="H735" s="118">
        <v>3.0</v>
      </c>
      <c r="I735" s="118">
        <v>2512512.13</v>
      </c>
      <c r="K735" s="117" t="inlineStr">
        <is>
          <t xml:space="preserve">1-2 kunda xarakat qilib yopib berad | 864</t>
        </is>
      </c>
    </row>
    <row r="736">
      <c r="A736" s="117" t="inlineStr">
        <is>
          <t xml:space="preserve">ХОРАЗМ ВИЛОЯТИ</t>
        </is>
      </c>
      <c r="B736" s="117" t="inlineStr">
        <is>
          <t xml:space="preserve">SUPER BRANCH</t>
        </is>
      </c>
      <c r="C736" s="117" t="inlineStr">
        <is>
          <t xml:space="preserve">Ko'tardi</t>
        </is>
      </c>
      <c r="D736" s="117" t="inlineStr">
        <is>
          <t xml:space="preserve">Кр-99040138-1</t>
        </is>
      </c>
      <c r="E736" s="117" t="inlineStr">
        <is>
          <t xml:space="preserve">ALLABERGANOV SARDORBEK MURODBOYEVICH</t>
        </is>
      </c>
      <c r="F736" s="117" t="inlineStr">
        <is>
          <t xml:space="preserve">998771887377 SMS OZI, 997771269121 SMS AYOLI, 998995930664 SMS OTASI,</t>
        </is>
      </c>
      <c r="G736" s="117" t="inlineStr">
        <is>
          <t xml:space="preserve">XORAZM VILOYATI YANGIBOZOR TUMANI XALQOBOD MFY MFY SHARQ YULDUZI KO’CHASI 47-UY</t>
        </is>
      </c>
      <c r="H736" s="118">
        <v>3.0</v>
      </c>
      <c r="I736" s="118">
        <v>2271818.23</v>
      </c>
      <c r="K736" s="117" t="inlineStr">
        <is>
          <t xml:space="preserve">adasi  bilan  gaplashdim etib qoyaman dd | 960</t>
        </is>
      </c>
    </row>
    <row r="737">
      <c r="A737" s="117" t="inlineStr">
        <is>
          <t xml:space="preserve">ХОРАЗМ ВИЛОЯТИ</t>
        </is>
      </c>
      <c r="B737" s="117" t="inlineStr">
        <is>
          <t xml:space="preserve">SUPER BRANCH</t>
        </is>
      </c>
      <c r="C737" s="117" t="inlineStr">
        <is>
          <t xml:space="preserve">Оплатил дозвон</t>
        </is>
      </c>
      <c r="D737" s="117" t="inlineStr">
        <is>
          <t xml:space="preserve">Кр-99046648-2</t>
        </is>
      </c>
      <c r="E737" s="117" t="inlineStr">
        <is>
          <t xml:space="preserve">KURBANOV MANSUR RUSTAMOVICH</t>
        </is>
      </c>
      <c r="F737" s="117" t="inlineStr">
        <is>
          <t xml:space="preserve">+998959856565 SMS UZI, 998772525545 SMS AYOLI begona, 998937445100 SMS OTASI,</t>
        </is>
      </c>
      <c r="G737" s="117" t="inlineStr">
        <is>
          <t xml:space="preserve">ХОРАЗМ ВИЛОЯТИ УРГАНЧ Ш., БИНОКОР МФЙ, БИНОКОР КЎЧАСИ,  uy:35</t>
        </is>
      </c>
      <c r="H737" s="118">
        <v>3.0</v>
      </c>
      <c r="I737" s="118">
        <v>2144399.39</v>
      </c>
      <c r="J737" s="118">
        <v>2144399.39</v>
      </c>
      <c r="K737" s="117" t="inlineStr">
        <is>
          <t xml:space="preserve">yopildi | 1367</t>
        </is>
      </c>
    </row>
    <row r="738">
      <c r="A738" s="117" t="inlineStr">
        <is>
          <t xml:space="preserve">ХОРАЗМ ВИЛОЯТИ</t>
        </is>
      </c>
      <c r="B738" s="117" t="inlineStr">
        <is>
          <t xml:space="preserve">SUPER BRANCH</t>
        </is>
      </c>
      <c r="C738" s="117" t="inlineStr">
        <is>
          <t xml:space="preserve">Обещали</t>
        </is>
      </c>
      <c r="D738" s="117" t="inlineStr">
        <is>
          <t xml:space="preserve">Кр-99040505-1</t>
        </is>
      </c>
      <c r="E738" s="117" t="inlineStr">
        <is>
          <t xml:space="preserve">EGAMOVA XOLISXON ALLABERGANOVNA</t>
        </is>
      </c>
      <c r="F738" s="117" t="inlineStr">
        <is>
          <t xml:space="preserve">998934531982 SMS ERI, 998934268290 SMS OZI, 998997464344 SMS AKASI, 998991167127 SMS UKASI,</t>
        </is>
      </c>
      <c r="G738" s="117" t="inlineStr">
        <is>
          <t xml:space="preserve">XORAZM VILOYATI URGANCH SHAHAR MASHAL MFY XIVA 2-YULAK 3-UY</t>
        </is>
      </c>
      <c r="H738" s="118">
        <v>3.0</v>
      </c>
      <c r="I738" s="118">
        <v>1866604.64</v>
      </c>
      <c r="K738" s="117" t="inlineStr">
        <is>
          <t xml:space="preserve">akasi tolaberad bugun | 1036</t>
        </is>
      </c>
    </row>
    <row r="739">
      <c r="A739" s="117" t="inlineStr">
        <is>
          <t xml:space="preserve">ХОРАЗМ ВИЛОЯТИ</t>
        </is>
      </c>
      <c r="B739" s="117" t="inlineStr">
        <is>
          <t xml:space="preserve">SUPER BRANCH</t>
        </is>
      </c>
      <c r="C739" s="117" t="inlineStr">
        <is>
          <t xml:space="preserve">Обещали</t>
        </is>
      </c>
      <c r="D739" s="117" t="inlineStr">
        <is>
          <t xml:space="preserve">Кр-99036516-4</t>
        </is>
      </c>
      <c r="E739" s="117" t="inlineStr">
        <is>
          <t xml:space="preserve">XUDAYBERGANOV RAVSHANBEK SOTIMBOYEVICH</t>
        </is>
      </c>
      <c r="F739" s="117" t="inlineStr">
        <is>
          <t xml:space="preserve">998972117602 SMS OZI, 998976067602 SMS AYOLI,</t>
        </is>
      </c>
      <c r="G739" s="117" t="inlineStr">
        <is>
          <t xml:space="preserve">XORAZM VILOYATI URGANCH TUMANI YUQORIBOG’ QISHLOG’I BOG’DORCHI MAXALLASI</t>
        </is>
      </c>
      <c r="H739" s="118">
        <v>3.0</v>
      </c>
      <c r="I739" s="118">
        <v>1107982.17</v>
      </c>
      <c r="K739" s="117" t="inlineStr">
        <is>
          <t xml:space="preserve">bugn yopad | 662</t>
        </is>
      </c>
    </row>
    <row r="740">
      <c r="A740" s="117" t="inlineStr">
        <is>
          <t xml:space="preserve">ХОРАЗМ ВИЛОЯТИ</t>
        </is>
      </c>
      <c r="B740" s="117" t="inlineStr">
        <is>
          <t xml:space="preserve">SUPER BRANCH</t>
        </is>
      </c>
      <c r="C740" s="117" t="inlineStr">
        <is>
          <t xml:space="preserve">Обещали</t>
        </is>
      </c>
      <c r="D740" s="117" t="inlineStr">
        <is>
          <t xml:space="preserve">Кр-99043227-3</t>
        </is>
      </c>
      <c r="E740" s="117" t="inlineStr">
        <is>
          <t xml:space="preserve">JUMABOYEV IBROXIM ADAMBOYEVICH</t>
        </is>
      </c>
      <c r="F740" s="117" t="inlineStr">
        <is>
          <t xml:space="preserve">+998994293399 SMS UZI, 998938487479 SMS AYOLI, 998974580470 SMS OTASI,</t>
        </is>
      </c>
      <c r="G740" s="117" t="inlineStr">
        <is>
          <t xml:space="preserve">ХОРАЗМ ВИЛОЯТИ УРГАНЧ ШАХРИ Истиқлол МФЙ, Узбекистон кучаси, 31-уй</t>
        </is>
      </c>
      <c r="H740" s="118">
        <v>3.0</v>
      </c>
      <c r="I740" s="118">
        <v>1043524.11</v>
      </c>
      <c r="K740" s="117" t="inlineStr">
        <is>
          <t xml:space="preserve">bugun 18,00 yopad | 1289</t>
        </is>
      </c>
    </row>
    <row r="741">
      <c r="A741" s="117" t="inlineStr">
        <is>
          <t xml:space="preserve">ХОРАЗМ ВИЛОЯТИ</t>
        </is>
      </c>
      <c r="B741" s="117" t="inlineStr">
        <is>
          <t xml:space="preserve">SUPER BRANCH</t>
        </is>
      </c>
      <c r="C741" s="117" t="inlineStr">
        <is>
          <t xml:space="preserve">Оплатил дозвон</t>
        </is>
      </c>
      <c r="D741" s="117" t="inlineStr">
        <is>
          <t xml:space="preserve">Кр-99040248-2</t>
        </is>
      </c>
      <c r="E741" s="117" t="inlineStr">
        <is>
          <t xml:space="preserve">KARIMOV OG’ABEK MURODOVICH</t>
        </is>
      </c>
      <c r="F741" s="117" t="inlineStr">
        <is>
          <t xml:space="preserve">998975167776 SMS OZI, 998900770911 SMS ONASI, 998888587477 SMS AYOLI, 998885177776 SMS AYOLI2,</t>
        </is>
      </c>
      <c r="G741" s="117" t="inlineStr">
        <is>
          <t xml:space="preserve">XORAZM VILOYATI URGANCH TUMANI BAYNALMINALCHI MFY XUNARMAND 7-TOR KO’CHASI 1 A-UY</t>
        </is>
      </c>
      <c r="H741" s="118">
        <v>3.0</v>
      </c>
      <c r="I741" s="118">
        <v>1003504.22</v>
      </c>
      <c r="J741" s="118">
        <v>1003504.22</v>
      </c>
      <c r="K741" s="117" t="inlineStr">
        <is>
          <t xml:space="preserve">tolavotti | 979</t>
        </is>
      </c>
    </row>
    <row r="742">
      <c r="A742" s="117" t="inlineStr">
        <is>
          <t xml:space="preserve">ХОРАЗМ ВИЛОЯТИ</t>
        </is>
      </c>
      <c r="B742" s="117" t="inlineStr">
        <is>
          <t xml:space="preserve">SUPER BRANCH</t>
        </is>
      </c>
      <c r="C742" s="117" t="inlineStr">
        <is>
          <t xml:space="preserve">Обещали</t>
        </is>
      </c>
      <c r="D742" s="117" t="inlineStr">
        <is>
          <t xml:space="preserve">Кр-99026546-5</t>
        </is>
      </c>
      <c r="E742" s="117" t="inlineStr">
        <is>
          <t xml:space="preserve">EGAMBERDIYEV MAQSUDBEK IBRAGIMOVICH</t>
        </is>
      </c>
      <c r="F742" s="117" t="inlineStr">
        <is>
          <t xml:space="preserve">94-110-46-00  SMS OZI, 93-591-74-74  SMS UKASI, 91-197-80-80  SMS UKASI, 97-768-65-20  SMS SHERIGI, 911978080 SMS UKASI, 935917474 SMS UKASI, 941104600 SMS OZI, 977686520 SMS SHERIGI,</t>
        </is>
      </c>
      <c r="G742" s="117" t="inlineStr">
        <is>
          <t xml:space="preserve">ПИЧОКЧИ ҚФЙ, ПИЧОКЧИ МФЙ,  uy:Р/С</t>
        </is>
      </c>
      <c r="H742" s="118">
        <v>3.0</v>
      </c>
      <c r="I742" s="118">
        <v>937533.03</v>
      </c>
      <c r="K742" s="117" t="inlineStr">
        <is>
          <t xml:space="preserve">bugn yopad abetgacha | 208</t>
        </is>
      </c>
    </row>
    <row r="743">
      <c r="A743" s="117" t="inlineStr">
        <is>
          <t xml:space="preserve">ХОРАЗМ ВИЛОЯТИ</t>
        </is>
      </c>
      <c r="B743" s="117" t="inlineStr">
        <is>
          <t xml:space="preserve">SUPER BRANCH</t>
        </is>
      </c>
      <c r="C743" s="117" t="inlineStr">
        <is>
          <t xml:space="preserve">Ko'tardi</t>
        </is>
      </c>
      <c r="D743" s="117" t="inlineStr">
        <is>
          <t xml:space="preserve">Кр-99040138-2</t>
        </is>
      </c>
      <c r="E743" s="117" t="inlineStr">
        <is>
          <t xml:space="preserve">ALLABERGANOV SARDORBEK MURODBOYEVICH</t>
        </is>
      </c>
      <c r="F743" s="117" t="inlineStr">
        <is>
          <t xml:space="preserve">998771887377 SMS OZI, 997771269121 SMS AYOLI, 998995930664 SMS OTASI,</t>
        </is>
      </c>
      <c r="G743" s="117" t="inlineStr">
        <is>
          <t xml:space="preserve">XORAZM VILOYATI YANGIBOZOR TUMANI XALQOBOD MFY MFY SHARQ YULDUZI KO’CHASI 47-UY</t>
        </is>
      </c>
      <c r="H743" s="118">
        <v>3.0</v>
      </c>
      <c r="I743" s="118">
        <v>906230.64</v>
      </c>
      <c r="K743" s="117" t="inlineStr">
        <is>
          <t xml:space="preserve">adasi  bilan  gaplashdim etib qoyaman dd | 961</t>
        </is>
      </c>
    </row>
    <row r="744">
      <c r="A744" s="117" t="inlineStr">
        <is>
          <t xml:space="preserve">ХОРАЗМ ВИЛОЯТИ</t>
        </is>
      </c>
      <c r="B744" s="117" t="inlineStr">
        <is>
          <t xml:space="preserve">SUPER BRANCH</t>
        </is>
      </c>
      <c r="C744" s="117" t="inlineStr">
        <is>
          <t xml:space="preserve">Обещали</t>
        </is>
      </c>
      <c r="D744" s="117" t="inlineStr">
        <is>
          <t xml:space="preserve">Кр-99048112-1</t>
        </is>
      </c>
      <c r="E744" s="117" t="inlineStr">
        <is>
          <t xml:space="preserve">TAYIROV G’ANIBEK OKTAMOVICH</t>
        </is>
      </c>
      <c r="F744" s="117" t="inlineStr">
        <is>
          <t xml:space="preserve">998974582666 O'ZI, 998507562666 AYOLI, 998942352666 DADASI,</t>
        </is>
      </c>
      <c r="G744" s="117" t="inlineStr">
        <is>
          <t xml:space="preserve">XORAZM VILOYATI XONQA TUMANI YOSH KUCH MFY  UL TARAQQIYOT KO’CHASI 14-UY</t>
        </is>
      </c>
      <c r="I744" s="118">
        <v>645366.67</v>
      </c>
      <c r="K744" s="117" t="inlineStr">
        <is>
          <t xml:space="preserve">ertaga oylli olib tolavorad | 1402</t>
        </is>
      </c>
    </row>
    <row r="745">
      <c r="A745" s="117" t="inlineStr">
        <is>
          <t xml:space="preserve">ХОРАЗМ ВИЛОЯТИ</t>
        </is>
      </c>
      <c r="B745" s="117" t="inlineStr">
        <is>
          <t xml:space="preserve">SUPER BRANCH</t>
        </is>
      </c>
      <c r="C745" s="117" t="inlineStr">
        <is>
          <t xml:space="preserve">Обещали</t>
        </is>
      </c>
      <c r="D745" s="117" t="inlineStr">
        <is>
          <t xml:space="preserve">Кр-99040131-2</t>
        </is>
      </c>
      <c r="E745" s="117" t="inlineStr">
        <is>
          <t xml:space="preserve">YUSUPOV SHORIFJON ROMONBERGAN O’G’LI</t>
        </is>
      </c>
      <c r="F745" s="117" t="inlineStr">
        <is>
          <t xml:space="preserve">998999664447 SMS OZI, 998827744472 SMS AYOLI, 998956099999 SMS ISH,</t>
        </is>
      </c>
      <c r="G745" s="117" t="inlineStr">
        <is>
          <t xml:space="preserve">XORAZM VILOYATI URGANCH TUMANI BO’STON MFY MUQUMIY KUCHASI 113</t>
        </is>
      </c>
      <c r="H745" s="118">
        <v>3.0</v>
      </c>
      <c r="I745" s="118">
        <v>398415.37</v>
      </c>
      <c r="K745" s="117" t="inlineStr">
        <is>
          <t xml:space="preserve">bugun yopad | 958</t>
        </is>
      </c>
    </row>
    <row r="746">
      <c r="A746" s="117" t="inlineStr">
        <is>
          <t xml:space="preserve">ХОРАЗМ ВИЛОЯТИ</t>
        </is>
      </c>
      <c r="B746" s="117" t="inlineStr">
        <is>
          <t xml:space="preserve">SUPER BRANCH</t>
        </is>
      </c>
      <c r="C746" s="117" t="inlineStr">
        <is>
          <t xml:space="preserve">Обещали</t>
        </is>
      </c>
      <c r="D746" s="117" t="inlineStr">
        <is>
          <t xml:space="preserve">Кр-99040409-1</t>
        </is>
      </c>
      <c r="E746" s="117" t="inlineStr">
        <is>
          <t xml:space="preserve">MUXUDDINOVA FARANGIS NASRIDDINOVNA</t>
        </is>
      </c>
      <c r="F746" s="117" t="inlineStr">
        <is>
          <t xml:space="preserve">998887638992 SMS OZI, 998974570411 SMS OZI, 998879652265 SMS OZI,</t>
        </is>
      </c>
      <c r="G746" s="117" t="inlineStr">
        <is>
          <t xml:space="preserve">XORAZM VILOYATI YANGIARIQ TUMANI YANGIARIK KUCHASI 72-UY</t>
        </is>
      </c>
      <c r="H746" s="118">
        <v>3.0</v>
      </c>
      <c r="I746" s="118">
        <v>332294.96</v>
      </c>
      <c r="K746" s="117" t="inlineStr">
        <is>
          <t xml:space="preserve">1-2 kunda yopib beraman | 1015</t>
        </is>
      </c>
    </row>
    <row r="747">
      <c r="A747" s="117" t="inlineStr">
        <is>
          <t xml:space="preserve">ХОРАЗМ ВИЛОЯТИ</t>
        </is>
      </c>
      <c r="B747" s="117" t="inlineStr">
        <is>
          <t xml:space="preserve">SUPER BRANCH</t>
        </is>
      </c>
      <c r="C747" s="117" t="inlineStr">
        <is>
          <t xml:space="preserve">Обещали</t>
        </is>
      </c>
      <c r="D747" s="117" t="inlineStr">
        <is>
          <t xml:space="preserve">Кр-99043227-2</t>
        </is>
      </c>
      <c r="E747" s="117" t="inlineStr">
        <is>
          <t xml:space="preserve">JUMABOYEV IBROXIM ADAMBOYEVICH</t>
        </is>
      </c>
      <c r="F747" s="117" t="inlineStr">
        <is>
          <t xml:space="preserve">+998994293399 SMS UZI, 998938487479 SMS AYOLI, 998974580470 SMS OTASI,</t>
        </is>
      </c>
      <c r="G747" s="117" t="inlineStr">
        <is>
          <t xml:space="preserve">ХОРАЗМ ВИЛОЯТИ УРГАНЧ ШАХРИ Истиқлол МФЙ, Узбекистон кучаси, 31-уй</t>
        </is>
      </c>
      <c r="I747" s="118">
        <v>244974.3</v>
      </c>
      <c r="K747" s="117" t="inlineStr">
        <is>
          <t xml:space="preserve">bugun 18,00 yopad | 1288</t>
        </is>
      </c>
    </row>
    <row r="748">
      <c r="A748" s="117" t="inlineStr">
        <is>
          <t xml:space="preserve">ХОРАЗМ ВИЛОЯТИ</t>
        </is>
      </c>
      <c r="B748" s="117" t="inlineStr">
        <is>
          <t xml:space="preserve">SUPER BRANCH</t>
        </is>
      </c>
      <c r="C748" s="117" t="inlineStr">
        <is>
          <t xml:space="preserve">Оплатил дозвон</t>
        </is>
      </c>
      <c r="D748" s="117" t="inlineStr">
        <is>
          <t xml:space="preserve">Кр-99048302-1</t>
        </is>
      </c>
      <c r="E748" s="117" t="inlineStr">
        <is>
          <t xml:space="preserve">NURMATOV OG‘ABEK FAXRIDDIN O‘G‘LI</t>
        </is>
      </c>
      <c r="F748" s="117" t="inlineStr">
        <is>
          <t xml:space="preserve">+998919981626 Primary phone from road24, 998919981626 Primary phone from road24, 998905580815 SMS OTASI, 998910908909 SMS AKASI,</t>
        </is>
      </c>
      <c r="G748" s="117" t="inlineStr">
        <is>
          <t xml:space="preserve">Хорезмская область, Шаватский район, Каткалъа ССГ, Янги турмуш МСГ, ул. Бунёдкор, дом 33</t>
        </is>
      </c>
      <c r="I748" s="118">
        <v>144126.75</v>
      </c>
      <c r="J748" s="118">
        <v>144126.75</v>
      </c>
      <c r="K748" s="117" t="inlineStr">
        <is>
          <t xml:space="preserve">hozi tolid | 1408</t>
        </is>
      </c>
    </row>
    <row r="749">
      <c r="A749" s="99" t="inlineStr">
        <is>
          <t xml:space="preserve">ХОРАЗМ ВИЛОЯТИ</t>
        </is>
      </c>
      <c r="B749" s="99" t="inlineStr">
        <is>
          <t xml:space="preserve">Урганч филиали</t>
        </is>
      </c>
      <c r="C749" s="99" t="inlineStr">
        <is>
          <t xml:space="preserve">Ko'tardi</t>
        </is>
      </c>
      <c r="D749" s="99" t="inlineStr">
        <is>
          <t xml:space="preserve">Кр-99040909-1</t>
        </is>
      </c>
      <c r="E749" s="99" t="inlineStr">
        <is>
          <t xml:space="preserve">OTAXONOV DIYORBEK ERGASH O’G’LI</t>
        </is>
      </c>
      <c r="F749" s="99" t="inlineStr">
        <is>
          <t xml:space="preserve">998970150686 SMS OTASI, 998954170093 SMS UZI (BEGONA), 998972392704 SMS AYOLI, 998976052704 SMS UZI, 998880939698 SMS UZI new, 998874639000 sms ozi new,</t>
        </is>
      </c>
      <c r="G749" s="99" t="inlineStr">
        <is>
          <t xml:space="preserve">Маданият МФЙ, Мустақиллик кучаси, 37A-уй</t>
        </is>
      </c>
      <c r="H749" s="100">
        <v>6.0</v>
      </c>
      <c r="I749" s="100">
        <v>7431205.3</v>
      </c>
      <c r="K749" s="99" t="inlineStr">
        <is>
          <t xml:space="preserve">boshqa joydan kredit chiqarvommiz  yopilad dvotti | 1087</t>
        </is>
      </c>
    </row>
    <row r="750">
      <c r="A750" s="99" t="inlineStr">
        <is>
          <t xml:space="preserve">ХОРАЗМ ВИЛОЯТИ</t>
        </is>
      </c>
      <c r="B750" s="99" t="inlineStr">
        <is>
          <t xml:space="preserve">Урганч филиали</t>
        </is>
      </c>
      <c r="C750" s="99" t="inlineStr">
        <is>
          <t xml:space="preserve">Ko'tardi</t>
        </is>
      </c>
      <c r="D750" s="99" t="inlineStr">
        <is>
          <t xml:space="preserve">Кр-99022070-7</t>
        </is>
      </c>
      <c r="E750" s="99" t="inlineStr">
        <is>
          <t xml:space="preserve">BABAJONOVA DILNOZA KADAMBOYEVNA</t>
        </is>
      </c>
      <c r="F750" s="99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750" s="99" t="inlineStr">
        <is>
          <t xml:space="preserve">XORAZM VILOYATI URGANCH SHAXAR NAVRUZ MAXALLASI NAVBAHOR 3-TOR KUCHASI 36-UY</t>
        </is>
      </c>
      <c r="H750" s="100">
        <v>3.0</v>
      </c>
      <c r="I750" s="100">
        <v>6413999.11</v>
      </c>
      <c r="K750" s="99" t="inlineStr">
        <is>
          <t xml:space="preserve">ou oxiri yopad | 151</t>
        </is>
      </c>
    </row>
    <row r="751">
      <c r="A751" s="99" t="inlineStr">
        <is>
          <t xml:space="preserve">ХОРАЗМ ВИЛОЯТИ</t>
        </is>
      </c>
      <c r="B751" s="99" t="inlineStr">
        <is>
          <t xml:space="preserve">Урганч филиали</t>
        </is>
      </c>
      <c r="C751" s="99" t="inlineStr">
        <is>
          <t xml:space="preserve">Обещали</t>
        </is>
      </c>
      <c r="D751" s="99" t="inlineStr">
        <is>
          <t xml:space="preserve">Кр-99041894-1</t>
        </is>
      </c>
      <c r="E751" s="99" t="inlineStr">
        <is>
          <t xml:space="preserve">SAIDOV ALISHER BOG’BEKOVICH</t>
        </is>
      </c>
      <c r="F751" s="99" t="inlineStr">
        <is>
          <t xml:space="preserve">+998942564444 SMS UZI, 998903344044 SMS UZI 2, 998904517757 SMS AYOLI,</t>
        </is>
      </c>
      <c r="G751" s="99" t="inlineStr">
        <is>
          <t xml:space="preserve">ХОРАЗМ ВИЛОЯТИ ХАЗОРАСП ТУМАНИ ЖАЛОЛАДДИН МАНГУБЕРДИ МФЙ ШАРОФ РАШИДОВ КУЧАСИ 79 УЙ</t>
        </is>
      </c>
      <c r="I751" s="100">
        <v>5296518.35</v>
      </c>
      <c r="K751" s="99" t="inlineStr">
        <is>
          <t xml:space="preserve">bugn yo erta id dan urvorad | 1220</t>
        </is>
      </c>
    </row>
    <row r="752">
      <c r="A752" s="99" t="inlineStr">
        <is>
          <t xml:space="preserve">ХОРАЗМ ВИЛОЯТИ</t>
        </is>
      </c>
      <c r="B752" s="99" t="inlineStr">
        <is>
          <t xml:space="preserve">Урганч филиали</t>
        </is>
      </c>
      <c r="C752" s="99" t="inlineStr">
        <is>
          <t xml:space="preserve">Обещали</t>
        </is>
      </c>
      <c r="D752" s="99" t="inlineStr">
        <is>
          <t xml:space="preserve">Кр-99045126-1</t>
        </is>
      </c>
      <c r="E752" s="99" t="inlineStr">
        <is>
          <t xml:space="preserve">JUMANIYAZOV ODILBEK BABAYEVICH</t>
        </is>
      </c>
      <c r="F752" s="99" t="inlineStr">
        <is>
          <t xml:space="preserve">+998910937717 SMS UZI, 998900901415 SMS UZI 2, 998950132029 SMS AYOLI,</t>
        </is>
      </c>
      <c r="G752" s="99" t="inlineStr">
        <is>
          <t xml:space="preserve">ХОРАЗМ ВИЛОЯТИ БОГОТ ТУМАНИ УГИЗРАВОТ ҚФЙ, УСТАЛАР МФЙ, ЧАШМА КЎЧАСИ,  uy:16</t>
        </is>
      </c>
      <c r="H752" s="100">
        <v>3.0</v>
      </c>
      <c r="I752" s="100">
        <v>4976722.77</v>
      </c>
      <c r="K752" s="99" t="inlineStr">
        <is>
          <t xml:space="preserve">bugn kechga 18,000 | 1323</t>
        </is>
      </c>
    </row>
    <row r="753">
      <c r="A753" s="99" t="inlineStr">
        <is>
          <t xml:space="preserve">ХОРАЗМ ВИЛОЯТИ</t>
        </is>
      </c>
      <c r="B753" s="99" t="inlineStr">
        <is>
          <t xml:space="preserve">Урганч филиали</t>
        </is>
      </c>
      <c r="C753" s="99" t="inlineStr">
        <is>
          <t xml:space="preserve">Обещали</t>
        </is>
      </c>
      <c r="D753" s="99" t="inlineStr">
        <is>
          <t xml:space="preserve">Кр-99034208-1</t>
        </is>
      </c>
      <c r="E753" s="99" t="inlineStr">
        <is>
          <t xml:space="preserve">NORBOYEV NURBEK SHUXRAT O’G’LI</t>
        </is>
      </c>
      <c r="F753" s="99" t="inlineStr">
        <is>
          <t xml:space="preserve">998991710010 SMS OZI, 998999616062 SMS UKASI, 998995071515 SMS AKASI, 998994461983 SMS DOSTI, 998991220010 SMS OTASI,</t>
        </is>
      </c>
      <c r="G753" s="99" t="inlineStr">
        <is>
          <t xml:space="preserve">XORAZM VILOYATI SHOVOT TUMANI GULZOR KUCHASI 20-UY</t>
        </is>
      </c>
      <c r="H753" s="100">
        <v>3.0</v>
      </c>
      <c r="I753" s="100">
        <v>4644361.65</v>
      </c>
      <c r="K753" s="99" t="inlineStr">
        <is>
          <t xml:space="preserve">1-2 kunda yopad | 527</t>
        </is>
      </c>
    </row>
    <row r="754">
      <c r="A754" s="99" t="inlineStr">
        <is>
          <t xml:space="preserve">ХОРАЗМ ВИЛОЯТИ</t>
        </is>
      </c>
      <c r="B754" s="99" t="inlineStr">
        <is>
          <t xml:space="preserve">Урганч филиали</t>
        </is>
      </c>
      <c r="C754" s="99" t="inlineStr">
        <is>
          <t xml:space="preserve">Обещали</t>
        </is>
      </c>
      <c r="D754" s="99" t="inlineStr">
        <is>
          <t xml:space="preserve">Кр-99041327-1</t>
        </is>
      </c>
      <c r="E754" s="99" t="inlineStr">
        <is>
          <t xml:space="preserve">SAPAROVA YULDUZ RADJAPBAYEVNA</t>
        </is>
      </c>
      <c r="F754" s="99" t="inlineStr">
        <is>
          <t xml:space="preserve">+998994330009 SMS ERI, 998770156009 SMS O’G’LI, 998914314419 SMS UZI,</t>
        </is>
      </c>
      <c r="G754" s="99" t="inlineStr">
        <is>
          <t xml:space="preserve">Қармиш МФЙ, Маданият кучаси, 94/1-уй</t>
        </is>
      </c>
      <c r="H754" s="100">
        <v>3.0</v>
      </c>
      <c r="I754" s="100">
        <v>4638966.35</v>
      </c>
      <c r="K754" s="99" t="inlineStr">
        <is>
          <t xml:space="preserve">bugun kechga yopad | 1145</t>
        </is>
      </c>
    </row>
    <row r="755">
      <c r="A755" s="99" t="inlineStr">
        <is>
          <t xml:space="preserve">ХОРАЗМ ВИЛОЯТИ</t>
        </is>
      </c>
      <c r="B755" s="99" t="inlineStr">
        <is>
          <t xml:space="preserve">Урганч филиали</t>
        </is>
      </c>
      <c r="C755" s="99" t="inlineStr">
        <is>
          <t xml:space="preserve">Обещали</t>
        </is>
      </c>
      <c r="D755" s="99" t="inlineStr">
        <is>
          <t xml:space="preserve">Кр-99041519-1</t>
        </is>
      </c>
      <c r="E755" s="99" t="inlineStr">
        <is>
          <t xml:space="preserve">ATAYEV ERKINBAY BAYJANOVICH</t>
        </is>
      </c>
      <c r="F755" s="99" t="inlineStr">
        <is>
          <t xml:space="preserve">+998995705003 SMS UZI, 998914244747 SMS O’G’LI, 998955244747 SMS O’G’LI,</t>
        </is>
      </c>
      <c r="G755" s="99" t="inlineStr">
        <is>
          <t xml:space="preserve">ЭСКИ ҚИЁТ ҚФЙ, КУШЧИ КАТТАБОГ МФЙ, ПАЛВОН,  uy:18</t>
        </is>
      </c>
      <c r="H755" s="100">
        <v>3.0</v>
      </c>
      <c r="I755" s="100">
        <v>4483262.7</v>
      </c>
      <c r="K755" s="99" t="inlineStr">
        <is>
          <t xml:space="preserve">Ogli  bilan gaplashdim yopib beraman dd shu bugn | 1177</t>
        </is>
      </c>
    </row>
    <row r="756">
      <c r="A756" s="99" t="inlineStr">
        <is>
          <t xml:space="preserve">ХОРАЗМ ВИЛОЯТИ</t>
        </is>
      </c>
      <c r="B756" s="99" t="inlineStr">
        <is>
          <t xml:space="preserve">Урганч филиали</t>
        </is>
      </c>
      <c r="C756" s="99" t="inlineStr">
        <is>
          <t xml:space="preserve">Ko'tardi</t>
        </is>
      </c>
      <c r="D756" s="99" t="inlineStr">
        <is>
          <t xml:space="preserve">Кр-99040754-1</t>
        </is>
      </c>
      <c r="E756" s="99" t="inlineStr">
        <is>
          <t xml:space="preserve">AXMEDOV UMIDJON MASHARIPOVICH</t>
        </is>
      </c>
      <c r="F756" s="99" t="inlineStr">
        <is>
          <t xml:space="preserve">+998774168402 SMS UZI, 998887900082 SMS AKASI, 998943197880 SMS OPASI,</t>
        </is>
      </c>
      <c r="G756" s="99" t="inlineStr">
        <is>
          <t xml:space="preserve">Янги боғ МФЙ, Тинчлик кучаси, 30-уй</t>
        </is>
      </c>
      <c r="H756" s="100">
        <v>3.0</v>
      </c>
      <c r="I756" s="100">
        <v>4381755.05</v>
      </c>
      <c r="K756" s="99" t="inlineStr">
        <is>
          <t xml:space="preserve">opasi bilan gaplashdim etib qoyaman dd | 1069</t>
        </is>
      </c>
    </row>
    <row r="757">
      <c r="A757" s="99" t="inlineStr">
        <is>
          <t xml:space="preserve">ХОРАЗМ ВИЛОЯТИ</t>
        </is>
      </c>
      <c r="B757" s="99" t="inlineStr">
        <is>
          <t xml:space="preserve">Урганч филиали</t>
        </is>
      </c>
      <c r="C757" s="99" t="inlineStr">
        <is>
          <t xml:space="preserve">Обещали</t>
        </is>
      </c>
      <c r="D757" s="99" t="inlineStr">
        <is>
          <t xml:space="preserve">Кр-99040804-1</t>
        </is>
      </c>
      <c r="E757" s="99" t="inlineStr">
        <is>
          <t xml:space="preserve">TAJIYEV LAZIZBEK SAPARBAYEVICH</t>
        </is>
      </c>
      <c r="F757" s="99" t="inlineStr">
        <is>
          <t xml:space="preserve">+998907138320 SMS UZI, 998914205742 SMS AYOLI, 998992582701 SMS O’G’LI,</t>
        </is>
      </c>
      <c r="G757" s="99" t="inlineStr">
        <is>
          <t xml:space="preserve">Дўстлик МФЙ, Фаробий кучаси, 9-уй</t>
        </is>
      </c>
      <c r="H757" s="100">
        <v>3.0</v>
      </c>
      <c r="I757" s="100">
        <v>4319456.28</v>
      </c>
      <c r="K757" s="99" t="inlineStr">
        <is>
          <t xml:space="preserve">Boshqa bankdan kredit ovotti hammasini yoparkan | 1077</t>
        </is>
      </c>
    </row>
    <row r="758">
      <c r="A758" s="99" t="inlineStr">
        <is>
          <t xml:space="preserve">ХОРАЗМ ВИЛОЯТИ</t>
        </is>
      </c>
      <c r="B758" s="99" t="inlineStr">
        <is>
          <t xml:space="preserve">Урганч филиали</t>
        </is>
      </c>
      <c r="C758" s="99" t="inlineStr">
        <is>
          <t xml:space="preserve">Ko'tardi</t>
        </is>
      </c>
      <c r="D758" s="99" t="inlineStr">
        <is>
          <t xml:space="preserve">Кр-99041388-1</t>
        </is>
      </c>
      <c r="E758" s="99" t="inlineStr">
        <is>
          <t xml:space="preserve">ANNAKOV OYBEK RAJABOVICH</t>
        </is>
      </c>
      <c r="F758" s="99" t="inlineStr">
        <is>
          <t xml:space="preserve">+998933103143 SMS UZI, 998500761161 SMS O’G’LI, 998947708191 SMS AYOLI,</t>
        </is>
      </c>
      <c r="G758" s="99" t="inlineStr">
        <is>
          <t xml:space="preserve">КИРК-ЁП ҚФЙ, ОБОД МФЙ,  uy:Р/С</t>
        </is>
      </c>
      <c r="H758" s="100">
        <v>3.0</v>
      </c>
      <c r="I758" s="100">
        <v>4216122.35</v>
      </c>
      <c r="K758" s="99" t="inlineStr">
        <is>
          <t xml:space="preserve">oyliginmi kutvomman olsam tolaberaman dd | 1159</t>
        </is>
      </c>
    </row>
    <row r="759">
      <c r="A759" s="99" t="inlineStr">
        <is>
          <t xml:space="preserve">ХОРАЗМ ВИЛОЯТИ</t>
        </is>
      </c>
      <c r="B759" s="99" t="inlineStr">
        <is>
          <t xml:space="preserve">Урганч филиали</t>
        </is>
      </c>
      <c r="C759" s="99" t="inlineStr">
        <is>
          <t xml:space="preserve">Обещали</t>
        </is>
      </c>
      <c r="D759" s="99" t="inlineStr">
        <is>
          <t xml:space="preserve">Кр-99040991-1</t>
        </is>
      </c>
      <c r="E759" s="99" t="inlineStr">
        <is>
          <t xml:space="preserve">YULDASHEV ABDURAUF ERGASHEVICH</t>
        </is>
      </c>
      <c r="F759" s="99" t="inlineStr">
        <is>
          <t xml:space="preserve">+998990911604 SMS UZI, 998904355651 SMS ONASI, 998907751279 SMS OTASI,</t>
        </is>
      </c>
      <c r="G759" s="99" t="inlineStr">
        <is>
          <t xml:space="preserve">Хорезмская область, Багатский район, Кулонкорабог ССГ, Кулонкорабог МСГ, ул. Кулоллар, дом 92</t>
        </is>
      </c>
      <c r="H759" s="100">
        <v>6.0</v>
      </c>
      <c r="I759" s="100">
        <v>4099951.06</v>
      </c>
      <c r="K759" s="99" t="inlineStr">
        <is>
          <t xml:space="preserve">bugn kechga yoki ertaga abetgacha yopad | 1094</t>
        </is>
      </c>
    </row>
    <row r="760">
      <c r="A760" s="99" t="inlineStr">
        <is>
          <t xml:space="preserve">ХОРАЗМ ВИЛОЯТИ</t>
        </is>
      </c>
      <c r="B760" s="99" t="inlineStr">
        <is>
          <t xml:space="preserve">Урганч филиали</t>
        </is>
      </c>
      <c r="C760" s="99" t="inlineStr">
        <is>
          <t xml:space="preserve">Обещали</t>
        </is>
      </c>
      <c r="D760" s="99" t="inlineStr">
        <is>
          <t xml:space="preserve">Кр-99040758-1</t>
        </is>
      </c>
      <c r="E760" s="99" t="inlineStr">
        <is>
          <t xml:space="preserve">YUSUPOV MAXMUDJON OTAMURATOVICH</t>
        </is>
      </c>
      <c r="F760" s="99" t="inlineStr">
        <is>
          <t xml:space="preserve">+998975156116 SMS ozi, 998975156126 SMS AYOLI, 998975293533 SMS JIYANI,</t>
        </is>
      </c>
      <c r="G760" s="99" t="inlineStr">
        <is>
          <t xml:space="preserve">УРГАНЧ Ш., БОБУР МФЙ, Т.МАЛИК КЎЧАСИ 3-ЙЎЛАК,  uy:27</t>
        </is>
      </c>
      <c r="H760" s="100">
        <v>3.0</v>
      </c>
      <c r="I760" s="100">
        <v>4085356.03</v>
      </c>
      <c r="K760" s="99" t="inlineStr">
        <is>
          <t xml:space="preserve">Oyligini kutvoti olishi billan tiolavorad | 1071</t>
        </is>
      </c>
    </row>
    <row r="761">
      <c r="A761" s="99" t="inlineStr">
        <is>
          <t xml:space="preserve">ХОРАЗМ ВИЛОЯТИ</t>
        </is>
      </c>
      <c r="B761" s="99" t="inlineStr">
        <is>
          <t xml:space="preserve">Урганч филиали</t>
        </is>
      </c>
      <c r="C761" s="99" t="inlineStr">
        <is>
          <t xml:space="preserve">Оплатил дозвон</t>
        </is>
      </c>
      <c r="D761" s="99" t="inlineStr">
        <is>
          <t xml:space="preserve">Кр-99046032-1</t>
        </is>
      </c>
      <c r="E761" s="99" t="inlineStr">
        <is>
          <t xml:space="preserve">NURMETOV OTABEK ISMAILOVICH</t>
        </is>
      </c>
      <c r="F761" s="99" t="inlineStr">
        <is>
          <t xml:space="preserve">+998955903632 SMS O’G’LI, 998993134005 SMS AYOLI, 998993837328 SMS UZI,</t>
        </is>
      </c>
      <c r="G761" s="99" t="inlineStr">
        <is>
          <t xml:space="preserve">Хорезмская область, Ургенчский район, Чондиркиёт ССГ, Киллавут МСГ, ул. Проектная, дом 73</t>
        </is>
      </c>
      <c r="H761" s="100">
        <v>3.0</v>
      </c>
      <c r="I761" s="100">
        <v>3653019.78</v>
      </c>
      <c r="J761" s="100">
        <v>3653019.78</v>
      </c>
      <c r="K761" s="99" t="inlineStr">
        <is>
          <t xml:space="preserve">yopildi | 1344</t>
        </is>
      </c>
    </row>
    <row r="762">
      <c r="A762" s="99" t="inlineStr">
        <is>
          <t xml:space="preserve">ХОРАЗМ ВИЛОЯТИ</t>
        </is>
      </c>
      <c r="B762" s="99" t="inlineStr">
        <is>
          <t xml:space="preserve">Урганч филиали</t>
        </is>
      </c>
      <c r="C762" s="99" t="inlineStr">
        <is>
          <t xml:space="preserve">Ko'tardi</t>
        </is>
      </c>
      <c r="D762" s="99" t="inlineStr">
        <is>
          <t xml:space="preserve">Кр-99047926-1</t>
        </is>
      </c>
      <c r="E762" s="99" t="inlineStr">
        <is>
          <t xml:space="preserve">QADIROV NIZOMBOY ALLABERGANOVICH</t>
        </is>
      </c>
      <c r="F762" s="99" t="inlineStr">
        <is>
          <t xml:space="preserve">+998937536776 SMS UZI, 998942359728 SMS QIZI,</t>
        </is>
      </c>
      <c r="G762" s="99" t="inlineStr">
        <is>
          <t xml:space="preserve">ХОРАЗМ ВИЛОЯТИ БОГОТ ТУМАНИ МИРИШКОР ҚФЙ, СОХИБКОР МФЙ, ХАЛК ОБОД КЎЧАСИ,  uy:60</t>
        </is>
      </c>
      <c r="H762" s="100">
        <v>3.0</v>
      </c>
      <c r="I762" s="100">
        <v>3479799.44</v>
      </c>
      <c r="K762" s="99" t="inlineStr">
        <is>
          <t xml:space="preserve">boshqa joydan kredit ovotganakan ertaga yopilad dd | 1400</t>
        </is>
      </c>
    </row>
    <row r="763">
      <c r="A763" s="99" t="inlineStr">
        <is>
          <t xml:space="preserve">ХОРАЗМ ВИЛОЯТИ</t>
        </is>
      </c>
      <c r="B763" s="99" t="inlineStr">
        <is>
          <t xml:space="preserve">Урганч филиали</t>
        </is>
      </c>
      <c r="C763" s="99" t="inlineStr">
        <is>
          <t xml:space="preserve">Ko'tardi</t>
        </is>
      </c>
      <c r="D763" s="99" t="inlineStr">
        <is>
          <t xml:space="preserve">Кр-99040465-1</t>
        </is>
      </c>
      <c r="E763" s="99" t="inlineStr">
        <is>
          <t xml:space="preserve">AVAZMETOV FURQAT OTAXON O’G’LI</t>
        </is>
      </c>
      <c r="F763" s="99" t="inlineStr">
        <is>
          <t xml:space="preserve">+998937586161 SMS UZI, 998337586161 SMS AYOLI, 998337900202 SMS UZI 2 begona, 998930921161 SMS UKASI, 998942369696 SMS AKASI JURAT,</t>
        </is>
      </c>
      <c r="G763" s="99" t="inlineStr">
        <is>
          <t xml:space="preserve">ГУЛОБОД ҚФЙ, КЎНҒИРОТ МФЙ, СОГЛОМ ТУРМУШ КЎЧАСИ,  uy:58</t>
        </is>
      </c>
      <c r="H763" s="100">
        <v>3.0</v>
      </c>
      <c r="I763" s="100">
        <v>3450314.12</v>
      </c>
      <c r="K763" s="99" t="inlineStr">
        <is>
          <t xml:space="preserve">hozi  yoldaman qaytib chiqaman dd | 1022</t>
        </is>
      </c>
    </row>
    <row r="764">
      <c r="A764" s="99" t="inlineStr">
        <is>
          <t xml:space="preserve">ХОРАЗМ ВИЛОЯТИ</t>
        </is>
      </c>
      <c r="B764" s="99" t="inlineStr">
        <is>
          <t xml:space="preserve">Урганч филиали</t>
        </is>
      </c>
      <c r="C764" s="99" t="inlineStr">
        <is>
          <t xml:space="preserve">Обещали</t>
        </is>
      </c>
      <c r="D764" s="99" t="inlineStr">
        <is>
          <t xml:space="preserve">Кр-99031403-1</t>
        </is>
      </c>
      <c r="E764" s="99" t="inlineStr">
        <is>
          <t xml:space="preserve">SHARIFOV UMRBEK XASANOVICH</t>
        </is>
      </c>
      <c r="F764" s="99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764" s="99" t="inlineStr">
        <is>
          <t xml:space="preserve">XORAZM VILOYATI AL-XORAZMIY MFY SAMARQAND KUCHA 134-UY</t>
        </is>
      </c>
      <c r="H764" s="100">
        <v>6.0</v>
      </c>
      <c r="I764" s="100">
        <v>3347125.5</v>
      </c>
      <c r="K764" s="99" t="inlineStr">
        <is>
          <t xml:space="preserve">Usta pul kutvotti 1-2 kunda banka pul tushsa yopporad | 383</t>
        </is>
      </c>
    </row>
    <row r="765">
      <c r="A765" s="99" t="inlineStr">
        <is>
          <t xml:space="preserve">ХОРАЗМ ВИЛОЯТИ</t>
        </is>
      </c>
      <c r="B765" s="99" t="inlineStr">
        <is>
          <t xml:space="preserve">Урганч филиали</t>
        </is>
      </c>
      <c r="C765" s="99" t="inlineStr">
        <is>
          <t xml:space="preserve">Ko'tardi</t>
        </is>
      </c>
      <c r="D765" s="99" t="inlineStr">
        <is>
          <t xml:space="preserve">Кр-99031400-1</t>
        </is>
      </c>
      <c r="E765" s="99" t="inlineStr">
        <is>
          <t xml:space="preserve">JUMANIYOZOV DOSTON MADAMIN O’G’LI</t>
        </is>
      </c>
      <c r="F765" s="99" t="inlineStr">
        <is>
          <t xml:space="preserve">88-080-34-74  SMS O’ZI, 97-456-37-73  SMS AKASI, 97-202-02-66  SMS ONASI, 97-510-44-07  SMS AKASI 2,</t>
        </is>
      </c>
      <c r="G765" s="99" t="inlineStr">
        <is>
          <t xml:space="preserve">XORAZM VILOYATI YANGIARIQ TUMANI TAGAN QFY KULLAVUD MFY SAXOVAT 101-UY </t>
        </is>
      </c>
      <c r="H765" s="100">
        <v>6.0</v>
      </c>
      <c r="I765" s="100">
        <v>3320967.03</v>
      </c>
      <c r="K765" s="99" t="inlineStr">
        <is>
          <t xml:space="preserve">Akasi bilan gaplashdim etib qoyad ukasiga | 381</t>
        </is>
      </c>
    </row>
    <row r="766">
      <c r="A766" s="99" t="inlineStr">
        <is>
          <t xml:space="preserve">ХОРАЗМ ВИЛОЯТИ</t>
        </is>
      </c>
      <c r="B766" s="99" t="inlineStr">
        <is>
          <t xml:space="preserve">Урганч филиали</t>
        </is>
      </c>
      <c r="C766" s="99" t="inlineStr">
        <is>
          <t xml:space="preserve">Ko'tardi</t>
        </is>
      </c>
      <c r="D766" s="99" t="inlineStr">
        <is>
          <t xml:space="preserve">Кр-99029211-1</t>
        </is>
      </c>
      <c r="E766" s="99" t="inlineStr">
        <is>
          <t xml:space="preserve">MASHARIPOV BEHZOD SHAVKAT O’G’LI</t>
        </is>
      </c>
      <c r="F766" s="99" t="inlineStr">
        <is>
          <t xml:space="preserve">93-288-35-38 sms UZI, 93-758-31-40 sms ONASI, 93-862-66-64 sms OTASI, 95-344-54-51 sms AYOLI begona,</t>
        </is>
      </c>
      <c r="G766" s="99" t="inlineStr">
        <is>
          <t xml:space="preserve">XORAZM VILOYATI XAZORASP TUMANI PICHOQCHI QFY 12 NARVON MFY GULZOR KOCHASI</t>
        </is>
      </c>
      <c r="H766" s="100">
        <v>1.0</v>
      </c>
      <c r="I766" s="100">
        <v>3273772.74</v>
      </c>
      <c r="K766" s="99" t="inlineStr">
        <is>
          <t xml:space="preserve">adasi bilan gaplashdim etib qoyad ogliga | 313</t>
        </is>
      </c>
    </row>
    <row r="767">
      <c r="A767" s="99" t="inlineStr">
        <is>
          <t xml:space="preserve">ХОРАЗМ ВИЛОЯТИ</t>
        </is>
      </c>
      <c r="B767" s="99" t="inlineStr">
        <is>
          <t xml:space="preserve">Урганч филиали</t>
        </is>
      </c>
      <c r="C767" s="99" t="inlineStr">
        <is>
          <t xml:space="preserve">Обещали</t>
        </is>
      </c>
      <c r="D767" s="99" t="inlineStr">
        <is>
          <t xml:space="preserve">Кр-99032260-1</t>
        </is>
      </c>
      <c r="E767" s="99" t="inlineStr">
        <is>
          <t xml:space="preserve">ISKANDAROV SA’NATBEK BAXODIR O’G’LI</t>
        </is>
      </c>
      <c r="F767" s="99" t="inlineStr">
        <is>
          <t xml:space="preserve">998990962725 SMS O’ZI, 998991160181 SMS OTASI, 998942980726 SMS UKASI,</t>
        </is>
      </c>
      <c r="G767" s="99" t="inlineStr">
        <is>
          <t xml:space="preserve">XORAZM VILOYATI XAZORASP TUMANI TURTTA MAXALLASI XURRIYAT KUCHASI 365 UY</t>
        </is>
      </c>
      <c r="H767" s="100">
        <v>3.0</v>
      </c>
      <c r="I767" s="100">
        <v>3193976.21</v>
      </c>
      <c r="K767" s="99" t="inlineStr">
        <is>
          <t xml:space="preserve">adasi bilan gaplashdim ogli 11-sanada pul tashirkan | 419</t>
        </is>
      </c>
    </row>
    <row r="768">
      <c r="A768" s="99" t="inlineStr">
        <is>
          <t xml:space="preserve">ХОРАЗМ ВИЛОЯТИ</t>
        </is>
      </c>
      <c r="B768" s="99" t="inlineStr">
        <is>
          <t xml:space="preserve">Урганч филиали</t>
        </is>
      </c>
      <c r="C768" s="99" t="inlineStr">
        <is>
          <t xml:space="preserve">Обещали</t>
        </is>
      </c>
      <c r="D768" s="99" t="inlineStr">
        <is>
          <t xml:space="preserve">Кр-99032261-1</t>
        </is>
      </c>
      <c r="E768" s="99" t="inlineStr">
        <is>
          <t xml:space="preserve">QALANDAROV MUNIS IKROMBOYEVICH</t>
        </is>
      </c>
      <c r="F768" s="99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768" s="99" t="inlineStr">
        <is>
          <t xml:space="preserve">XORAZM VILOYATI BO’GOT TUMANI XUNARMAND MFY O’ZBEKISTON KELAJAGI KUCHASI 17-UY</t>
        </is>
      </c>
      <c r="H768" s="100">
        <v>3.0</v>
      </c>
      <c r="I768" s="100">
        <v>2810680.22</v>
      </c>
      <c r="K768" s="99" t="inlineStr">
        <is>
          <t xml:space="preserve">15-sanaga rassiyadan pul tashid | 420</t>
        </is>
      </c>
    </row>
    <row r="769">
      <c r="A769" s="99" t="inlineStr">
        <is>
          <t xml:space="preserve">ХОРАЗМ ВИЛОЯТИ</t>
        </is>
      </c>
      <c r="B769" s="99" t="inlineStr">
        <is>
          <t xml:space="preserve">Урганч филиали</t>
        </is>
      </c>
      <c r="C769" s="99" t="inlineStr">
        <is>
          <t xml:space="preserve">Обещали</t>
        </is>
      </c>
      <c r="D769" s="99" t="inlineStr">
        <is>
          <t xml:space="preserve">Кр-99013487-3</t>
        </is>
      </c>
      <c r="E769" s="99" t="inlineStr">
        <is>
          <t xml:space="preserve">QURBONBOYEV JAVOHIR QUVONDIQ O’G’LI</t>
        </is>
      </c>
      <c r="F769" s="99" t="inlineStr">
        <is>
          <t xml:space="preserve">97-451-67-68 SMS UZI , 97-361-00-11  sms AKASI TULOVCHI 
 , 99-352-72-22  sms ADASI , 97-791-91-41  sms OYISI , 998976010011 SMS UZI 2,</t>
        </is>
      </c>
      <c r="G769" s="99" t="inlineStr">
        <is>
          <t xml:space="preserve">Хорезмская область, Ханкинский район, Хонка ГСГ, Эхтиром МСГ, ул. Олмазор, дом 28</t>
        </is>
      </c>
      <c r="H769" s="100">
        <v>3.0</v>
      </c>
      <c r="I769" s="100">
        <v>2656014.02</v>
      </c>
      <c r="K769" s="99" t="inlineStr">
        <is>
          <t xml:space="preserve">2 kunda yopib berad | 72</t>
        </is>
      </c>
    </row>
    <row r="770">
      <c r="A770" s="99" t="inlineStr">
        <is>
          <t xml:space="preserve">ХОРАЗМ ВИЛОЯТИ</t>
        </is>
      </c>
      <c r="B770" s="99" t="inlineStr">
        <is>
          <t xml:space="preserve">Урганч филиали</t>
        </is>
      </c>
      <c r="C770" s="99" t="inlineStr">
        <is>
          <t xml:space="preserve">Обещали</t>
        </is>
      </c>
      <c r="D770" s="99" t="inlineStr">
        <is>
          <t xml:space="preserve">Кр-99050892-2</t>
        </is>
      </c>
      <c r="E770" s="99" t="inlineStr">
        <is>
          <t xml:space="preserve">XALNIYAZOVA GUZAL SATIMBAYEVNA</t>
        </is>
      </c>
      <c r="F770" s="99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770" s="99" t="inlineStr">
        <is>
          <t xml:space="preserve">ХОРАЗМ ВИЛОЯТИ УРГАНЧ ШАХРИ Al-Xorazmiy MFY, Shabnam ko’chasi, 112-uy</t>
        </is>
      </c>
      <c r="H770" s="100">
        <v>3.0</v>
      </c>
      <c r="I770" s="100">
        <v>2650792.59</v>
      </c>
      <c r="K770" s="99" t="inlineStr">
        <is>
          <t xml:space="preserve">1-2 kunda yopib berad | 1465</t>
        </is>
      </c>
    </row>
    <row r="771">
      <c r="A771" s="99" t="inlineStr">
        <is>
          <t xml:space="preserve">ХОРАЗМ ВИЛОЯТИ</t>
        </is>
      </c>
      <c r="B771" s="99" t="inlineStr">
        <is>
          <t xml:space="preserve">Урганч филиали</t>
        </is>
      </c>
      <c r="C771" s="99" t="inlineStr">
        <is>
          <t xml:space="preserve">Ko'tardi</t>
        </is>
      </c>
      <c r="D771" s="99" t="inlineStr">
        <is>
          <t xml:space="preserve">Кр-99047148-1</t>
        </is>
      </c>
      <c r="E771" s="99" t="inlineStr">
        <is>
          <t xml:space="preserve">TILLAYEV ULUG’BEK FARXODOVICH</t>
        </is>
      </c>
      <c r="F771" s="99" t="inlineStr">
        <is>
          <t xml:space="preserve">+998937550083 SMS UZI ФЕРМЕР , 998883080715 SMS O’G’LI, 998936680715 SMS UYI,</t>
        </is>
      </c>
      <c r="G771" s="99" t="inlineStr">
        <is>
          <t xml:space="preserve">ХОРАЗМ ВИЛОЯТИ ЯНГИБОЗОР ТУМАНИ ОЁКДУРМАН ҚФЙ, ХАЛКОБОД МФЙ, ДАЯКЎЛ КЎЧАСИ,  uy:8</t>
        </is>
      </c>
      <c r="H771" s="100">
        <v>3.0</v>
      </c>
      <c r="I771" s="100">
        <v>2554724.66</v>
      </c>
      <c r="K771" s="99" t="inlineStr">
        <is>
          <t xml:space="preserve">fermer 15 sanadan kegin yopad | 1370</t>
        </is>
      </c>
    </row>
    <row r="772">
      <c r="A772" s="99" t="inlineStr">
        <is>
          <t xml:space="preserve">ХОРАЗМ ВИЛОЯТИ</t>
        </is>
      </c>
      <c r="B772" s="99" t="inlineStr">
        <is>
          <t xml:space="preserve">Урганч филиали</t>
        </is>
      </c>
      <c r="C772" s="99" t="inlineStr">
        <is>
          <t xml:space="preserve">Обещали</t>
        </is>
      </c>
      <c r="D772" s="99" t="inlineStr">
        <is>
          <t xml:space="preserve">Кр-99052098-1</t>
        </is>
      </c>
      <c r="E772" s="99" t="inlineStr">
        <is>
          <t xml:space="preserve">SULTONNAZIROV SHOXRUX MATKARIMOVICH</t>
        </is>
      </c>
      <c r="F772" s="99" t="inlineStr">
        <is>
          <t xml:space="preserve">+998701324121 SMS UZI, 998930662024 SMS AYOLI, 998974599900 SMS AKASI,</t>
        </is>
      </c>
      <c r="G772" s="99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772" s="100">
        <v>3.0</v>
      </c>
      <c r="I772" s="100">
        <v>2194833.74</v>
      </c>
      <c r="K772" s="99" t="inlineStr">
        <is>
          <t xml:space="preserve">ertaga yopad | 1476</t>
        </is>
      </c>
    </row>
    <row r="773">
      <c r="A773" s="99" t="inlineStr">
        <is>
          <t xml:space="preserve">ХОРАЗМ ВИЛОЯТИ</t>
        </is>
      </c>
      <c r="B773" s="99" t="inlineStr">
        <is>
          <t xml:space="preserve">Урганч филиали</t>
        </is>
      </c>
      <c r="C773" s="99" t="inlineStr">
        <is>
          <t xml:space="preserve">Обещали</t>
        </is>
      </c>
      <c r="D773" s="99" t="inlineStr">
        <is>
          <t xml:space="preserve">Кр-99049180-1</t>
        </is>
      </c>
      <c r="E773" s="99" t="inlineStr">
        <is>
          <t xml:space="preserve">BAXADIROV RASHID ZUFFAROVICH</t>
        </is>
      </c>
      <c r="F773" s="99" t="inlineStr">
        <is>
          <t xml:space="preserve">+998886372407 SMS UZI, 998914217478 SMS O’G’LI, 998947061171 SMS O’G’LI,</t>
        </is>
      </c>
      <c r="G773" s="99" t="inlineStr">
        <is>
          <t xml:space="preserve">ХОРАЗМ ВИЛОЯТИ ШОВОТ ТУМАНИ ШОВОТКАЛЪА ҚФЙ, ОҚ ОЛТИН МФЙ, ШОЛИКОР КЎЧАСИ,  uy:63</t>
        </is>
      </c>
      <c r="H773" s="100">
        <v>3.0</v>
      </c>
      <c r="I773" s="100">
        <v>2140670.58</v>
      </c>
      <c r="K773" s="99" t="inlineStr">
        <is>
          <t xml:space="preserve">id dan tolid o'zi | 1433</t>
        </is>
      </c>
    </row>
    <row r="774">
      <c r="A774" s="99" t="inlineStr">
        <is>
          <t xml:space="preserve">ХОРАЗМ ВИЛОЯТИ</t>
        </is>
      </c>
      <c r="B774" s="99" t="inlineStr">
        <is>
          <t xml:space="preserve">Урганч филиали</t>
        </is>
      </c>
      <c r="C774" s="99" t="inlineStr">
        <is>
          <t xml:space="preserve">Оплатил дозвон</t>
        </is>
      </c>
      <c r="D774" s="99" t="inlineStr">
        <is>
          <t xml:space="preserve">Кр-99046648-1</t>
        </is>
      </c>
      <c r="E774" s="99" t="inlineStr">
        <is>
          <t xml:space="preserve">KURBANOV MANSUR RUSTAMOVICH</t>
        </is>
      </c>
      <c r="F774" s="99" t="inlineStr">
        <is>
          <t xml:space="preserve">+998959856565 SMS UZI, 998772525545 SMS AYOLI begona, 998937445100 SMS OTASI,</t>
        </is>
      </c>
      <c r="G774" s="99" t="inlineStr">
        <is>
          <t xml:space="preserve">ХОРАЗМ ВИЛОЯТИ УРГАНЧ Ш., БИНОКОР МФЙ, БИНОКОР КЎЧАСИ,  uy:35</t>
        </is>
      </c>
      <c r="H774" s="100">
        <v>3.0</v>
      </c>
      <c r="I774" s="100">
        <v>2136122.98</v>
      </c>
      <c r="J774" s="100">
        <v>2136122.98</v>
      </c>
      <c r="K774" s="99" t="inlineStr">
        <is>
          <t xml:space="preserve">yopildi | 1366</t>
        </is>
      </c>
    </row>
    <row r="775">
      <c r="A775" s="99" t="inlineStr">
        <is>
          <t xml:space="preserve">ХОРАЗМ ВИЛОЯТИ</t>
        </is>
      </c>
      <c r="B775" s="99" t="inlineStr">
        <is>
          <t xml:space="preserve">Урганч филиали</t>
        </is>
      </c>
      <c r="C775" s="99" t="inlineStr">
        <is>
          <t xml:space="preserve">Ko'tardi</t>
        </is>
      </c>
      <c r="D775" s="99" t="inlineStr">
        <is>
          <t xml:space="preserve">Кр-99022070-6</t>
        </is>
      </c>
      <c r="E775" s="99" t="inlineStr">
        <is>
          <t xml:space="preserve">BABAJONOVA DILNOZA KADAMBOYEVNA</t>
        </is>
      </c>
      <c r="F775" s="99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775" s="99" t="inlineStr">
        <is>
          <t xml:space="preserve">XORAZM VILOYATI URGANCH SHAXAR NAVRUZ MAXALLASI NAVBAHOR 3-TOR KUCHASI 36-UY</t>
        </is>
      </c>
      <c r="H775" s="100">
        <v>3.0</v>
      </c>
      <c r="I775" s="100">
        <v>2135367.28</v>
      </c>
      <c r="K775" s="99" t="inlineStr">
        <is>
          <t xml:space="preserve">ou oxiri yopad | 150</t>
        </is>
      </c>
    </row>
    <row r="776">
      <c r="A776" s="99" t="inlineStr">
        <is>
          <t xml:space="preserve">ХОРАЗМ ВИЛОЯТИ</t>
        </is>
      </c>
      <c r="B776" s="99" t="inlineStr">
        <is>
          <t xml:space="preserve">Урганч филиали</t>
        </is>
      </c>
      <c r="C776" s="99" t="inlineStr">
        <is>
          <t xml:space="preserve">Оплатил дозвон</t>
        </is>
      </c>
      <c r="D776" s="99" t="inlineStr">
        <is>
          <t xml:space="preserve">Кр-99041377-1</t>
        </is>
      </c>
      <c r="E776" s="99" t="inlineStr">
        <is>
          <t xml:space="preserve">JUMADURDIYEV BEKTEMIR XAJIYEVICH</t>
        </is>
      </c>
      <c r="F776" s="99" t="inlineStr">
        <is>
          <t xml:space="preserve">998885461411 SMS UZI, 998975133428 SMS ONASI, 998975136424 SMS POCHCHASI,</t>
        </is>
      </c>
      <c r="G776" s="99" t="inlineStr">
        <is>
          <t xml:space="preserve">ҒАЛАБА ҚФЙ, ОБОД МФЙ, ОБОД  КЎЧАСИ,  uy:22</t>
        </is>
      </c>
      <c r="H776" s="100">
        <v>3.0</v>
      </c>
      <c r="I776" s="100">
        <v>2046510.57</v>
      </c>
      <c r="J776" s="100">
        <v>2046510.57</v>
      </c>
      <c r="K776" s="99" t="inlineStr">
        <is>
          <t xml:space="preserve">oyligini kutvotti | 1156</t>
        </is>
      </c>
    </row>
    <row r="777">
      <c r="A777" s="99" t="inlineStr">
        <is>
          <t xml:space="preserve">ХОРАЗМ ВИЛОЯТИ</t>
        </is>
      </c>
      <c r="B777" s="99" t="inlineStr">
        <is>
          <t xml:space="preserve">Урганч филиали</t>
        </is>
      </c>
      <c r="C777" s="99" t="inlineStr">
        <is>
          <t xml:space="preserve">Ko'tardi</t>
        </is>
      </c>
      <c r="D777" s="99" t="inlineStr">
        <is>
          <t xml:space="preserve">Кр-99041025-1</t>
        </is>
      </c>
      <c r="E777" s="99" t="inlineStr">
        <is>
          <t xml:space="preserve">MENGLIYEV SHERZODBEK SAFOBOY O’G’LI</t>
        </is>
      </c>
      <c r="F777" s="99" t="inlineStr">
        <is>
          <t xml:space="preserve">+998999668598 SMS UZI, 998931165424 SMS XOTINI,</t>
        </is>
      </c>
      <c r="G777" s="99" t="inlineStr">
        <is>
          <t xml:space="preserve">БОГОТ Ш., БЕРУНИЙ МФЙ, ФАРОҒАТЛИ КЎЧАСИ,  uy:15</t>
        </is>
      </c>
      <c r="H777" s="100">
        <v>3.0</v>
      </c>
      <c r="I777" s="100">
        <v>1757521.32</v>
      </c>
      <c r="K777" s="99" t="inlineStr">
        <is>
          <t xml:space="preserve">qaytib chiqaman db sms yozvordi | 1098</t>
        </is>
      </c>
    </row>
    <row r="778">
      <c r="A778" s="99" t="inlineStr">
        <is>
          <t xml:space="preserve">ХОРАЗМ ВИЛОЯТИ</t>
        </is>
      </c>
      <c r="B778" s="99" t="inlineStr">
        <is>
          <t xml:space="preserve">Урганч филиали</t>
        </is>
      </c>
      <c r="C778" s="99" t="inlineStr">
        <is>
          <t xml:space="preserve">Оплатил дозвон</t>
        </is>
      </c>
      <c r="D778" s="99" t="inlineStr">
        <is>
          <t xml:space="preserve">Кр-99042982-1</t>
        </is>
      </c>
      <c r="E778" s="99" t="inlineStr">
        <is>
          <t xml:space="preserve">ISKANDAROV SHAVKAT O’KTAMOVICH</t>
        </is>
      </c>
      <c r="F778" s="99" t="inlineStr">
        <is>
          <t xml:space="preserve">+998995042130 SMS UZI, 998772507192 SMS AYOLI,</t>
        </is>
      </c>
      <c r="G778" s="99" t="inlineStr">
        <is>
          <t xml:space="preserve">ХОРАЗМ ВИЛОЯТИ БОГОТ ТУМАНИ НУРАФШОН ШФЙ, ТАНТАНА КЎЧАСИ,  uy:28</t>
        </is>
      </c>
      <c r="H778" s="100">
        <v>3.0</v>
      </c>
      <c r="I778" s="100">
        <v>1729157.46</v>
      </c>
      <c r="J778" s="100">
        <v>1729157.46</v>
      </c>
      <c r="K778" s="99" t="inlineStr">
        <is>
          <t xml:space="preserve">bugun kechga yopad,,,, 17,30 | 1276</t>
        </is>
      </c>
    </row>
    <row r="779">
      <c r="A779" s="99" t="inlineStr">
        <is>
          <t xml:space="preserve">ХОРАЗМ ВИЛОЯТИ</t>
        </is>
      </c>
      <c r="B779" s="99" t="inlineStr">
        <is>
          <t xml:space="preserve">Урганч филиали</t>
        </is>
      </c>
      <c r="C779" s="99" t="inlineStr">
        <is>
          <t xml:space="preserve">Обещали</t>
        </is>
      </c>
      <c r="D779" s="99" t="inlineStr">
        <is>
          <t xml:space="preserve">Кр-99022857-5</t>
        </is>
      </c>
      <c r="E779" s="99" t="inlineStr">
        <is>
          <t xml:space="preserve">JUMANIYOZOV OLIMBOY BAXODIR O’G’LI</t>
        </is>
      </c>
      <c r="F779" s="99" t="inlineStr">
        <is>
          <t xml:space="preserve">88-513-14-00 SMS UZI, 88-456-22-88 SMS OTASI, 93-753-72-88 SMS OTASI, 88-364-57-97 SMS OPASI,</t>
        </is>
      </c>
      <c r="G779" s="99" t="inlineStr">
        <is>
          <t xml:space="preserve">XORAZM VILOYATI YANGIARIQ TUMANI QARMISH QISHLOQI SHIXBOG’I MAXALLASI SHIXBOG’I KUCHASI 104 UY</t>
        </is>
      </c>
      <c r="H779" s="100">
        <v>3.0</v>
      </c>
      <c r="I779" s="100">
        <v>1654550.06</v>
      </c>
      <c r="K779" s="99" t="inlineStr">
        <is>
          <t xml:space="preserve">bugn yo erta yopad | 158</t>
        </is>
      </c>
    </row>
    <row r="780">
      <c r="A780" s="99" t="inlineStr">
        <is>
          <t xml:space="preserve">ХОРАЗМ ВИЛОЯТИ</t>
        </is>
      </c>
      <c r="B780" s="99" t="inlineStr">
        <is>
          <t xml:space="preserve">Урганч филиали</t>
        </is>
      </c>
      <c r="C780" s="99" t="inlineStr">
        <is>
          <t xml:space="preserve">Обещали</t>
        </is>
      </c>
      <c r="D780" s="99" t="inlineStr">
        <is>
          <t xml:space="preserve">Кр-99034208-4</t>
        </is>
      </c>
      <c r="E780" s="99" t="inlineStr">
        <is>
          <t xml:space="preserve">NORBOYEV NURBEK SHUXRAT O’G’LI</t>
        </is>
      </c>
      <c r="F780" s="99" t="inlineStr">
        <is>
          <t xml:space="preserve">998991710010 SMS OZI, 998999616062 SMS UKASI, 998995071515 SMS AKASI, 998994461983 SMS DOSTI, 998991220010 SMS OTASI,</t>
        </is>
      </c>
      <c r="G780" s="99" t="inlineStr">
        <is>
          <t xml:space="preserve">XORAZM VILOYATI SHOVOT TUMANI GULZOR KUCHASI 20-UY</t>
        </is>
      </c>
      <c r="H780" s="100">
        <v>3.0</v>
      </c>
      <c r="I780" s="100">
        <v>1606641.0</v>
      </c>
      <c r="K780" s="99" t="inlineStr">
        <is>
          <t xml:space="preserve">1-2 kunda yopad | 528</t>
        </is>
      </c>
    </row>
    <row r="781">
      <c r="A781" s="99" t="inlineStr">
        <is>
          <t xml:space="preserve">ХОРАЗМ ВИЛОЯТИ</t>
        </is>
      </c>
      <c r="B781" s="99" t="inlineStr">
        <is>
          <t xml:space="preserve">Урганч филиали</t>
        </is>
      </c>
      <c r="C781" s="99" t="inlineStr">
        <is>
          <t xml:space="preserve">Обещали</t>
        </is>
      </c>
      <c r="D781" s="99" t="inlineStr">
        <is>
          <t xml:space="preserve">Кр-99032052-1</t>
        </is>
      </c>
      <c r="E781" s="99" t="inlineStr">
        <is>
          <t xml:space="preserve">BOLTABAYEV ABBOSBEK ANVARBEK O’G’LI</t>
        </is>
      </c>
      <c r="F781" s="99" t="inlineStr">
        <is>
          <t xml:space="preserve">998992874544 SMS O’ZI malyarkada ishlidi, 998335170097 SMS O’ZI 2, 998338860076 SMS OTASI, 998992354544 SMS AYOLI,</t>
        </is>
      </c>
      <c r="G781" s="99" t="inlineStr">
        <is>
          <t xml:space="preserve">XORAZM VILOYATI URGANCH TUMANI OXUNBOBOYEV QFY YUQORI JIRMIZ MFY BIRDAMLIK KUCHASI 3-UY</t>
        </is>
      </c>
      <c r="I781" s="100">
        <v>1544110.57</v>
      </c>
      <c r="K781" s="99" t="inlineStr">
        <is>
          <t xml:space="preserve">hozi tolid | 413</t>
        </is>
      </c>
    </row>
    <row r="782">
      <c r="A782" s="99" t="inlineStr">
        <is>
          <t xml:space="preserve">ХОРАЗМ ВИЛОЯТИ</t>
        </is>
      </c>
      <c r="B782" s="99" t="inlineStr">
        <is>
          <t xml:space="preserve">Урганч филиали</t>
        </is>
      </c>
      <c r="C782" s="99" t="inlineStr">
        <is>
          <t xml:space="preserve">Обещали</t>
        </is>
      </c>
      <c r="D782" s="99" t="inlineStr">
        <is>
          <t xml:space="preserve">Кр-99027378-2</t>
        </is>
      </c>
      <c r="E782" s="99" t="inlineStr">
        <is>
          <t xml:space="preserve">RUZMETOVA DILNOZA OTANAZAROVNA</t>
        </is>
      </c>
      <c r="F782" s="99" t="inlineStr">
        <is>
          <t xml:space="preserve">97-792-65-55 SMS TULOVCHI, 97-458-65-12 SMS ONASI, 97-221-52-99 SMS,</t>
        </is>
      </c>
      <c r="G782" s="99" t="inlineStr">
        <is>
          <t xml:space="preserve">ХОРАЗМ ВИЛОЯТИ УРГАНЧ ТУМАНИ ҒАЛАБА ҚФЙ, ОБОД МФЙ, ЧЕВАРЛАР КЎЧАСИ,  uy:31</t>
        </is>
      </c>
      <c r="H782" s="100">
        <v>3.0</v>
      </c>
      <c r="I782" s="100">
        <v>1369119.55</v>
      </c>
      <c r="K782" s="99" t="inlineStr">
        <is>
          <t xml:space="preserve">bugn yopad abetgacha | 232</t>
        </is>
      </c>
    </row>
    <row r="783">
      <c r="A783" s="99" t="inlineStr">
        <is>
          <t xml:space="preserve">ХОРАЗМ ВИЛОЯТИ</t>
        </is>
      </c>
      <c r="B783" s="99" t="inlineStr">
        <is>
          <t xml:space="preserve">Урганч филиали</t>
        </is>
      </c>
      <c r="C783" s="99" t="inlineStr">
        <is>
          <t xml:space="preserve">Обещали</t>
        </is>
      </c>
      <c r="D783" s="99" t="inlineStr">
        <is>
          <t xml:space="preserve">Кр-99043227-1</t>
        </is>
      </c>
      <c r="E783" s="99" t="inlineStr">
        <is>
          <t xml:space="preserve">JUMABOYEV IBROXIM ADAMBOYEVICH</t>
        </is>
      </c>
      <c r="F783" s="99" t="inlineStr">
        <is>
          <t xml:space="preserve">+998994293399 SMS UZI, 998938487479 SMS AYOLI, 998974580470 SMS OTASI,</t>
        </is>
      </c>
      <c r="G783" s="99" t="inlineStr">
        <is>
          <t xml:space="preserve">ХОРАЗМ ВИЛОЯТИ УРГАНЧ ШАХРИ Истиқлол МФЙ, Узбекистон кучаси, 31-уй</t>
        </is>
      </c>
      <c r="H783" s="100">
        <v>3.0</v>
      </c>
      <c r="I783" s="100">
        <v>1119299.35</v>
      </c>
      <c r="K783" s="99" t="inlineStr">
        <is>
          <t xml:space="preserve">bugun 18,00 yopad | 1287</t>
        </is>
      </c>
    </row>
    <row r="784">
      <c r="A784" s="99" t="inlineStr">
        <is>
          <t xml:space="preserve">ХОРАЗМ ВИЛОЯТИ</t>
        </is>
      </c>
      <c r="B784" s="99" t="inlineStr">
        <is>
          <t xml:space="preserve">Урганч филиали</t>
        </is>
      </c>
      <c r="C784" s="99" t="inlineStr">
        <is>
          <t xml:space="preserve">Обещали</t>
        </is>
      </c>
      <c r="D784" s="99" t="inlineStr">
        <is>
          <t xml:space="preserve">Кр-99043227-4</t>
        </is>
      </c>
      <c r="E784" s="99" t="inlineStr">
        <is>
          <t xml:space="preserve">JUMABOYEV IBROXIM ADAMBOYEVICH</t>
        </is>
      </c>
      <c r="F784" s="99" t="inlineStr">
        <is>
          <t xml:space="preserve">+998994293399 SMS UZI, 998938487479 SMS AYOLI, 998974580470 SMS OTASI,</t>
        </is>
      </c>
      <c r="G784" s="99" t="inlineStr">
        <is>
          <t xml:space="preserve">ХОРАЗМ ВИЛОЯТИ УРГАНЧ ШАХРИ Истиқлол МФЙ, Узбекистон кучаси, 31-уй</t>
        </is>
      </c>
      <c r="H784" s="100">
        <v>3.0</v>
      </c>
      <c r="I784" s="100">
        <v>904250.76</v>
      </c>
      <c r="K784" s="99" t="inlineStr">
        <is>
          <t xml:space="preserve">bugun 18,00 yopad | 1290</t>
        </is>
      </c>
    </row>
    <row r="785">
      <c r="A785" s="99" t="inlineStr">
        <is>
          <t xml:space="preserve">ХОРАЗМ ВИЛОЯТИ</t>
        </is>
      </c>
      <c r="B785" s="99" t="inlineStr">
        <is>
          <t xml:space="preserve">Урганч филиали</t>
        </is>
      </c>
      <c r="C785" s="99" t="inlineStr">
        <is>
          <t xml:space="preserve">Обещали</t>
        </is>
      </c>
      <c r="D785" s="99" t="inlineStr">
        <is>
          <t xml:space="preserve">Кр-99046119-1</t>
        </is>
      </c>
      <c r="E785" s="99" t="inlineStr">
        <is>
          <t xml:space="preserve">ILYAZOVA ZAYNAB YO’LDASHOVNA</t>
        </is>
      </c>
      <c r="F785" s="99" t="inlineStr">
        <is>
          <t xml:space="preserve">+998941819969 SMS UZI, 998909719799 SMS O’G’LI, 998946911990 SMS KELINI begona,</t>
        </is>
      </c>
      <c r="G785" s="99" t="inlineStr">
        <is>
          <t xml:space="preserve">ХОРАЗМ ВИЛОЯТИ ШОВОТ ТУМАНИ БЎЙРАЧИ ҚФЙ, БОБОРАХИМ КЎЧАСИ,  uy:4</t>
        </is>
      </c>
      <c r="I785" s="100">
        <v>760412.36</v>
      </c>
      <c r="K785" s="99" t="inlineStr">
        <is>
          <t xml:space="preserve">eri kotardi ertaga tolavoramiz db ochirib qoydi | 1349</t>
        </is>
      </c>
    </row>
    <row r="786">
      <c r="A786" s="99" t="inlineStr">
        <is>
          <t xml:space="preserve">ХОРАЗМ ВИЛОЯТИ</t>
        </is>
      </c>
      <c r="B786" s="99" t="inlineStr">
        <is>
          <t xml:space="preserve">Урганч филиали</t>
        </is>
      </c>
      <c r="C786" s="99" t="inlineStr">
        <is>
          <t xml:space="preserve">Обещали</t>
        </is>
      </c>
      <c r="D786" s="99" t="inlineStr">
        <is>
          <t xml:space="preserve">Кр-99032608-10</t>
        </is>
      </c>
      <c r="E786" s="99" t="inlineStr">
        <is>
          <t xml:space="preserve">G’AFAROVA DILAFRUZ BAXODIROVNA</t>
        </is>
      </c>
      <c r="F786" s="99" t="inlineStr">
        <is>
          <t xml:space="preserve">998947580909 SMS UKASI begona, 998937588767 SMS SINGLISI, 998948118118 SMS OZI, 998905792002 SMS DOSTI,</t>
        </is>
      </c>
      <c r="G786" s="99" t="inlineStr">
        <is>
          <t xml:space="preserve">ХОРАЗМ ВИЛОЯТИ УРГАНЧ ТУМАНИ ЧАККАШОЛИКОР ҚФЙ, ОК АРИКЛАР МФЙ, НУРАФШОН, 2 ТОР КЎЧАСИ,  uy:8</t>
        </is>
      </c>
      <c r="H786" s="100">
        <v>3.0</v>
      </c>
      <c r="I786" s="100">
        <v>338841.91</v>
      </c>
      <c r="K786" s="99" t="inlineStr">
        <is>
          <t xml:space="preserve">singlisi bilan gaplashdim bugun yoptirad | 442</t>
        </is>
      </c>
    </row>
    <row r="787">
      <c r="A787" s="99" t="inlineStr">
        <is>
          <t xml:space="preserve">ХОРАЗМ ВИЛОЯТИ</t>
        </is>
      </c>
      <c r="B787" s="99" t="inlineStr">
        <is>
          <t xml:space="preserve">Урганч филиали</t>
        </is>
      </c>
      <c r="C787" s="99" t="inlineStr">
        <is>
          <t xml:space="preserve">Оплатил дозвон</t>
        </is>
      </c>
      <c r="D787" s="99" t="inlineStr">
        <is>
          <t xml:space="preserve">Кр-99027635-1</t>
        </is>
      </c>
      <c r="E787" s="99" t="inlineStr">
        <is>
          <t xml:space="preserve">ATANAZAROV ELBEK TO’LQIN O’G’LI</t>
        </is>
      </c>
      <c r="F787" s="99" t="inlineStr">
        <is>
          <t xml:space="preserve">95-910-57-07 SMS OZI, 99-048-80-30 SMS ONASI, 99-909-43-73  SMS DADASI,</t>
        </is>
      </c>
      <c r="G787" s="99" t="inlineStr">
        <is>
          <t xml:space="preserve">XORAZM VILOYATI YANGIBOZOR TUMANI JAYXUN MAXALLASI TURON KUCHASI 8 UY</t>
        </is>
      </c>
      <c r="I787" s="100">
        <v>205770.9</v>
      </c>
      <c r="J787" s="100">
        <v>205770.9</v>
      </c>
      <c r="K787" s="99" t="inlineStr">
        <is>
          <t xml:space="preserve">yopildi | 239</t>
        </is>
      </c>
    </row>
    <row r="788">
      <c r="A788" s="99" t="inlineStr">
        <is>
          <t xml:space="preserve">ХОРАЗМ ВИЛОЯТИ</t>
        </is>
      </c>
      <c r="B788" s="99" t="inlineStr">
        <is>
          <t xml:space="preserve">Урганч филиали</t>
        </is>
      </c>
      <c r="C788" s="99" t="inlineStr">
        <is>
          <t xml:space="preserve">Обещали</t>
        </is>
      </c>
      <c r="D788" s="99" t="inlineStr">
        <is>
          <t xml:space="preserve">Кр-99064034-1</t>
        </is>
      </c>
      <c r="E788" s="99" t="inlineStr">
        <is>
          <t xml:space="preserve">RAXIMOVA GAVHAR BALTABAYEVNA</t>
        </is>
      </c>
      <c r="F788" s="99" t="inlineStr">
        <is>
          <t xml:space="preserve">+998919992710 SMS O’ZI, 998503025853 SMS O’G’LI 2, 998937453636 SMS O’G’LI,</t>
        </is>
      </c>
      <c r="G788" s="99" t="inlineStr">
        <is>
          <t xml:space="preserve">ХОРАЗМ ВИЛОЯТИ УРГАНЧ ШАХРИ УРГАНЧ Ш., МУСТАКИЛЛИК МФЙ, УРГАНЧ ШАХАР, МУСТАКИЛЛИК МФЙ, НИЗОМИЙ,  uy:19</t>
        </is>
      </c>
      <c r="H788" s="100">
        <v>3.0</v>
      </c>
      <c r="I788" s="100">
        <v>126131.26</v>
      </c>
      <c r="K788" s="99" t="inlineStr">
        <is>
          <t xml:space="preserve">hozi tolid | 2270</t>
        </is>
      </c>
    </row>
  </sheetData>
  <autoFilter ref="A2:K788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361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Обещали</t>
        </is>
      </c>
      <c r="D3" s="99" t="inlineStr">
        <is>
          <t xml:space="preserve">Кр-99041164-1</t>
        </is>
      </c>
      <c r="E3" s="99" t="inlineStr">
        <is>
          <t xml:space="preserve">MAXKAMBOYEV SALIMJON JUMABOYEVICH</t>
        </is>
      </c>
      <c r="F3" s="99" t="inlineStr">
        <is>
          <t xml:space="preserve">998937768805 SMS OZI, 998979768805 SMS AYOLI, 998940738805 SMS ONASI, 998944428589 SMS UAKSI,</t>
        </is>
      </c>
      <c r="G3" s="99" t="inlineStr">
        <is>
          <t xml:space="preserve">ANDIJON VILOYATI XO’JAOBOD TUMANI XIDRSHA MFY, BOG’BONLAR  KO’CHASI 64-UY</t>
        </is>
      </c>
      <c r="H3" s="100">
        <v>3.0</v>
      </c>
      <c r="I3" s="100">
        <v>3102788.15</v>
      </c>
      <c r="K3" s="99" t="inlineStr">
        <is>
          <t xml:space="preserve">bugun hal qiladi</t>
        </is>
      </c>
    </row>
    <row r="4">
      <c r="A4" s="101" t="inlineStr">
        <is>
          <t xml:space="preserve">АНДИЖОН ВИЛОЯТИ</t>
        </is>
      </c>
      <c r="B4" s="101" t="inlineStr">
        <is>
          <t xml:space="preserve">SUPER BRANCH</t>
        </is>
      </c>
      <c r="C4" s="101" t="inlineStr">
        <is>
          <t xml:space="preserve">Обещали</t>
        </is>
      </c>
      <c r="D4" s="101" t="inlineStr">
        <is>
          <t xml:space="preserve">Кр-99033504-1</t>
        </is>
      </c>
      <c r="E4" s="101" t="inlineStr">
        <is>
          <t xml:space="preserve">NIYAZOV XAYBATULLA BURXANOVICH</t>
        </is>
      </c>
      <c r="F4" s="101" t="inlineStr">
        <is>
          <t xml:space="preserve">998979926505 SMS OZI, 998501881794 SMS O'G'LI, 998951679511 SMS KELINI, 998507199794 SMS QIZI,</t>
        </is>
      </c>
      <c r="G4" s="101" t="inlineStr">
        <is>
          <t xml:space="preserve">ANDIJON VILOYATI ASAKA TUMANI QADRIYAT MFY HUMO KO’CHASI 39-UY 28- XONADON</t>
        </is>
      </c>
      <c r="H4" s="102">
        <v>3.0</v>
      </c>
      <c r="I4" s="102">
        <v>5646163.66</v>
      </c>
      <c r="K4" s="101" t="inlineStr">
        <is>
          <t xml:space="preserve">bugun qisman tolaydi qolganini ertaga tolaydi</t>
        </is>
      </c>
    </row>
    <row r="5">
      <c r="A5" s="103" t="inlineStr">
        <is>
          <t xml:space="preserve">АНДИЖОН ВИЛОЯТИ</t>
        </is>
      </c>
      <c r="B5" s="103" t="inlineStr">
        <is>
          <t xml:space="preserve">Андижон филиали</t>
        </is>
      </c>
      <c r="C5" s="103" t="inlineStr">
        <is>
          <t xml:space="preserve">Обещали</t>
        </is>
      </c>
      <c r="D5" s="103" t="inlineStr">
        <is>
          <t xml:space="preserve">Кр-99012626-3</t>
        </is>
      </c>
      <c r="E5" s="103" t="inlineStr">
        <is>
          <t xml:space="preserve">ISMOILOVA MUHAYYOXON RUSTAMOVNA</t>
        </is>
      </c>
      <c r="F5" s="103" t="inlineStr">
        <is>
          <t xml:space="preserve">93-394-73-75 SMS OZI, 99-818-79-36 sms, +998938020802 SMS O’GLI, 998933132236 SMS QIZI, 998933947375 SMS ONASI, 998993132236 SMS QIZI,</t>
        </is>
      </c>
      <c r="G5" s="103" t="inlineStr">
        <is>
          <t xml:space="preserve">ANDIJON VILOYATI QO’RG’ONTEPA TUMANI QORASUV SHAHAR M.ULUG’BEK MFY KAMALAK KO’CHASI 7-UY</t>
        </is>
      </c>
      <c r="H5" s="104">
        <v>3.0</v>
      </c>
      <c r="I5" s="104">
        <v>2788273.93</v>
      </c>
      <c r="K5" s="103" t="inlineStr">
        <is>
          <t xml:space="preserve">erta tolaydi</t>
        </is>
      </c>
    </row>
    <row r="6">
      <c r="A6" s="105" t="inlineStr">
        <is>
          <t xml:space="preserve">БУХОРО ВИЛОЯТИ</t>
        </is>
      </c>
      <c r="B6" s="105" t="inlineStr">
        <is>
          <t xml:space="preserve">BOSH OFIS</t>
        </is>
      </c>
      <c r="C6" s="105" t="inlineStr">
        <is>
          <t xml:space="preserve">Обещали</t>
        </is>
      </c>
      <c r="D6" s="105" t="inlineStr">
        <is>
          <t xml:space="preserve">Кр-99039770-2</t>
        </is>
      </c>
      <c r="E6" s="105" t="inlineStr">
        <is>
          <t xml:space="preserve">SAFAROV SANJAR ADIZ O’G’LI</t>
        </is>
      </c>
      <c r="F6" s="105" t="inlineStr">
        <is>
          <t xml:space="preserve">998912403939 SMS OZI TO'LOVCHI SHUNGA TEL QILINSIN, 998935133314 SMS AMAKISI, 998918225456 SMS OTASI, 998942432520 SMS ONASI BEGONA , 998500766902 SMS ONASI,</t>
        </is>
      </c>
      <c r="G6" s="105" t="inlineStr">
        <is>
          <t xml:space="preserve">BUXORO VILOYATI BUXORO TUMANI GULSHANOBOD MFY LEYLAK QISHLOG’I  51-UY</t>
        </is>
      </c>
      <c r="H6" s="106">
        <v>3.0</v>
      </c>
      <c r="I6" s="106">
        <v>770472.71</v>
      </c>
      <c r="K6" s="105" t="inlineStr">
        <is>
          <t xml:space="preserve">BUGUNGA | 886</t>
        </is>
      </c>
    </row>
    <row r="7">
      <c r="A7" s="105" t="inlineStr">
        <is>
          <t xml:space="preserve">БУХОРО ВИЛОЯТИ</t>
        </is>
      </c>
      <c r="B7" s="105" t="inlineStr">
        <is>
          <t xml:space="preserve">BOSH OFIS</t>
        </is>
      </c>
      <c r="C7" s="105" t="inlineStr">
        <is>
          <t xml:space="preserve">Обещали</t>
        </is>
      </c>
      <c r="D7" s="105" t="inlineStr">
        <is>
          <t xml:space="preserve">Кр-99035259-2</t>
        </is>
      </c>
      <c r="E7" s="105" t="inlineStr">
        <is>
          <t xml:space="preserve">QODIROVA SHAHINABONU SHAMSIDDIN QIZI</t>
        </is>
      </c>
      <c r="F7" s="105" t="inlineStr">
        <is>
          <t xml:space="preserve">998902274567 SMS ERI, 998934274567 SMS O’ZI, 998992629989 SMS UKASI бегона , 998883099877 SMS DO’STI, 998944274567 NEW ERI,</t>
        </is>
      </c>
      <c r="G7" s="105" t="inlineStr">
        <is>
          <t xml:space="preserve">BUXORO VILOYATI ROMITAN TUMANI BOG'CHA MFY, BOG'CHA q-q, 138-UY </t>
        </is>
      </c>
      <c r="H7" s="106">
        <v>3.0</v>
      </c>
      <c r="I7" s="106">
        <v>533660.83</v>
      </c>
      <c r="K7" s="105" t="inlineStr">
        <is>
          <t xml:space="preserve">BUGUNGA | 575</t>
        </is>
      </c>
    </row>
    <row r="8">
      <c r="A8" s="107" t="inlineStr">
        <is>
          <t xml:space="preserve">БУХОРО ВИЛОЯТИ</t>
        </is>
      </c>
      <c r="B8" s="107" t="inlineStr">
        <is>
          <t xml:space="preserve">SUPER BRANCH</t>
        </is>
      </c>
      <c r="C8" s="107" t="inlineStr">
        <is>
          <t xml:space="preserve">Обещали</t>
        </is>
      </c>
      <c r="D8" s="107" t="inlineStr">
        <is>
          <t xml:space="preserve">Кр-99040567-1</t>
        </is>
      </c>
      <c r="E8" s="107" t="inlineStr">
        <is>
          <t xml:space="preserve">ACHILOV BOBIR BURONOVICH</t>
        </is>
      </c>
      <c r="F8" s="107" t="inlineStr">
        <is>
          <t xml:space="preserve">998505155499 SMS ONASI, 998931385554 SMS OGLI, 998936205499 SMS OZI,</t>
        </is>
      </c>
      <c r="G8" s="107" t="inlineStr">
        <is>
          <t xml:space="preserve">BUXORO VILOYATI, BUXORO SHAHAR,  MUHAMMAD NARSHAXIY MFY, TOJI KARAYEV KO'CHASI, 86-UY</t>
        </is>
      </c>
      <c r="H8" s="108">
        <v>185.0</v>
      </c>
      <c r="I8" s="108">
        <v>28878874.55</v>
      </c>
      <c r="K8" s="107" t="inlineStr">
        <is>
          <t xml:space="preserve">9CHIDA TO'LEMAN DEDILA | 1048</t>
        </is>
      </c>
    </row>
    <row r="9">
      <c r="A9" s="107" t="inlineStr">
        <is>
          <t xml:space="preserve">БУХОРО ВИЛОЯТИ</t>
        </is>
      </c>
      <c r="B9" s="107" t="inlineStr">
        <is>
          <t xml:space="preserve">SUPER BRANCH</t>
        </is>
      </c>
      <c r="C9" s="107" t="inlineStr">
        <is>
          <t xml:space="preserve">Обещали</t>
        </is>
      </c>
      <c r="D9" s="107" t="inlineStr">
        <is>
          <t xml:space="preserve">Кр-99063363-1</t>
        </is>
      </c>
      <c r="E9" s="107" t="inlineStr">
        <is>
          <t xml:space="preserve">KOMILOVA ZEBO NURIDDINOVNA</t>
        </is>
      </c>
      <c r="F9" s="107" t="inlineStr">
        <is>
          <t xml:space="preserve">998995031288 OZI, 998773127040 JIYANI, 998998621288 ONASI, 998770900005 DOSTI,</t>
        </is>
      </c>
      <c r="G9" s="107" t="inlineStr">
        <is>
          <t xml:space="preserve">BUXORO VILOYATI QORAKUL TUMANI XOJAKON MFY XUNARMANDLAR KO’CHASI 86-UY</t>
        </is>
      </c>
      <c r="H9" s="108">
        <v>3.0</v>
      </c>
      <c r="I9" s="108">
        <v>8915367.85</v>
      </c>
      <c r="K9" s="107" t="inlineStr">
        <is>
          <t xml:space="preserve">TOSHKENTDA WU YERGA KELIB TO;LAYDI 15CHIDA | 2063</t>
        </is>
      </c>
    </row>
    <row r="10">
      <c r="A10" s="107" t="inlineStr">
        <is>
          <t xml:space="preserve">БУХОРО ВИЛОЯТИ</t>
        </is>
      </c>
      <c r="B10" s="107" t="inlineStr">
        <is>
          <t xml:space="preserve">SUPER BRANCH</t>
        </is>
      </c>
      <c r="C10" s="107" t="inlineStr">
        <is>
          <t xml:space="preserve">Обещали</t>
        </is>
      </c>
      <c r="D10" s="107" t="inlineStr">
        <is>
          <t xml:space="preserve">Кр-99062671-3</t>
        </is>
      </c>
      <c r="E10" s="107" t="inlineStr">
        <is>
          <t xml:space="preserve">XAYITOV TO’YMUROT ABDIRAIMOV</t>
        </is>
      </c>
      <c r="F10" s="107" t="inlineStr">
        <is>
          <t xml:space="preserve">998873310787 SMS NEVARASI, 998889660300 SMS UY, 998941260300 SMS O’ZI, 998997540707 SMS O’G’LI,</t>
        </is>
      </c>
      <c r="G10" s="107" t="inlineStr">
        <is>
          <t xml:space="preserve">BUXORO VILOYATI PASHMON MFY PASHMON KO’CHASI 40-UY</t>
        </is>
      </c>
      <c r="H10" s="108">
        <v>3.0</v>
      </c>
      <c r="I10" s="108">
        <v>8123900.85</v>
      </c>
      <c r="K10" s="107" t="inlineStr">
        <is>
          <t xml:space="preserve">FILIALGA BORDI GAPLASHYABDI  BUGUNGA TO'LOV QILIB BERADI EKAN | 1852</t>
        </is>
      </c>
    </row>
    <row r="11">
      <c r="A11" s="107" t="inlineStr">
        <is>
          <t xml:space="preserve">БУХОРО ВИЛОЯТИ</t>
        </is>
      </c>
      <c r="B11" s="107" t="inlineStr">
        <is>
          <t xml:space="preserve">SUPER BRANCH</t>
        </is>
      </c>
      <c r="C11" s="107" t="inlineStr">
        <is>
          <t xml:space="preserve">Обещали</t>
        </is>
      </c>
      <c r="D11" s="107" t="inlineStr">
        <is>
          <t xml:space="preserve">Кр-99059934-1</t>
        </is>
      </c>
      <c r="E11" s="107" t="inlineStr">
        <is>
          <t xml:space="preserve">BOMUROTOVA HALIMA SHOMUROTOVNA</t>
        </is>
      </c>
      <c r="F11" s="107" t="inlineStr">
        <is>
          <t xml:space="preserve">+998937243083 SMS O’ZI begona, 998552258020 SMS O’G’LI, 998943201112 SMS JIYANI, 998996858020 SMS O’G’LI, 998996858020 SMS tulovchi, 998937243083 ,</t>
        </is>
      </c>
      <c r="G11" s="107" t="inlineStr">
        <is>
          <t xml:space="preserve">BUXORO VILOYATI CHANDIR MFY, CHELONG’I QISHLOG’I, 101-UY</t>
        </is>
      </c>
      <c r="H11" s="108">
        <v>6.0</v>
      </c>
      <c r="I11" s="108">
        <v>5342203.19</v>
      </c>
      <c r="K11" s="107" t="inlineStr">
        <is>
          <t xml:space="preserve">8020 BUGUN KECHGACHA TO'LEMAN DEDILA | 1738</t>
        </is>
      </c>
    </row>
    <row r="12">
      <c r="A12" s="107" t="inlineStr">
        <is>
          <t xml:space="preserve">БУХОРО ВИЛОЯТИ</t>
        </is>
      </c>
      <c r="B12" s="107" t="inlineStr">
        <is>
          <t xml:space="preserve">SUPER BRANCH</t>
        </is>
      </c>
      <c r="C12" s="107" t="inlineStr">
        <is>
          <t xml:space="preserve">Обещали</t>
        </is>
      </c>
      <c r="D12" s="107" t="inlineStr">
        <is>
          <t xml:space="preserve">Кр-99057401-1</t>
        </is>
      </c>
      <c r="E12" s="107" t="inlineStr">
        <is>
          <t xml:space="preserve">NASRULLAYEVA GULNORA SAYFULLAYEVNA</t>
        </is>
      </c>
      <c r="F12" s="107" t="inlineStr">
        <is>
          <t xml:space="preserve">998991338646 SMS UZI, 998992971131 SMS OGLI, 998990799421 SMS KELINI, 998999441525 sms qizi,</t>
        </is>
      </c>
      <c r="G12" s="107" t="inlineStr">
        <is>
          <t xml:space="preserve">BUXORO VILOYATI, JONDOR TUMANI, CHORZONA MFY, CHORZONA KO'CHASI, 18B-UY, 1-KORPUS.</t>
        </is>
      </c>
      <c r="I12" s="108">
        <v>4139083.34</v>
      </c>
      <c r="K12" s="107" t="inlineStr">
        <is>
          <t xml:space="preserve">PULI KELISHINI KUTYABDI EKAN KELISHI BN KARTAGA TASHAB BERADI EKAN O'G'LI QISMAN | 1641</t>
        </is>
      </c>
    </row>
    <row r="13">
      <c r="A13" s="107" t="inlineStr">
        <is>
          <t xml:space="preserve">БУХОРО ВИЛОЯТИ</t>
        </is>
      </c>
      <c r="B13" s="107" t="inlineStr">
        <is>
          <t xml:space="preserve">SUPER BRANCH</t>
        </is>
      </c>
      <c r="C13" s="107" t="inlineStr">
        <is>
          <t xml:space="preserve">Обещали</t>
        </is>
      </c>
      <c r="D13" s="107" t="inlineStr">
        <is>
          <t xml:space="preserve">Кр-99033022-1</t>
        </is>
      </c>
      <c r="E13" s="107" t="inlineStr">
        <is>
          <t xml:space="preserve">ASKAROV SHOHBOZ ULUG’BEKOVICH</t>
        </is>
      </c>
      <c r="F13" s="107" t="inlineStr">
        <is>
          <t xml:space="preserve">998944219181 SMS OIZ, 998796441812 SMS OZI 2, 998931971731 SMS AYOLI,</t>
        </is>
      </c>
      <c r="G13" s="107" t="inlineStr">
        <is>
          <t xml:space="preserve">TOSHKENT SHAHAR,  YANGIHAYOT TUMANI,  YANGI DARXON MFY, NAVRO'Z KOCHASI 16-UY</t>
        </is>
      </c>
      <c r="H13" s="108">
        <v>3.0</v>
      </c>
      <c r="I13" s="108">
        <v>3126925.12</v>
      </c>
      <c r="K13" s="107" t="inlineStr">
        <is>
          <t xml:space="preserve">15KUNI TO'LOV QILAMAN OYLIGIMDAN DEDI | 462</t>
        </is>
      </c>
    </row>
    <row r="14">
      <c r="A14" s="107" t="inlineStr">
        <is>
          <t xml:space="preserve">БУХОРО ВИЛОЯТИ</t>
        </is>
      </c>
      <c r="B14" s="107" t="inlineStr">
        <is>
          <t xml:space="preserve">SUPER BRANCH</t>
        </is>
      </c>
      <c r="C14" s="107" t="inlineStr">
        <is>
          <t xml:space="preserve">Обещали</t>
        </is>
      </c>
      <c r="D14" s="107" t="inlineStr">
        <is>
          <t xml:space="preserve">Кр-99019690-5</t>
        </is>
      </c>
      <c r="E14" s="107" t="inlineStr">
        <is>
          <t xml:space="preserve">HAYDAROV FURQAT RAXMATILLOYEVICH</t>
        </is>
      </c>
      <c r="F14" s="107" t="inlineStr">
        <is>
          <t xml:space="preserve">97-488-07-66  SMS O'ZI, 88-301-90-93  SMS AKASI, 97-296-06-93  SMS UY, 93-841-53-50  SMS AYOLI, 998505999203 SMS O'ZI2,</t>
        </is>
      </c>
      <c r="G14" s="107" t="inlineStr">
        <is>
          <t xml:space="preserve">BUXORO VILOYAT BUXORO SHAHRI BESHKAPPA KO'CHASI 106 UY</t>
        </is>
      </c>
      <c r="H14" s="108">
        <v>2.0</v>
      </c>
      <c r="I14" s="108">
        <v>2149549.58</v>
      </c>
      <c r="K14" s="107" t="inlineStr">
        <is>
          <t xml:space="preserve">BUGUNGA VADA BERGAN | 106</t>
        </is>
      </c>
    </row>
    <row r="15">
      <c r="A15" s="107" t="inlineStr">
        <is>
          <t xml:space="preserve">БУХОРО ВИЛОЯТИ</t>
        </is>
      </c>
      <c r="B15" s="107" t="inlineStr">
        <is>
          <t xml:space="preserve">SUPER BRANCH</t>
        </is>
      </c>
      <c r="C15" s="107" t="inlineStr">
        <is>
          <t xml:space="preserve">Обещали</t>
        </is>
      </c>
      <c r="D15" s="107" t="inlineStr">
        <is>
          <t xml:space="preserve">Кр-99041320-3</t>
        </is>
      </c>
      <c r="E15" s="107" t="inlineStr">
        <is>
          <t xml:space="preserve">SHODIYEV ULUG’BEK SALIMOVICH</t>
        </is>
      </c>
      <c r="F15" s="107" t="inlineStr">
        <is>
          <t xml:space="preserve">+998914431901 sms o’zi, 998907119935 sms onasi, 998912408206 sms ayoli, 998914471901 sms o’zi 2,</t>
        </is>
      </c>
      <c r="G15" s="107" t="inlineStr">
        <is>
          <t xml:space="preserve">Бухарская область, Гиждуванский район, Соктари МСГ, Соктари, дом 239</t>
        </is>
      </c>
      <c r="H15" s="108">
        <v>3.0</v>
      </c>
      <c r="I15" s="108">
        <v>2080184.35</v>
      </c>
      <c r="K15" s="107" t="inlineStr">
        <is>
          <t xml:space="preserve">XOTINI BN GAPLASHDIM  ERTAGA PULI TUSHADI EKAN TASHAB BERADILA DEDI MALAKA OSHIRISHDA EKAN | 1144</t>
        </is>
      </c>
    </row>
    <row r="16">
      <c r="A16" s="107" t="inlineStr">
        <is>
          <t xml:space="preserve">БУХОРО ВИЛОЯТИ</t>
        </is>
      </c>
      <c r="B16" s="107" t="inlineStr">
        <is>
          <t xml:space="preserve">SUPER BRANCH</t>
        </is>
      </c>
      <c r="C16" s="107" t="inlineStr">
        <is>
          <t xml:space="preserve">Обещали</t>
        </is>
      </c>
      <c r="D16" s="107" t="inlineStr">
        <is>
          <t xml:space="preserve">Кр-99037525-1</t>
        </is>
      </c>
      <c r="E16" s="107" t="inlineStr">
        <is>
          <t xml:space="preserve">ULMASOV RAVSHAN SANJAR O’G’LI</t>
        </is>
      </c>
      <c r="F16" s="107" t="inlineStr">
        <is>
          <t xml:space="preserve">998940800113 SMS UZI2, 998941274505 SMS UZI  O'ZIMIZDA ISHLAYDI ,</t>
        </is>
      </c>
      <c r="G16" s="107" t="inlineStr">
        <is>
          <t xml:space="preserve">SHOFIRKON TUMANI</t>
        </is>
      </c>
      <c r="H16" s="108">
        <v>3.0</v>
      </c>
      <c r="I16" s="108">
        <v>1989716.29</v>
      </c>
      <c r="K16" s="107" t="inlineStr">
        <is>
          <t xml:space="preserve">10KUNI TO'LEMAN DEDILA | 722</t>
        </is>
      </c>
    </row>
    <row r="17">
      <c r="A17" s="107" t="inlineStr">
        <is>
          <t xml:space="preserve">БУХОРО ВИЛОЯТИ</t>
        </is>
      </c>
      <c r="B17" s="107" t="inlineStr">
        <is>
          <t xml:space="preserve">SUPER BRANCH</t>
        </is>
      </c>
      <c r="C17" s="107" t="inlineStr">
        <is>
          <t xml:space="preserve">Обещали</t>
        </is>
      </c>
      <c r="D17" s="107" t="inlineStr">
        <is>
          <t xml:space="preserve">Кр-99057620-1</t>
        </is>
      </c>
      <c r="E17" s="107" t="inlineStr">
        <is>
          <t xml:space="preserve">SADRIDDINOV SAVRIDDIN HUSNIDDIN O’G’LI</t>
        </is>
      </c>
      <c r="F17" s="107" t="inlineStr">
        <is>
          <t xml:space="preserve">998997027515 SMS UZI, 998906367515 SMS OTASI, 998997077515 SMS ONASI, 998918087515 SMS AKASI,</t>
        </is>
      </c>
      <c r="G17" s="107" t="inlineStr">
        <is>
          <t xml:space="preserve">BUXORO VILOYATI VOBKENT TUMANI KO'LXATIB MFY, NAVOIY KO'CHASI, 4-UY </t>
        </is>
      </c>
      <c r="H17" s="108">
        <v>3.0</v>
      </c>
      <c r="I17" s="108">
        <v>1763856.45</v>
      </c>
      <c r="K17" s="107" t="inlineStr">
        <is>
          <t xml:space="preserve">20 KUNI TO'LEMAN DEDI DADASI | 1665</t>
        </is>
      </c>
    </row>
    <row r="18">
      <c r="A18" s="107" t="inlineStr">
        <is>
          <t xml:space="preserve">БУХОРО ВИЛОЯТИ</t>
        </is>
      </c>
      <c r="B18" s="107" t="inlineStr">
        <is>
          <t xml:space="preserve">SUPER BRANCH</t>
        </is>
      </c>
      <c r="C18" s="107" t="inlineStr">
        <is>
          <t xml:space="preserve">Обещали</t>
        </is>
      </c>
      <c r="D18" s="107" t="inlineStr">
        <is>
          <t xml:space="preserve">Кр-99039770-1</t>
        </is>
      </c>
      <c r="E18" s="107" t="inlineStr">
        <is>
          <t xml:space="preserve">SAFAROV SANJAR ADIZ O’G’LI</t>
        </is>
      </c>
      <c r="F18" s="107" t="inlineStr">
        <is>
          <t xml:space="preserve">998912403939 SMS OZI TO'LOVCHI SHUNGA TEL QILINSIN, 998935133314 SMS AMAKISI, 998918225456 SMS OTASI, 998942432520 SMS ONASI BEGONA , 998500766902 SMS ONASI,</t>
        </is>
      </c>
      <c r="G18" s="107" t="inlineStr">
        <is>
          <t xml:space="preserve">BUXORO VILOYATI BUXORO TUMANI GULSHANOBOD MFY LEYLAK QISHLOG’I  51-UY</t>
        </is>
      </c>
      <c r="H18" s="108">
        <v>3.0</v>
      </c>
      <c r="I18" s="108">
        <v>1756556.43</v>
      </c>
      <c r="K18" s="107" t="inlineStr">
        <is>
          <t xml:space="preserve">BUGUNGA | 885</t>
        </is>
      </c>
    </row>
    <row r="19">
      <c r="A19" s="107" t="inlineStr">
        <is>
          <t xml:space="preserve">БУХОРО ВИЛОЯТИ</t>
        </is>
      </c>
      <c r="B19" s="107" t="inlineStr">
        <is>
          <t xml:space="preserve">SUPER BRANCH</t>
        </is>
      </c>
      <c r="C19" s="107" t="inlineStr">
        <is>
          <t xml:space="preserve">Обещали</t>
        </is>
      </c>
      <c r="D19" s="107" t="inlineStr">
        <is>
          <t xml:space="preserve">Кр-99047434-2</t>
        </is>
      </c>
      <c r="E19" s="107" t="inlineStr">
        <is>
          <t xml:space="preserve">UMRZOQOV FAXRIDDIN AXMEDJONOVICH</t>
        </is>
      </c>
      <c r="F19" s="107" t="inlineStr">
        <is>
          <t xml:space="preserve">998959754272 O`ZI, 998941220757 AYOLI, 998945457562 DO`STI, 998959754272 uzi, 998941220757 ayoli, 998945457562 dosti,</t>
        </is>
      </c>
      <c r="G19" s="107" t="inlineStr">
        <is>
          <t xml:space="preserve">Бухоро шахар коракул тумани Мустакиллик 50 уй</t>
        </is>
      </c>
      <c r="H19" s="108">
        <v>3.0</v>
      </c>
      <c r="I19" s="108">
        <v>1525958.94</v>
      </c>
      <c r="K19" s="107" t="inlineStr">
        <is>
          <t xml:space="preserve">10 OYLIKDAN FILIALGA TO'LEMAN TELEFON QILISHEZ WARTMAS UNGACHA DEDILA | 1382</t>
        </is>
      </c>
    </row>
    <row r="20">
      <c r="A20" s="107" t="inlineStr">
        <is>
          <t xml:space="preserve">БУХОРО ВИЛОЯТИ</t>
        </is>
      </c>
      <c r="B20" s="107" t="inlineStr">
        <is>
          <t xml:space="preserve">SUPER BRANCH</t>
        </is>
      </c>
      <c r="C20" s="107" t="inlineStr">
        <is>
          <t xml:space="preserve">Обещали</t>
        </is>
      </c>
      <c r="D20" s="107" t="inlineStr">
        <is>
          <t xml:space="preserve">Кр-99019690-6</t>
        </is>
      </c>
      <c r="E20" s="107" t="inlineStr">
        <is>
          <t xml:space="preserve">HAYDAROV FURQAT RAXMATILLOYEVICH</t>
        </is>
      </c>
      <c r="F20" s="107" t="inlineStr">
        <is>
          <t xml:space="preserve">97-488-07-66  SMS O'ZI, 88-301-90-93  SMS AKASI, 97-296-06-93  SMS UY, 93-841-53-50  SMS AYOLI, 998505999203 SMS O'ZI2,</t>
        </is>
      </c>
      <c r="G20" s="107" t="inlineStr">
        <is>
          <t xml:space="preserve">BUXORO VILOYAT BUXORO SHAHRI BESHKAPPA KO'CHASI 106 UY</t>
        </is>
      </c>
      <c r="H20" s="108">
        <v>3.0</v>
      </c>
      <c r="I20" s="108">
        <v>1119754.69</v>
      </c>
      <c r="K20" s="107" t="inlineStr">
        <is>
          <t xml:space="preserve">BUGUNGA VADA BERGAN | 107</t>
        </is>
      </c>
    </row>
    <row r="21">
      <c r="A21" s="107" t="inlineStr">
        <is>
          <t xml:space="preserve">БУХОРО ВИЛОЯТИ</t>
        </is>
      </c>
      <c r="B21" s="107" t="inlineStr">
        <is>
          <t xml:space="preserve">SUPER BRANCH</t>
        </is>
      </c>
      <c r="C21" s="107" t="inlineStr">
        <is>
          <t xml:space="preserve">Обещали</t>
        </is>
      </c>
      <c r="D21" s="107" t="inlineStr">
        <is>
          <t xml:space="preserve">Кр-99049211-1</t>
        </is>
      </c>
      <c r="E21" s="107" t="inlineStr">
        <is>
          <t xml:space="preserve">ADIZOV AZAMAT SHOYIMOVICH</t>
        </is>
      </c>
      <c r="F21" s="107" t="inlineStr">
        <is>
          <t xml:space="preserve">998940642993 SMS JIYANI  begona , 998942218131 SMS O’ZI, 998978055824 SMS UKASI, 998999767786 SMS AYOLI, 998914412047 SMS OTASI,</t>
        </is>
      </c>
      <c r="G21" s="107" t="inlineStr">
        <is>
          <t xml:space="preserve">GULISTON, DOM 56</t>
        </is>
      </c>
      <c r="H21" s="108">
        <v>3.0</v>
      </c>
      <c r="I21" s="108">
        <v>713214.59</v>
      </c>
      <c r="K21" s="107" t="inlineStr">
        <is>
          <t xml:space="preserve">ERTAGA BUXOROGA QAYTSA TO'LOV QILADI EKAN | 1438</t>
        </is>
      </c>
    </row>
    <row r="22">
      <c r="A22" s="109" t="inlineStr">
        <is>
          <t xml:space="preserve">БУХОРО ВИЛОЯТИ</t>
        </is>
      </c>
      <c r="B22" s="109" t="inlineStr">
        <is>
          <t xml:space="preserve">Бухоро филиали</t>
        </is>
      </c>
      <c r="C22" s="109" t="inlineStr">
        <is>
          <t xml:space="preserve">Обещали</t>
        </is>
      </c>
      <c r="D22" s="109" t="inlineStr">
        <is>
          <t xml:space="preserve">Кр-99063230-2</t>
        </is>
      </c>
      <c r="E22" s="109" t="inlineStr">
        <is>
          <t xml:space="preserve">NAVRUZOV SHUXRAT NARZULLOYEVICH</t>
        </is>
      </c>
      <c r="F22" s="109" t="inlineStr">
        <is>
          <t xml:space="preserve">998931591550 SMS AYOLI, 998936547339 SMS DO’STI, 998940994344 SMS O’ZI,</t>
        </is>
      </c>
      <c r="G22" s="109" t="inlineStr">
        <is>
          <t xml:space="preserve">Бухарская область, Ромитанский район, Шурабад МСГ, Кантале, дом 6</t>
        </is>
      </c>
      <c r="H22" s="110">
        <v>6.0</v>
      </c>
      <c r="I22" s="110">
        <v>12608581.15</v>
      </c>
      <c r="K22" s="109" t="inlineStr">
        <is>
          <t xml:space="preserve">O'RTOG'I BN GAPLASHDIM OZI TEL QILADI KLENT BUGUNGA VADA BERGAN  ERTAGA | 2036</t>
        </is>
      </c>
    </row>
    <row r="23">
      <c r="A23" s="109" t="inlineStr">
        <is>
          <t xml:space="preserve">БУХОРО ВИЛОЯТИ</t>
        </is>
      </c>
      <c r="B23" s="109" t="inlineStr">
        <is>
          <t xml:space="preserve">Бухоро филиали</t>
        </is>
      </c>
      <c r="C23" s="109" t="inlineStr">
        <is>
          <t xml:space="preserve">Обещали</t>
        </is>
      </c>
      <c r="D23" s="109" t="inlineStr">
        <is>
          <t xml:space="preserve">Кр-99062712-3</t>
        </is>
      </c>
      <c r="E23" s="109" t="inlineStr">
        <is>
          <t xml:space="preserve">SAFAROVA MASHHURA MUSTAFOYEVNA</t>
        </is>
      </c>
      <c r="F23" s="109" t="inlineStr">
        <is>
          <t xml:space="preserve">+998949157341 SMS O’ZI, 998502707707 SMS O’G’LI, 998938210222 SMS O’G’LI, 998991201874 SMS ERI,</t>
        </is>
      </c>
      <c r="G23" s="109" t="inlineStr">
        <is>
          <t xml:space="preserve">BUXORO VILOYAT BUXORO SHAHAR PRIDASGIR MFY NAVOIY SHOX KO’CHASI 15/1 19-UY</t>
        </is>
      </c>
      <c r="H23" s="110">
        <v>6.0</v>
      </c>
      <c r="I23" s="110">
        <v>8132303.27</v>
      </c>
      <c r="K23" s="109" t="inlineStr">
        <is>
          <t xml:space="preserve">0222TO'LOVCHI DUWANBADA OYLIGIM TUWADI OWA PAYTI TO'LOV QILAMAN DEDILA | 1870</t>
        </is>
      </c>
    </row>
    <row r="24">
      <c r="A24" s="109" t="inlineStr">
        <is>
          <t xml:space="preserve">БУХОРО ВИЛОЯТИ</t>
        </is>
      </c>
      <c r="B24" s="109" t="inlineStr">
        <is>
          <t xml:space="preserve">Бухоро филиали</t>
        </is>
      </c>
      <c r="C24" s="109" t="inlineStr">
        <is>
          <t xml:space="preserve">Обещали</t>
        </is>
      </c>
      <c r="D24" s="109" t="inlineStr">
        <is>
          <t xml:space="preserve">Кр-99063147-1</t>
        </is>
      </c>
      <c r="E24" s="109" t="inlineStr">
        <is>
          <t xml:space="preserve">YUSUPOV TALGAT RAVILEVICH</t>
        </is>
      </c>
      <c r="F24" s="109" t="inlineStr">
        <is>
          <t xml:space="preserve">+998934589950 SMS O’ZI, 998504052350 SMS AYOLI, 998936202480 SMS QIZI, 998936560151 SMS ONASI,</t>
        </is>
      </c>
      <c r="G24" s="109" t="inlineStr">
        <is>
          <t xml:space="preserve">5-СОН ГАФУР ГУЛОМ НОМЛИ МФЙ, ИФТИХОР КУЧАСИ,  32-UY</t>
        </is>
      </c>
      <c r="H24" s="110">
        <v>3.0</v>
      </c>
      <c r="I24" s="110">
        <v>4833153.35</v>
      </c>
      <c r="K24" s="109" t="inlineStr">
        <is>
          <t xml:space="preserve">10CHIGA | 2016</t>
        </is>
      </c>
    </row>
    <row r="25">
      <c r="A25" s="109" t="inlineStr">
        <is>
          <t xml:space="preserve">БУХОРО ВИЛОЯТИ</t>
        </is>
      </c>
      <c r="B25" s="109" t="inlineStr">
        <is>
          <t xml:space="preserve">Бухоро филиали</t>
        </is>
      </c>
      <c r="C25" s="109" t="inlineStr">
        <is>
          <t xml:space="preserve">Обещали</t>
        </is>
      </c>
      <c r="D25" s="109" t="inlineStr">
        <is>
          <t xml:space="preserve">Кр-99027605-1</t>
        </is>
      </c>
      <c r="E25" s="109" t="inlineStr">
        <is>
          <t xml:space="preserve">BARATOVA MAXFUZA TOLIBOVNA</t>
        </is>
      </c>
      <c r="F25" s="109" t="inlineStr">
        <is>
          <t xml:space="preserve">97-084-88-33 sms O'ZI, 97-080-66-33 sms ERI, 99-775-20-70 sms QAYNI UKASI, 91-441-67-61 sms JIYANI,</t>
        </is>
      </c>
      <c r="G25" s="109" t="inlineStr">
        <is>
          <t xml:space="preserve">BUXORO VILOYATI, KOGON TUMANI, ISTIQBOL MFY, QOTONG'I q-q, 46-UY.</t>
        </is>
      </c>
      <c r="H25" s="110">
        <v>6.0</v>
      </c>
      <c r="I25" s="110">
        <v>3631499.34</v>
      </c>
      <c r="K25" s="109" t="inlineStr">
        <is>
          <t xml:space="preserve">ERI KAPITAL BANKDAN TO'LEMAN DEDI  QAYNONASI KO'TARDI TO'LEMIZ OYLIKDAN DEDI | 237</t>
        </is>
      </c>
    </row>
    <row r="26">
      <c r="A26" s="109" t="inlineStr">
        <is>
          <t xml:space="preserve">БУХОРО ВИЛОЯТИ</t>
        </is>
      </c>
      <c r="B26" s="109" t="inlineStr">
        <is>
          <t xml:space="preserve">Бухоро филиали</t>
        </is>
      </c>
      <c r="C26" s="109" t="inlineStr">
        <is>
          <t xml:space="preserve">Обещали</t>
        </is>
      </c>
      <c r="D26" s="109" t="inlineStr">
        <is>
          <t xml:space="preserve">Кр-99035221-3</t>
        </is>
      </c>
      <c r="E26" s="109" t="inlineStr">
        <is>
          <t xml:space="preserve">SHUKUROV YUNUS UMAROVICH</t>
        </is>
      </c>
      <c r="F26" s="109" t="inlineStr">
        <is>
          <t xml:space="preserve">998990297718 SMS O’ZI, 998996751234 SMS AYOLI, 998992231806 SMS QAYNONASI, 998992947718 SMS ONASI, 998944743193 SMS TO'LOVCHI OPASI ,</t>
        </is>
      </c>
      <c r="G26" s="109" t="inlineStr">
        <is>
          <t xml:space="preserve">Хужа Мушкин МФЙ, Алпомиш кучаси, 13/2-уй, 7-хонадон</t>
        </is>
      </c>
      <c r="H26" s="110">
        <v>3.0</v>
      </c>
      <c r="I26" s="110">
        <v>3369616.75</v>
      </c>
      <c r="K26" s="109" t="inlineStr">
        <is>
          <t xml:space="preserve">944743193 BU OPASI 10KUNI TO'LAYDI | 573</t>
        </is>
      </c>
    </row>
    <row r="27">
      <c r="A27" s="109" t="inlineStr">
        <is>
          <t xml:space="preserve">БУХОРО ВИЛОЯТИ</t>
        </is>
      </c>
      <c r="B27" s="109" t="inlineStr">
        <is>
          <t xml:space="preserve">Бухоро филиали</t>
        </is>
      </c>
      <c r="C27" s="109" t="inlineStr">
        <is>
          <t xml:space="preserve">Обещали</t>
        </is>
      </c>
      <c r="D27" s="109" t="inlineStr">
        <is>
          <t xml:space="preserve">Кр-99062887-2</t>
        </is>
      </c>
      <c r="E27" s="109" t="inlineStr">
        <is>
          <t xml:space="preserve">FAYZIYEV RAUF TESHAYEVICH</t>
        </is>
      </c>
      <c r="F27" s="109" t="inlineStr">
        <is>
          <t xml:space="preserve">+998936832500 SMS O’ZI, 998881162500 SMS QIZI, 998942499966 SMS O’G’LI, 998974889747 SMS O’G’LI, 998936832500 ,</t>
        </is>
      </c>
      <c r="G27" s="109" t="inlineStr">
        <is>
          <t xml:space="preserve">BUXORO VILOYATI ROMITAN TUMANI ROMITAN MFY MUZADUZON QISHLOG’I 138-UY</t>
        </is>
      </c>
      <c r="H27" s="110">
        <v>3.0</v>
      </c>
      <c r="I27" s="110">
        <v>3243848.0</v>
      </c>
      <c r="K27" s="109" t="inlineStr">
        <is>
          <t xml:space="preserve">10CHIDA | 1932</t>
        </is>
      </c>
    </row>
    <row r="28">
      <c r="A28" s="109" t="inlineStr">
        <is>
          <t xml:space="preserve">БУХОРО ВИЛОЯТИ</t>
        </is>
      </c>
      <c r="B28" s="109" t="inlineStr">
        <is>
          <t xml:space="preserve">Бухоро филиали</t>
        </is>
      </c>
      <c r="C28" s="109" t="inlineStr">
        <is>
          <t xml:space="preserve">Обещали</t>
        </is>
      </c>
      <c r="D28" s="109" t="inlineStr">
        <is>
          <t xml:space="preserve">Кр-99040789-2</t>
        </is>
      </c>
      <c r="E28" s="109" t="inlineStr">
        <is>
          <t xml:space="preserve">DJURAYEVA SHAXINABONU ERKIN QIZI</t>
        </is>
      </c>
      <c r="F28" s="109" t="inlineStr">
        <is>
          <t xml:space="preserve">+998882100226 SMS O’ZI, 998772011384 SMS ONASI, 998991035070 SMS OTASI, 998997982977 SMS ZALAGADATEL,</t>
        </is>
      </c>
      <c r="G28" s="109" t="inlineStr">
        <is>
          <t xml:space="preserve">Уртачул МФЙ, Урта-Чул қишлоғи, 26-уй</t>
        </is>
      </c>
      <c r="H28" s="110">
        <v>3.0</v>
      </c>
      <c r="I28" s="110">
        <v>3124983.88</v>
      </c>
      <c r="K28" s="109" t="inlineStr">
        <is>
          <t xml:space="preserve">2977 AMAKISINI O'G'LI AYTAMAN DEDI DADASI ERTAGA DEDILA | 1074</t>
        </is>
      </c>
    </row>
    <row r="29">
      <c r="A29" s="109" t="inlineStr">
        <is>
          <t xml:space="preserve">БУХОРО ВИЛОЯТИ</t>
        </is>
      </c>
      <c r="B29" s="109" t="inlineStr">
        <is>
          <t xml:space="preserve">Бухоро филиали</t>
        </is>
      </c>
      <c r="C29" s="109" t="inlineStr">
        <is>
          <t xml:space="preserve">Обещали</t>
        </is>
      </c>
      <c r="D29" s="109" t="inlineStr">
        <is>
          <t xml:space="preserve">Кр-99027572-1</t>
        </is>
      </c>
      <c r="E29" s="109" t="inlineStr">
        <is>
          <t xml:space="preserve">TO’YBOYEV BEHRUZ LUQMON O’G’LI</t>
        </is>
      </c>
      <c r="F29" s="109" t="inlineStr">
        <is>
          <t xml:space="preserve">99-262-34-44 SMS O'ZI хоразимда харбий , 95-571-45-41  SMS XOTINI, 97-452-30-33  SMS DADASI,</t>
        </is>
      </c>
      <c r="G29" s="109" t="inlineStr">
        <is>
          <t xml:space="preserve">BUXORO VILOYATI G’IJDUVON TUMANI POZAGARI MAXALLASI XARCHXONA KUCHASI 133 UY</t>
        </is>
      </c>
      <c r="H29" s="110">
        <v>6.0</v>
      </c>
      <c r="I29" s="110">
        <v>2991913.93</v>
      </c>
      <c r="K29" s="109" t="inlineStr">
        <is>
          <t xml:space="preserve">RAQAMLARI O'CHIQ TELEGRAMDAN GAPLASHDIM | 236</t>
        </is>
      </c>
    </row>
    <row r="30">
      <c r="A30" s="109" t="inlineStr">
        <is>
          <t xml:space="preserve">БУХОРО ВИЛОЯТИ</t>
        </is>
      </c>
      <c r="B30" s="109" t="inlineStr">
        <is>
          <t xml:space="preserve">Бухоро филиали</t>
        </is>
      </c>
      <c r="C30" s="109" t="inlineStr">
        <is>
          <t xml:space="preserve">Обещали</t>
        </is>
      </c>
      <c r="D30" s="109" t="inlineStr">
        <is>
          <t xml:space="preserve">Кр-99037180-2</t>
        </is>
      </c>
      <c r="E30" s="109" t="inlineStr">
        <is>
          <t xml:space="preserve">YULDASHEVA DILNOZA FAXRIDINOVNA</t>
        </is>
      </c>
      <c r="F30" s="109" t="inlineStr">
        <is>
          <t xml:space="preserve">998914076943 SMS OZI, 998907441349 SMS ERI , 998941250707 SMS JIYANI, 998507056161 SMS AMAKISI, +998914076943 SMS O’ZI,</t>
        </is>
      </c>
      <c r="G30" s="109" t="inlineStr">
        <is>
          <t xml:space="preserve">ИСТИКБОЛ МФЙ, ШУРОБОД, 67-УЙ</t>
        </is>
      </c>
      <c r="H30" s="110">
        <v>3.0</v>
      </c>
      <c r="I30" s="110">
        <v>2801371.73</v>
      </c>
      <c r="K30" s="109" t="inlineStr">
        <is>
          <t xml:space="preserve">BUGUNGA KARTAMDAN YECHADI DEDILA | 703</t>
        </is>
      </c>
    </row>
    <row r="31">
      <c r="A31" s="109" t="inlineStr">
        <is>
          <t xml:space="preserve">БУХОРО ВИЛОЯТИ</t>
        </is>
      </c>
      <c r="B31" s="109" t="inlineStr">
        <is>
          <t xml:space="preserve">Бухоро филиали</t>
        </is>
      </c>
      <c r="C31" s="109" t="inlineStr">
        <is>
          <t xml:space="preserve">Обещали</t>
        </is>
      </c>
      <c r="D31" s="109" t="inlineStr">
        <is>
          <t xml:space="preserve">Кр-99048166-1</t>
        </is>
      </c>
      <c r="E31" s="109" t="inlineStr">
        <is>
          <t xml:space="preserve">KURBANOV DILMUROD TUYMURADOVICH</t>
        </is>
      </c>
      <c r="F31" s="109" t="inlineStr">
        <is>
          <t xml:space="preserve">+998936859009 SMS O’ZI, 998505100034 SMS QIZI, 998931361133 SMS O’G’LI, 998956001133 SMS AYOLI,</t>
        </is>
      </c>
      <c r="G31" s="109" t="inlineStr">
        <is>
          <t xml:space="preserve">BUXORO VILOYATI, BUXORO SHAHAR, IBN SINO MFY, BAHOUDDIN NAQSH BAND KO’CHASI,197-UY, 91-XONADON</t>
        </is>
      </c>
      <c r="H31" s="110">
        <v>3.0</v>
      </c>
      <c r="I31" s="110">
        <v>2499918.75</v>
      </c>
      <c r="K31" s="109" t="inlineStr">
        <is>
          <t xml:space="preserve">DUWANBA KUNI TO'LOV QILAMIZ DEDILA AYOLI O'LOVCHI OWA KUNI PUL KELADI EKAN | 1407</t>
        </is>
      </c>
    </row>
    <row r="32">
      <c r="A32" s="109" t="inlineStr">
        <is>
          <t xml:space="preserve">БУХОРО ВИЛОЯТИ</t>
        </is>
      </c>
      <c r="B32" s="109" t="inlineStr">
        <is>
          <t xml:space="preserve">Бухоро филиали</t>
        </is>
      </c>
      <c r="C32" s="109" t="inlineStr">
        <is>
          <t xml:space="preserve">Обещали</t>
        </is>
      </c>
      <c r="D32" s="109" t="inlineStr">
        <is>
          <t xml:space="preserve">Кр-99062801-1</t>
        </is>
      </c>
      <c r="E32" s="109" t="inlineStr">
        <is>
          <t xml:space="preserve">TILLAYEV OTABEK DJUMAYEVICH</t>
        </is>
      </c>
      <c r="F32" s="109" t="inlineStr">
        <is>
          <t xml:space="preserve">+998914136781 SMS O’ZI, 998873106781 SMS UY, 998883006781 SMS O’G’LI, 998883056781 SMS O’G’LI,</t>
        </is>
      </c>
      <c r="G32" s="109" t="inlineStr">
        <is>
          <t xml:space="preserve">НИЁЗ-ХОЖИ МФЙ, КУРЖАН,</t>
        </is>
      </c>
      <c r="H32" s="110">
        <v>3.0</v>
      </c>
      <c r="I32" s="110">
        <v>2301994.47</v>
      </c>
      <c r="K32" s="109" t="inlineStr">
        <is>
          <t xml:space="preserve">BUGUNGA DEGANDI LEKIN BUGUN 9CHIDA DEDI MUSOBAQADA EKAN | 1896</t>
        </is>
      </c>
    </row>
    <row r="33">
      <c r="A33" s="109" t="inlineStr">
        <is>
          <t xml:space="preserve">БУХОРО ВИЛОЯТИ</t>
        </is>
      </c>
      <c r="B33" s="109" t="inlineStr">
        <is>
          <t xml:space="preserve">Бухоро филиали</t>
        </is>
      </c>
      <c r="C33" s="109" t="inlineStr">
        <is>
          <t xml:space="preserve">Обещали</t>
        </is>
      </c>
      <c r="D33" s="109" t="inlineStr">
        <is>
          <t xml:space="preserve">Кр-99058786-1</t>
        </is>
      </c>
      <c r="E33" s="109" t="inlineStr">
        <is>
          <t xml:space="preserve">TOSHQULOVA DILBAR SHOYIMOVNA</t>
        </is>
      </c>
      <c r="F33" s="109" t="inlineStr">
        <is>
          <t xml:space="preserve">+998993310681 SMS O’ZI, 998336663518 SMS QAYNOTASI, 998946663518 SMS QAYNONASI, 998956001133 SMS QAYNOPASI,</t>
        </is>
      </c>
      <c r="G33" s="109" t="inlineStr">
        <is>
          <t xml:space="preserve">BUXORO VILOYATI G’IJDUVON TUMANI AMIROBOD MFY, AMIROBOD QISHLOG’I 45-UY</t>
        </is>
      </c>
      <c r="H33" s="110">
        <v>3.0</v>
      </c>
      <c r="I33" s="110">
        <v>2171192.22</v>
      </c>
      <c r="K33" s="109" t="inlineStr">
        <is>
          <t xml:space="preserve">ERTAGA ABETGACHA TO'LOV QILIB BERAMAN DEDILA | 1708</t>
        </is>
      </c>
    </row>
    <row r="34">
      <c r="A34" s="109" t="inlineStr">
        <is>
          <t xml:space="preserve">БУХОРО ВИЛОЯТИ</t>
        </is>
      </c>
      <c r="B34" s="109" t="inlineStr">
        <is>
          <t xml:space="preserve">Бухоро филиали</t>
        </is>
      </c>
      <c r="C34" s="109" t="inlineStr">
        <is>
          <t xml:space="preserve">Обещали</t>
        </is>
      </c>
      <c r="D34" s="109" t="inlineStr">
        <is>
          <t xml:space="preserve">Кр-99063872-1</t>
        </is>
      </c>
      <c r="E34" s="109" t="inlineStr">
        <is>
          <t xml:space="preserve">SAFAROV DAVRON FARMONOVICH</t>
        </is>
      </c>
      <c r="F34" s="109" t="inlineStr">
        <is>
          <t xml:space="preserve">+998916492324 SMS O’ZI,</t>
        </is>
      </c>
      <c r="G34" s="109" t="inlineStr">
        <is>
          <t xml:space="preserve">BUXORO VILOYATI JONDOR TUMANI QALMOQ MFY XUMIN QISHLOG’I</t>
        </is>
      </c>
      <c r="H34" s="110">
        <v>3.0</v>
      </c>
      <c r="I34" s="110">
        <v>2092759.85</v>
      </c>
      <c r="K34" s="109" t="inlineStr">
        <is>
          <t xml:space="preserve">BUGUNGA DEDI O'G'LINI YANGI NOMERI QO'SHILDI | 2220</t>
        </is>
      </c>
    </row>
    <row r="35">
      <c r="A35" s="109" t="inlineStr">
        <is>
          <t xml:space="preserve">БУХОРО ВИЛОЯТИ</t>
        </is>
      </c>
      <c r="B35" s="109" t="inlineStr">
        <is>
          <t xml:space="preserve">Бухоро филиали</t>
        </is>
      </c>
      <c r="C35" s="109" t="inlineStr">
        <is>
          <t xml:space="preserve">Обещали</t>
        </is>
      </c>
      <c r="D35" s="109" t="inlineStr">
        <is>
          <t xml:space="preserve">Кр-99062944-1</t>
        </is>
      </c>
      <c r="E35" s="109" t="inlineStr">
        <is>
          <t xml:space="preserve">SAMIYEV DOSTONBEK TAVAKKALZODA</t>
        </is>
      </c>
      <c r="F35" s="109" t="inlineStr">
        <is>
          <t xml:space="preserve">+998882814800 SMS O’ZI, 998505068777 SMS UKASI, 998883064800 SMS UKASI, 998883440311 SMS ONASI,</t>
        </is>
      </c>
      <c r="G35" s="109" t="inlineStr">
        <is>
          <t xml:space="preserve">BUXORO VILOYATI SHOFIRKON TUMANI G’ULOMTE MFY G’ULOMTE QISHLOG’I</t>
        </is>
      </c>
      <c r="H35" s="110">
        <v>3.0</v>
      </c>
      <c r="I35" s="110">
        <v>2090433.0</v>
      </c>
      <c r="K35" s="109" t="inlineStr">
        <is>
          <t xml:space="preserve">ERTAGA TO'LEMAN DEDILA OYLIGIM TUSHSA UKAM FILIALGA OLIB BORADI DEDILA | 1947</t>
        </is>
      </c>
    </row>
    <row r="36">
      <c r="A36" s="109" t="inlineStr">
        <is>
          <t xml:space="preserve">БУХОРО ВИЛОЯТИ</t>
        </is>
      </c>
      <c r="B36" s="109" t="inlineStr">
        <is>
          <t xml:space="preserve">Бухоро филиали</t>
        </is>
      </c>
      <c r="C36" s="109" t="inlineStr">
        <is>
          <t xml:space="preserve">Обещали</t>
        </is>
      </c>
      <c r="D36" s="109" t="inlineStr">
        <is>
          <t xml:space="preserve">Кр-99040399-1</t>
        </is>
      </c>
      <c r="E36" s="109" t="inlineStr">
        <is>
          <t xml:space="preserve">FATULLOYEV RIXSILLO SAYFULLA O’G’LI</t>
        </is>
      </c>
      <c r="F36" s="109" t="inlineStr">
        <is>
          <t xml:space="preserve">+998933163138 SMS O’ZI, 998933019922 SMS AKASI, 998934553785 SMS OTASI, 998943129933 SMS YANGASI,</t>
        </is>
      </c>
      <c r="G36" s="109" t="inlineStr">
        <is>
          <t xml:space="preserve">Бухарская область, Жондоpский район, Жамият МСГ, Шамширгарон, дом 309/1</t>
        </is>
      </c>
      <c r="H36" s="110">
        <v>3.0</v>
      </c>
      <c r="I36" s="110">
        <v>1872766.97</v>
      </c>
      <c r="K36" s="109" t="inlineStr">
        <is>
          <t xml:space="preserve">15SANADA OYLIKDAN TO'LEMAN DEDILA | 1013</t>
        </is>
      </c>
    </row>
    <row r="37">
      <c r="A37" s="109" t="inlineStr">
        <is>
          <t xml:space="preserve">БУХОРО ВИЛОЯТИ</t>
        </is>
      </c>
      <c r="B37" s="109" t="inlineStr">
        <is>
          <t xml:space="preserve">Бухоро филиали</t>
        </is>
      </c>
      <c r="C37" s="109" t="inlineStr">
        <is>
          <t xml:space="preserve">Обещали</t>
        </is>
      </c>
      <c r="D37" s="109" t="inlineStr">
        <is>
          <t xml:space="preserve">Кр-99064045-2</t>
        </is>
      </c>
      <c r="E37" s="109" t="inlineStr">
        <is>
          <t xml:space="preserve">NEMATOV SULTON GADOYEVICH</t>
        </is>
      </c>
      <c r="F37" s="109" t="inlineStr">
        <is>
          <t xml:space="preserve">+998941255888 SMS O’ZI, 998914151625 SMS AYOLI, 998919226141 SMS ONASI,</t>
        </is>
      </c>
      <c r="G37" s="109" t="inlineStr">
        <is>
          <t xml:space="preserve">BUXORO VILOYATI ROMITAN TUMANI NAVBAHOR MFY TEMIRXUJA KO’CHASI</t>
        </is>
      </c>
      <c r="H37" s="110">
        <v>3.0</v>
      </c>
      <c r="I37" s="110">
        <v>1826884.32</v>
      </c>
      <c r="K37" s="109" t="inlineStr">
        <is>
          <t xml:space="preserve">10CHIGA TO'LARKANLA | 2274</t>
        </is>
      </c>
    </row>
    <row r="38">
      <c r="A38" s="109" t="inlineStr">
        <is>
          <t xml:space="preserve">БУХОРО ВИЛОЯТИ</t>
        </is>
      </c>
      <c r="B38" s="109" t="inlineStr">
        <is>
          <t xml:space="preserve">Бухоро филиали</t>
        </is>
      </c>
      <c r="C38" s="109" t="inlineStr">
        <is>
          <t xml:space="preserve">Обещали</t>
        </is>
      </c>
      <c r="D38" s="109" t="inlineStr">
        <is>
          <t xml:space="preserve">Кр-99031584-1</t>
        </is>
      </c>
      <c r="E38" s="109" t="inlineStr">
        <is>
          <t xml:space="preserve">NOROVA IRODA NE’MATOVNA</t>
        </is>
      </c>
      <c r="F38" s="109" t="inlineStr">
        <is>
          <t xml:space="preserve">90-809-45-45  SMS O'ZI, 93-372-19-81  SMS QIZI MAFTUNA, 50-758-04-06  SMS QIZI MAHSUDA tanimidi, 91-016-68-42  SMS ONASI, 950378185 opchasi, 998774080081 узи  ,</t>
        </is>
      </c>
      <c r="G38" s="109" t="inlineStr">
        <is>
          <t xml:space="preserve">BUXORO VILOYATI QORAKO’L TUMANI TASHABBUS MFY ADXAM / YUNUSOBOD TUMANI  2-MAVZE 31-UY 45-XONADON </t>
        </is>
      </c>
      <c r="H38" s="110">
        <v>2.0</v>
      </c>
      <c r="I38" s="110">
        <v>1602499.57</v>
      </c>
      <c r="K38" s="109" t="inlineStr">
        <is>
          <t xml:space="preserve">SHU HAFTA OXIRIGACHA 9CHIDA OYLIGIM TUSHUSHI BN TO'LOV QILAMAN DEDI | 399</t>
        </is>
      </c>
    </row>
    <row r="39">
      <c r="A39" s="109" t="inlineStr">
        <is>
          <t xml:space="preserve">БУХОРО ВИЛОЯТИ</t>
        </is>
      </c>
      <c r="B39" s="109" t="inlineStr">
        <is>
          <t xml:space="preserve">Бухоро филиали</t>
        </is>
      </c>
      <c r="C39" s="109" t="inlineStr">
        <is>
          <t xml:space="preserve">Обещали</t>
        </is>
      </c>
      <c r="D39" s="109" t="inlineStr">
        <is>
          <t xml:space="preserve">Кр-99063280-1</t>
        </is>
      </c>
      <c r="E39" s="109" t="inlineStr">
        <is>
          <t xml:space="preserve">QURBONOV XUSHVAQT G’ULOMOVICH</t>
        </is>
      </c>
      <c r="F39" s="109" t="inlineStr">
        <is>
          <t xml:space="preserve">+998914177518 SMS O’ZI, 998990454555 SMS AYOLI, 998993454441 SMS DO’STI,</t>
        </is>
      </c>
      <c r="G39" s="109" t="inlineStr">
        <is>
          <t xml:space="preserve">OLOT TUMANI</t>
        </is>
      </c>
      <c r="H39" s="110">
        <v>3.0</v>
      </c>
      <c r="I39" s="110">
        <v>1434620.8</v>
      </c>
      <c r="K39" s="109" t="inlineStr">
        <is>
          <t xml:space="preserve">ROSSIYADAN QAYTYABDI 2KUNDA  TELEGRAMDAN GAPLASHDIM | 2049</t>
        </is>
      </c>
    </row>
    <row r="40">
      <c r="A40" s="109" t="inlineStr">
        <is>
          <t xml:space="preserve">БУХОРО ВИЛОЯТИ</t>
        </is>
      </c>
      <c r="B40" s="109" t="inlineStr">
        <is>
          <t xml:space="preserve">Бухоро филиали</t>
        </is>
      </c>
      <c r="C40" s="109" t="inlineStr">
        <is>
          <t xml:space="preserve">Обещали</t>
        </is>
      </c>
      <c r="D40" s="109" t="inlineStr">
        <is>
          <t xml:space="preserve">Кр-99019690-4</t>
        </is>
      </c>
      <c r="E40" s="109" t="inlineStr">
        <is>
          <t xml:space="preserve">HAYDAROV FURQAT RAXMATILLOYEVICH</t>
        </is>
      </c>
      <c r="F40" s="109" t="inlineStr">
        <is>
          <t xml:space="preserve">97-488-07-66  SMS O'ZI, 88-301-90-93  SMS AKASI, 97-296-06-93  SMS UY, 93-841-53-50  SMS AYOLI, 998505999203 SMS O'ZI2,</t>
        </is>
      </c>
      <c r="G40" s="109" t="inlineStr">
        <is>
          <t xml:space="preserve">BUXORO VILOYAT BUXORO SHAHRI BESHKAPPA KO'CHASI 106 UY</t>
        </is>
      </c>
      <c r="H40" s="110">
        <v>3.0</v>
      </c>
      <c r="I40" s="110">
        <v>1189917.64</v>
      </c>
      <c r="K40" s="109" t="inlineStr">
        <is>
          <t xml:space="preserve">BUGUNGA VADA BERGAN | 105</t>
        </is>
      </c>
    </row>
    <row r="41">
      <c r="A41" s="109" t="inlineStr">
        <is>
          <t xml:space="preserve">БУХОРО ВИЛОЯТИ</t>
        </is>
      </c>
      <c r="B41" s="109" t="inlineStr">
        <is>
          <t xml:space="preserve">Бухоро филиали</t>
        </is>
      </c>
      <c r="C41" s="109" t="inlineStr">
        <is>
          <t xml:space="preserve">Обещали</t>
        </is>
      </c>
      <c r="D41" s="109" t="inlineStr">
        <is>
          <t xml:space="preserve">Кр-99062808-1</t>
        </is>
      </c>
      <c r="E41" s="109" t="inlineStr">
        <is>
          <t xml:space="preserve">ATOYEVA SHAHNOZA AXMADOVNA</t>
        </is>
      </c>
      <c r="F41" s="109" t="inlineStr">
        <is>
          <t xml:space="preserve">+998995718712 SMS O’ZI, 998507018858 SMS AKASI, 998889910959 SMS ONASI, 998918331459 SMS OTASI,</t>
        </is>
      </c>
      <c r="G41" s="109" t="inlineStr">
        <is>
          <t xml:space="preserve">ГУЛИСТОН МФЙ, ГУЛЗОР КИШЛОГИ,</t>
        </is>
      </c>
      <c r="H41" s="110">
        <v>3.0</v>
      </c>
      <c r="I41" s="110">
        <v>1116537.11</v>
      </c>
      <c r="K41" s="109" t="inlineStr">
        <is>
          <t xml:space="preserve">ERTAGA AKASI BN GAPLASHDIM MILLIY BANKDAN TAWAYMAN DEDILA | 1898</t>
        </is>
      </c>
    </row>
    <row r="42">
      <c r="A42" s="109" t="inlineStr">
        <is>
          <t xml:space="preserve">БУХОРО ВИЛОЯТИ</t>
        </is>
      </c>
      <c r="B42" s="109" t="inlineStr">
        <is>
          <t xml:space="preserve">Бухоро филиали</t>
        </is>
      </c>
      <c r="C42" s="109" t="inlineStr">
        <is>
          <t xml:space="preserve">Обещали</t>
        </is>
      </c>
      <c r="D42" s="109" t="inlineStr">
        <is>
          <t xml:space="preserve">Кр-99062864-1</t>
        </is>
      </c>
      <c r="E42" s="109" t="inlineStr">
        <is>
          <t xml:space="preserve">MAXMUDOV ALIAKBAR SAIDJONOVICH</t>
        </is>
      </c>
      <c r="F42" s="109" t="inlineStr">
        <is>
          <t xml:space="preserve">+998900650514 SMS, 998507103377 SMS UY, 998905128669 SMS AKASI TO'LOVCHI,</t>
        </is>
      </c>
      <c r="G42" s="109" t="inlineStr">
        <is>
          <t xml:space="preserve">BUXORO VILOYATI BUXORO SHAHAR AVSHORMAHALLA MFY 77-UY</t>
        </is>
      </c>
      <c r="H42" s="110">
        <v>3.0</v>
      </c>
      <c r="I42" s="110">
        <v>999325.63</v>
      </c>
      <c r="K42" s="109" t="inlineStr">
        <is>
          <t xml:space="preserve">BUGUNGA BERADI FILIALGA ABETDAN KEYIN | 1922</t>
        </is>
      </c>
    </row>
    <row r="43">
      <c r="A43" s="109" t="inlineStr">
        <is>
          <t xml:space="preserve">БУХОРО ВИЛОЯТИ</t>
        </is>
      </c>
      <c r="B43" s="109" t="inlineStr">
        <is>
          <t xml:space="preserve">Бухоро филиали</t>
        </is>
      </c>
      <c r="C43" s="109" t="inlineStr">
        <is>
          <t xml:space="preserve">Обещали</t>
        </is>
      </c>
      <c r="D43" s="109" t="inlineStr">
        <is>
          <t xml:space="preserve">Кр-99027688-2</t>
        </is>
      </c>
      <c r="E43" s="109" t="inlineStr">
        <is>
          <t xml:space="preserve">HUSENOV BARNO HASANOVICH</t>
        </is>
      </c>
      <c r="F43" s="109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43" s="109" t="inlineStr">
        <is>
          <t xml:space="preserve">АРАБХОНА МФЙ, АРАБХОНА,</t>
        </is>
      </c>
      <c r="H43" s="110">
        <v>3.0</v>
      </c>
      <c r="I43" s="110">
        <v>853985.96</v>
      </c>
      <c r="K43" s="109" t="inlineStr">
        <is>
          <t xml:space="preserve">BUGUN PAYNETDAN KARTASINI TO'LDIRADI TORTIB OLADI TELEFON QILIB AYTARKANLA | 244</t>
        </is>
      </c>
    </row>
    <row r="44">
      <c r="A44" s="109" t="inlineStr">
        <is>
          <t xml:space="preserve">БУХОРО ВИЛОЯТИ</t>
        </is>
      </c>
      <c r="B44" s="109" t="inlineStr">
        <is>
          <t xml:space="preserve">Бухоро филиали</t>
        </is>
      </c>
      <c r="C44" s="109" t="inlineStr">
        <is>
          <t xml:space="preserve">Обещали</t>
        </is>
      </c>
      <c r="D44" s="109" t="inlineStr">
        <is>
          <t xml:space="preserve">Кр-99039770-3</t>
        </is>
      </c>
      <c r="E44" s="109" t="inlineStr">
        <is>
          <t xml:space="preserve">SAFAROV SANJAR ADIZ O’G’LI</t>
        </is>
      </c>
      <c r="F44" s="109" t="inlineStr">
        <is>
          <t xml:space="preserve">998912403939 SMS OZI TO'LOVCHI SHUNGA TEL QILINSIN, 998935133314 SMS AMAKISI, 998918225456 SMS OTASI, 998942432520 SMS ONASI BEGONA , 998500766902 SMS ONASI,</t>
        </is>
      </c>
      <c r="G44" s="109" t="inlineStr">
        <is>
          <t xml:space="preserve">BUXORO VILOYATI BUXORO TUMANI GULSHANOBOD MFY LEYLAK QISHLOG’I  51-UY</t>
        </is>
      </c>
      <c r="H44" s="110">
        <v>3.0</v>
      </c>
      <c r="I44" s="110">
        <v>577516.0</v>
      </c>
      <c r="K44" s="109" t="inlineStr">
        <is>
          <t xml:space="preserve">BUGUNGA | 887</t>
        </is>
      </c>
    </row>
    <row r="45">
      <c r="A45" s="111" t="inlineStr">
        <is>
          <t xml:space="preserve">БУХОРО ВИЛОЯТИ</t>
        </is>
      </c>
      <c r="B45" s="111" t="inlineStr">
        <is>
          <t xml:space="preserve">Навоий филиали</t>
        </is>
      </c>
      <c r="C45" s="111" t="inlineStr">
        <is>
          <t xml:space="preserve">Обещали</t>
        </is>
      </c>
      <c r="D45" s="111" t="inlineStr">
        <is>
          <t xml:space="preserve">Кр-99062840-2</t>
        </is>
      </c>
      <c r="E45" s="111" t="inlineStr">
        <is>
          <t xml:space="preserve">DAVRONOV SOBIR KAMOLOVICH</t>
        </is>
      </c>
      <c r="F45" s="111" t="inlineStr">
        <is>
          <t xml:space="preserve">+998935690790 sms , 998934608944 UKASI begona , 998936850790 AYOLI, 998945177590 O’ZI 2 NOMERI, 998935690790 uzi new SMS,</t>
        </is>
      </c>
      <c r="G45" s="111" t="inlineStr">
        <is>
          <t xml:space="preserve">G’IJDUVON TUMANI</t>
        </is>
      </c>
      <c r="H45" s="112">
        <v>3.0</v>
      </c>
      <c r="I45" s="112">
        <v>6059938.7</v>
      </c>
      <c r="K45" s="111" t="inlineStr">
        <is>
          <t xml:space="preserve">10CHIDA TO'LEDI | 1915</t>
        </is>
      </c>
    </row>
    <row r="46">
      <c r="A46" s="111" t="inlineStr">
        <is>
          <t xml:space="preserve">БУХОРО ВИЛОЯТИ</t>
        </is>
      </c>
      <c r="B46" s="111" t="inlineStr">
        <is>
          <t xml:space="preserve">Навоий филиали</t>
        </is>
      </c>
      <c r="C46" s="111" t="inlineStr">
        <is>
          <t xml:space="preserve">Обещали</t>
        </is>
      </c>
      <c r="D46" s="111" t="inlineStr">
        <is>
          <t xml:space="preserve">Кр-99063975-1</t>
        </is>
      </c>
      <c r="E46" s="111" t="inlineStr">
        <is>
          <t xml:space="preserve">QUZIYEV MAQSUD HIKMATULLOYEVICH</t>
        </is>
      </c>
      <c r="F46" s="111" t="inlineStr">
        <is>
          <t xml:space="preserve">998912463904 SINGLISI, 998933147491 AYOLI, 998996229992 O’ZI,</t>
        </is>
      </c>
      <c r="G46" s="111" t="inlineStr">
        <is>
          <t xml:space="preserve">SDFC</t>
        </is>
      </c>
      <c r="H46" s="112">
        <v>3.0</v>
      </c>
      <c r="I46" s="112">
        <v>3144846.49</v>
      </c>
      <c r="K46" s="111" t="inlineStr">
        <is>
          <t xml:space="preserve">NAVOIYGA TO'LARKAN  15KUNI | 2252</t>
        </is>
      </c>
    </row>
    <row r="47">
      <c r="A47" s="113" t="inlineStr">
        <is>
          <t xml:space="preserve">ЖИЗЗАХ ВИЛОЯТИ</t>
        </is>
      </c>
      <c r="B47" s="113" t="inlineStr">
        <is>
          <t xml:space="preserve">BOSH OFIS</t>
        </is>
      </c>
      <c r="C47" s="113" t="inlineStr">
        <is>
          <t xml:space="preserve">Обещали</t>
        </is>
      </c>
      <c r="D47" s="113" t="inlineStr">
        <is>
          <t xml:space="preserve">Кр-99063395-2</t>
        </is>
      </c>
      <c r="E47" s="113" t="inlineStr">
        <is>
          <t xml:space="preserve">SOXIBOV DILSHOD YUSUPALIYEVICH</t>
        </is>
      </c>
      <c r="F47" s="113" t="inlineStr">
        <is>
          <t xml:space="preserve">998501038581 SMS QIZI, 998882488581 SMS AYOLI, 998990661191 SMS OZI,</t>
        </is>
      </c>
      <c r="G47" s="113" t="inlineStr">
        <is>
          <t xml:space="preserve">DEXQONOBOD 2 UY 7 XONADON</t>
        </is>
      </c>
      <c r="H47" s="114">
        <v>3.0</v>
      </c>
      <c r="I47" s="114">
        <v>1119310.9</v>
      </c>
      <c r="K47" s="113" t="inlineStr">
        <is>
          <t xml:space="preserve">903111601 tolovchi abetgaca tolaydi</t>
        </is>
      </c>
    </row>
    <row r="48">
      <c r="A48" s="115" t="inlineStr">
        <is>
          <t xml:space="preserve">ЖИЗЗАХ ВИЛОЯТИ</t>
        </is>
      </c>
      <c r="B48" s="115" t="inlineStr">
        <is>
          <t xml:space="preserve">SUPER BRANCH</t>
        </is>
      </c>
      <c r="C48" s="115" t="inlineStr">
        <is>
          <t xml:space="preserve">Обещали</t>
        </is>
      </c>
      <c r="D48" s="115" t="inlineStr">
        <is>
          <t xml:space="preserve">Кр-99036080-2</t>
        </is>
      </c>
      <c r="E48" s="115" t="inlineStr">
        <is>
          <t xml:space="preserve">MAMATKARIMOV A’ZAMQUL XXX</t>
        </is>
      </c>
      <c r="F48" s="115" t="inlineStr">
        <is>
          <t xml:space="preserve">998994045803 SMS O’ZI, 998901804833 SMS AYOLI, 998949118063 SMS ZALOGADATEL , 998979061314 SMS ZALOGADATEL AYOLI,</t>
        </is>
      </c>
      <c r="G48" s="115" t="inlineStr">
        <is>
          <t xml:space="preserve">JIZZAX VILOYATI YANGIOBOD TUMANI SARMICH QISHLOG’I </t>
        </is>
      </c>
      <c r="H48" s="116">
        <v>3.0</v>
      </c>
      <c r="I48" s="116">
        <v>8280621.05</v>
      </c>
      <c r="K48" s="115" t="inlineStr">
        <is>
          <t xml:space="preserve">ertaga kecgaca tolaydi</t>
        </is>
      </c>
    </row>
    <row r="49">
      <c r="A49" s="115" t="inlineStr">
        <is>
          <t xml:space="preserve">ЖИЗЗАХ ВИЛОЯТИ</t>
        </is>
      </c>
      <c r="B49" s="115" t="inlineStr">
        <is>
          <t xml:space="preserve">SUPER BRANCH</t>
        </is>
      </c>
      <c r="C49" s="115" t="inlineStr">
        <is>
          <t xml:space="preserve">Обещали</t>
        </is>
      </c>
      <c r="D49" s="115" t="inlineStr">
        <is>
          <t xml:space="preserve">Кр-99056937-2</t>
        </is>
      </c>
      <c r="E49" s="115" t="inlineStr">
        <is>
          <t xml:space="preserve">RASHIDOVA NASIBA YAKUBOVNA</t>
        </is>
      </c>
      <c r="F49" s="115" t="inlineStr">
        <is>
          <t xml:space="preserve">998889541771 SMS OZI, 998843817712 SMS OZI2, 998974390219 SMS KELINI,</t>
        </is>
      </c>
      <c r="G49" s="115" t="inlineStr">
        <is>
          <t xml:space="preserve">JIZZAX VILOYATI JIZZAX SHAHAR MIRZO ULUG'BEK MAHALLASI 2-UY 10-XONADON</t>
        </is>
      </c>
      <c r="H49" s="116">
        <v>3.0</v>
      </c>
      <c r="I49" s="116">
        <v>8199521.58</v>
      </c>
      <c r="K49" s="115" t="inlineStr">
        <is>
          <t xml:space="preserve">ertaga abetgaca  tolaydi</t>
        </is>
      </c>
    </row>
    <row r="50">
      <c r="A50" s="115" t="inlineStr">
        <is>
          <t xml:space="preserve">ЖИЗЗАХ ВИЛОЯТИ</t>
        </is>
      </c>
      <c r="B50" s="115" t="inlineStr">
        <is>
          <t xml:space="preserve">SUPER BRANCH</t>
        </is>
      </c>
      <c r="C50" s="115" t="inlineStr">
        <is>
          <t xml:space="preserve">Обещали</t>
        </is>
      </c>
      <c r="D50" s="115" t="inlineStr">
        <is>
          <t xml:space="preserve">Кр-99062344-1</t>
        </is>
      </c>
      <c r="E50" s="115" t="inlineStr">
        <is>
          <t xml:space="preserve">ALIMOV BAXROM YETMISHOVICH</t>
        </is>
      </c>
      <c r="F50" s="115" t="inlineStr">
        <is>
          <t xml:space="preserve">998959098681 O`ZI, 998959108681 AYOLI, 998956261810 QIZI,</t>
        </is>
      </c>
      <c r="G50" s="115" t="inlineStr">
        <is>
          <t xml:space="preserve">JIZZAX VILOYATI ZARBDOR TUMANI RAVOT MFY PILLAKOR KUCHASI 1-UYI</t>
        </is>
      </c>
      <c r="H50" s="116">
        <v>3.0</v>
      </c>
      <c r="I50" s="116">
        <v>6291492.64</v>
      </c>
      <c r="K50" s="115" t="inlineStr">
        <is>
          <t xml:space="preserve">oylik tuwgandan tolaydi</t>
        </is>
      </c>
    </row>
    <row r="51">
      <c r="A51" s="115" t="inlineStr">
        <is>
          <t xml:space="preserve">ЖИЗЗАХ ВИЛОЯТИ</t>
        </is>
      </c>
      <c r="B51" s="115" t="inlineStr">
        <is>
          <t xml:space="preserve">SUPER BRANCH</t>
        </is>
      </c>
      <c r="C51" s="115" t="inlineStr">
        <is>
          <t xml:space="preserve">Обещали</t>
        </is>
      </c>
      <c r="D51" s="115" t="inlineStr">
        <is>
          <t xml:space="preserve">Кр-99045795-1</t>
        </is>
      </c>
      <c r="E51" s="115" t="inlineStr">
        <is>
          <t xml:space="preserve">YULDASHEV ASATULLO TO’YCHIYEVICH</t>
        </is>
      </c>
      <c r="F51" s="115" t="inlineStr">
        <is>
          <t xml:space="preserve">998945767778 SMS OZI, 998945141978 SMS AYOLI, 998971601711 SMS OGLI,</t>
        </is>
      </c>
      <c r="G51" s="115" t="inlineStr">
        <is>
          <t xml:space="preserve">JIZZAX VILOYATI ZOMIN TUMANI NURLIKENT MFY POLVONLAR KO'CHASI 25-UY</t>
        </is>
      </c>
      <c r="H51" s="116">
        <v>3.0</v>
      </c>
      <c r="I51" s="116">
        <v>6241634.01</v>
      </c>
      <c r="K51" s="115" t="inlineStr">
        <is>
          <t xml:space="preserve">wanbagaca tolaydi</t>
        </is>
      </c>
    </row>
    <row r="52">
      <c r="A52" s="115" t="inlineStr">
        <is>
          <t xml:space="preserve">ЖИЗЗАХ ВИЛОЯТИ</t>
        </is>
      </c>
      <c r="B52" s="115" t="inlineStr">
        <is>
          <t xml:space="preserve">SUPER BRANCH</t>
        </is>
      </c>
      <c r="C52" s="115" t="inlineStr">
        <is>
          <t xml:space="preserve">Обещали</t>
        </is>
      </c>
      <c r="D52" s="115" t="inlineStr">
        <is>
          <t xml:space="preserve">Кр-99053193-1</t>
        </is>
      </c>
      <c r="E52" s="115" t="inlineStr">
        <is>
          <t xml:space="preserve">TURAYEV OYBEK ULUGBEKOVICH</t>
        </is>
      </c>
      <c r="F52" s="115" t="inlineStr">
        <is>
          <t xml:space="preserve">998905162754 SMS OZI, 998904868707 SMS AYOLI, 998990282014 SMS OGLI, +998905162754 ,</t>
        </is>
      </c>
      <c r="G52" s="115" t="inlineStr">
        <is>
          <t xml:space="preserve">JIZZAX VILOYATI JIZZAX SHAHRI UCHARIQ MFY FIRDAVSIY KUCHASI 19-UY</t>
        </is>
      </c>
      <c r="I52" s="116">
        <v>6183054.04</v>
      </c>
      <c r="K52" s="115" t="inlineStr">
        <is>
          <t xml:space="preserve">oylik tuwgandan tolaydi wu hafta</t>
        </is>
      </c>
    </row>
    <row r="53">
      <c r="A53" s="115" t="inlineStr">
        <is>
          <t xml:space="preserve">ЖИЗЗАХ ВИЛОЯТИ</t>
        </is>
      </c>
      <c r="B53" s="115" t="inlineStr">
        <is>
          <t xml:space="preserve">SUPER BRANCH</t>
        </is>
      </c>
      <c r="C53" s="115" t="inlineStr">
        <is>
          <t xml:space="preserve">Обещали</t>
        </is>
      </c>
      <c r="D53" s="115" t="inlineStr">
        <is>
          <t xml:space="preserve">Кр-99041938-2</t>
        </is>
      </c>
      <c r="E53" s="115" t="inlineStr">
        <is>
          <t xml:space="preserve">MURODIMOV ALIJON YO’LDOSH O’G’LI</t>
        </is>
      </c>
      <c r="F53" s="115" t="inlineStr">
        <is>
          <t xml:space="preserve">998881271595 SMS OZINI 2, 998977949990 SMS AKASI, 998995709128 SMS OZI, 998995719128 SMS AKASI 2,</t>
        </is>
      </c>
      <c r="G53" s="115" t="inlineStr">
        <is>
          <t xml:space="preserve">КУКБУЛОК КФЙ, КУКБУЛОК КФЙ, КИЗИЛТУТ КИШЛОГИ,  uy:Р/С</t>
        </is>
      </c>
      <c r="H53" s="116">
        <v>3.0</v>
      </c>
      <c r="I53" s="116">
        <v>5914262.58</v>
      </c>
      <c r="K53" s="115" t="inlineStr">
        <is>
          <t xml:space="preserve">kecgaca tolaydi</t>
        </is>
      </c>
    </row>
    <row r="54">
      <c r="A54" s="115" t="inlineStr">
        <is>
          <t xml:space="preserve">ЖИЗЗАХ ВИЛОЯТИ</t>
        </is>
      </c>
      <c r="B54" s="115" t="inlineStr">
        <is>
          <t xml:space="preserve">SUPER BRANCH</t>
        </is>
      </c>
      <c r="C54" s="115" t="inlineStr">
        <is>
          <t xml:space="preserve">Обещали</t>
        </is>
      </c>
      <c r="D54" s="115" t="inlineStr">
        <is>
          <t xml:space="preserve">Кр-99040233-1</t>
        </is>
      </c>
      <c r="E54" s="115" t="inlineStr">
        <is>
          <t xml:space="preserve">BERDIYEVA MAVLYUDA INOMOVNA</t>
        </is>
      </c>
      <c r="F54" s="115" t="inlineStr">
        <is>
          <t xml:space="preserve">998915691963 SMS OZI, 998905151229 SMS SINGLSI, 998905398865 SMS KELINI,</t>
        </is>
      </c>
      <c r="G54" s="115" t="inlineStr">
        <is>
          <t xml:space="preserve">JIZZAX VILOYATI JIZZAX SHAHRI DUSTLIK MFY DUSTLIK KUCHASI 11-UY </t>
        </is>
      </c>
      <c r="H54" s="116">
        <v>3.0</v>
      </c>
      <c r="I54" s="116">
        <v>4725308.03</v>
      </c>
      <c r="K54" s="115" t="inlineStr">
        <is>
          <t xml:space="preserve">kecgaca tolaydi</t>
        </is>
      </c>
    </row>
    <row r="55">
      <c r="A55" s="115" t="inlineStr">
        <is>
          <t xml:space="preserve">ЖИЗЗАХ ВИЛОЯТИ</t>
        </is>
      </c>
      <c r="B55" s="115" t="inlineStr">
        <is>
          <t xml:space="preserve">SUPER BRANCH</t>
        </is>
      </c>
      <c r="C55" s="115" t="inlineStr">
        <is>
          <t xml:space="preserve">Обещали</t>
        </is>
      </c>
      <c r="D55" s="115" t="inlineStr">
        <is>
          <t xml:space="preserve">Кр-99028709-2</t>
        </is>
      </c>
      <c r="E55" s="115" t="inlineStr">
        <is>
          <t xml:space="preserve">ABDUJABBOROV SARVAR ASLIDDIN O’G’LI</t>
        </is>
      </c>
      <c r="F55" s="115" t="inlineStr">
        <is>
          <t xml:space="preserve">88-208-15-45  SMS O'ZI, 88-128-22-02 X SMS TULOVCHI , 88-296-26-29  SMS UZI ,</t>
        </is>
      </c>
      <c r="G55" s="115" t="inlineStr">
        <is>
          <t xml:space="preserve">JIZZAX VILOYATI BAXMAL TUMANI O’RMONCHI QFY </t>
        </is>
      </c>
      <c r="H55" s="116">
        <v>3.0</v>
      </c>
      <c r="I55" s="116">
        <v>4452639.54</v>
      </c>
      <c r="K55" s="115" t="inlineStr">
        <is>
          <t xml:space="preserve">duwanbagaca tolaydi</t>
        </is>
      </c>
    </row>
    <row r="56">
      <c r="A56" s="115" t="inlineStr">
        <is>
          <t xml:space="preserve">ЖИЗЗАХ ВИЛОЯТИ</t>
        </is>
      </c>
      <c r="B56" s="115" t="inlineStr">
        <is>
          <t xml:space="preserve">SUPER BRANCH</t>
        </is>
      </c>
      <c r="C56" s="115" t="inlineStr">
        <is>
          <t xml:space="preserve">Обещали</t>
        </is>
      </c>
      <c r="D56" s="115" t="inlineStr">
        <is>
          <t xml:space="preserve">Кр-99040359-1</t>
        </is>
      </c>
      <c r="E56" s="115" t="inlineStr">
        <is>
          <t xml:space="preserve">KOMOLJONOV IXTIYOR BAXTIYOROVICH</t>
        </is>
      </c>
      <c r="F56" s="115" t="inlineStr">
        <is>
          <t xml:space="preserve">998999434941 SMS OZI, 998194149412 SMS OZI2, 998901828688 SMS AYOLI,</t>
        </is>
      </c>
      <c r="G56" s="115" t="inlineStr">
        <is>
          <t xml:space="preserve">JIZZAX VILOYATI JIZZAX TUMANI ZIYOKOR MFY ABDUQAHHOR KUCHASI 42-UY </t>
        </is>
      </c>
      <c r="H56" s="116">
        <v>3.0</v>
      </c>
      <c r="I56" s="116">
        <v>4228019.89</v>
      </c>
      <c r="K56" s="115" t="inlineStr">
        <is>
          <t xml:space="preserve">ertaga tolaydi</t>
        </is>
      </c>
    </row>
    <row r="57">
      <c r="A57" s="115" t="inlineStr">
        <is>
          <t xml:space="preserve">ЖИЗЗАХ ВИЛОЯТИ</t>
        </is>
      </c>
      <c r="B57" s="115" t="inlineStr">
        <is>
          <t xml:space="preserve">SUPER BRANCH</t>
        </is>
      </c>
      <c r="C57" s="115" t="inlineStr">
        <is>
          <t xml:space="preserve">Обещали</t>
        </is>
      </c>
      <c r="D57" s="115" t="inlineStr">
        <is>
          <t xml:space="preserve">Кр-99040635-1</t>
        </is>
      </c>
      <c r="E57" s="115" t="inlineStr">
        <is>
          <t xml:space="preserve">JURAYEVA ZULAYXA LUTFULLAYEVNA</t>
        </is>
      </c>
      <c r="F57" s="115" t="inlineStr">
        <is>
          <t xml:space="preserve">998915641958 SMS begona, 998938592525 SMS O`G`LI tolovchisi, 998943543086 SMS O`G`LI 2, 998931940082 SMS O`G`LI 3, 998943174556 SMS ONASI, 998932926008 Tolovchisini xotini,</t>
        </is>
      </c>
      <c r="G57" s="115" t="inlineStr">
        <is>
          <t xml:space="preserve">JIZZAX VILOYATI, DO’STLIK TUMANI, NAVRUZ MFY, IFTIXOR KUCHASI, 11-2 UY</t>
        </is>
      </c>
      <c r="H57" s="116">
        <v>3.0</v>
      </c>
      <c r="I57" s="116">
        <v>4102129.2</v>
      </c>
    </row>
    <row r="58">
      <c r="A58" s="115" t="inlineStr">
        <is>
          <t xml:space="preserve">ЖИЗЗАХ ВИЛОЯТИ</t>
        </is>
      </c>
      <c r="B58" s="115" t="inlineStr">
        <is>
          <t xml:space="preserve">SUPER BRANCH</t>
        </is>
      </c>
      <c r="C58" s="115" t="inlineStr">
        <is>
          <t xml:space="preserve">Обещали</t>
        </is>
      </c>
      <c r="D58" s="115" t="inlineStr">
        <is>
          <t xml:space="preserve">Кр-99063114-1</t>
        </is>
      </c>
      <c r="E58" s="115" t="inlineStr">
        <is>
          <t xml:space="preserve">BOZOROV SAFARBOY XXX</t>
        </is>
      </c>
      <c r="F58" s="115" t="inlineStr">
        <is>
          <t xml:space="preserve">998931775315 OZI, 998995544018 OGLI, 998933008159 OGLI,</t>
        </is>
      </c>
      <c r="G58" s="115" t="inlineStr">
        <is>
          <t xml:space="preserve">JIZZAX VILOYATI JIZZAX SHAHAR BUNYODKOR MFY QURUVCHILAR KUCHASI 1-UY</t>
        </is>
      </c>
      <c r="H58" s="116">
        <v>3.0</v>
      </c>
      <c r="I58" s="116">
        <v>4033438.08</v>
      </c>
      <c r="K58" s="115" t="inlineStr">
        <is>
          <t xml:space="preserve">1 2 kunda tolaydi</t>
        </is>
      </c>
    </row>
    <row r="59">
      <c r="A59" s="115" t="inlineStr">
        <is>
          <t xml:space="preserve">ЖИЗЗАХ ВИЛОЯТИ</t>
        </is>
      </c>
      <c r="B59" s="115" t="inlineStr">
        <is>
          <t xml:space="preserve">SUPER BRANCH</t>
        </is>
      </c>
      <c r="C59" s="115" t="inlineStr">
        <is>
          <t xml:space="preserve">Обещали</t>
        </is>
      </c>
      <c r="D59" s="115" t="inlineStr">
        <is>
          <t xml:space="preserve">Кр-99057340-1</t>
        </is>
      </c>
      <c r="E59" s="115" t="inlineStr">
        <is>
          <t xml:space="preserve">SUYUNOVA UMIDA ILHOM QIZI</t>
        </is>
      </c>
      <c r="F59" s="115" t="inlineStr">
        <is>
          <t xml:space="preserve">998995542023 SMS ERI, 998930913798 SMS UZI, 998943461045 SMS UY, 998901020807 SMS Akasi,</t>
        </is>
      </c>
      <c r="G59" s="115" t="inlineStr">
        <is>
          <t xml:space="preserve">JIZZAX VILOYATI MIRZACHO'L TUMANI IPAK YULI QFY YANGI XAYOT KUCHASI 29-UY</t>
        </is>
      </c>
      <c r="H59" s="116">
        <v>3.0</v>
      </c>
      <c r="I59" s="116">
        <v>3719528.42</v>
      </c>
      <c r="K59" s="115" t="inlineStr">
        <is>
          <t xml:space="preserve">2 3 kunda tolaydi</t>
        </is>
      </c>
    </row>
    <row r="60">
      <c r="A60" s="115" t="inlineStr">
        <is>
          <t xml:space="preserve">ЖИЗЗАХ ВИЛОЯТИ</t>
        </is>
      </c>
      <c r="B60" s="115" t="inlineStr">
        <is>
          <t xml:space="preserve">SUPER BRANCH</t>
        </is>
      </c>
      <c r="C60" s="115" t="inlineStr">
        <is>
          <t xml:space="preserve">Обещали</t>
        </is>
      </c>
      <c r="D60" s="115" t="inlineStr">
        <is>
          <t xml:space="preserve">Кр-99052995-1</t>
        </is>
      </c>
      <c r="E60" s="115" t="inlineStr">
        <is>
          <t xml:space="preserve">JUMANOVA SHAYDO JONIQUL QIZI</t>
        </is>
      </c>
      <c r="F60" s="115" t="inlineStr">
        <is>
          <t xml:space="preserve">998505100392 SMS ERI, 998933016150 SMS QAYNIONASI,</t>
        </is>
      </c>
      <c r="G60" s="115" t="inlineStr">
        <is>
          <t xml:space="preserve">JIZZAX VILOYATI SHAROF RASHIDOV TUMANI UMAR MAHALLASI KITOBXONLAR KUCHASI 59-UY</t>
        </is>
      </c>
      <c r="H60" s="116">
        <v>3.0</v>
      </c>
      <c r="I60" s="116">
        <v>3440681.42</v>
      </c>
      <c r="K60" s="115" t="inlineStr">
        <is>
          <t xml:space="preserve">15gca tolaydi oylik kutyapti</t>
        </is>
      </c>
    </row>
    <row r="61">
      <c r="A61" s="115" t="inlineStr">
        <is>
          <t xml:space="preserve">ЖИЗЗАХ ВИЛОЯТИ</t>
        </is>
      </c>
      <c r="B61" s="115" t="inlineStr">
        <is>
          <t xml:space="preserve">SUPER BRANCH</t>
        </is>
      </c>
      <c r="C61" s="115" t="inlineStr">
        <is>
          <t xml:space="preserve">Обещали</t>
        </is>
      </c>
      <c r="D61" s="115" t="inlineStr">
        <is>
          <t xml:space="preserve">Кр-99028709-3</t>
        </is>
      </c>
      <c r="E61" s="115" t="inlineStr">
        <is>
          <t xml:space="preserve">ABDUJABBOROV SARVAR ASLIDDIN O’G’LI</t>
        </is>
      </c>
      <c r="F61" s="115" t="inlineStr">
        <is>
          <t xml:space="preserve">88-208-15-45  SMS O'ZI, 88-128-22-02 X SMS TULOVCHI , 88-296-26-29  SMS UZI ,</t>
        </is>
      </c>
      <c r="G61" s="115" t="inlineStr">
        <is>
          <t xml:space="preserve">JIZZAX VILOYATI BAXMAL TUMANI O’RMONCHI QFY </t>
        </is>
      </c>
      <c r="H61" s="116">
        <v>3.0</v>
      </c>
      <c r="I61" s="116">
        <v>3251991.12</v>
      </c>
      <c r="K61" s="115" t="inlineStr">
        <is>
          <t xml:space="preserve">duwanbagaca tolaydi</t>
        </is>
      </c>
    </row>
    <row r="62">
      <c r="A62" s="115" t="inlineStr">
        <is>
          <t xml:space="preserve">ЖИЗЗАХ ВИЛОЯТИ</t>
        </is>
      </c>
      <c r="B62" s="115" t="inlineStr">
        <is>
          <t xml:space="preserve">SUPER BRANCH</t>
        </is>
      </c>
      <c r="C62" s="115" t="inlineStr">
        <is>
          <t xml:space="preserve">Обещали</t>
        </is>
      </c>
      <c r="D62" s="115" t="inlineStr">
        <is>
          <t xml:space="preserve">Кр-99039978-1</t>
        </is>
      </c>
      <c r="E62" s="115" t="inlineStr">
        <is>
          <t xml:space="preserve">ABDUG’AFFOROV SHAHZOD FARXOD O’G’LI</t>
        </is>
      </c>
      <c r="F62" s="115" t="inlineStr">
        <is>
          <t xml:space="preserve">998978467171 SMS OZI, 998970797177 SMS AYOLI, 998996860929 SMS UKASI, 998940131831 SMS JORASI, 998700459666 sms uzi, 998775240110 sms uzi,</t>
        </is>
      </c>
      <c r="G62" s="115" t="inlineStr">
        <is>
          <t xml:space="preserve">JIZZAX VILOYATI JIZZAX TUMANI QANGLI MFY MARHAMAT KUCHASI 92-UY </t>
        </is>
      </c>
      <c r="H62" s="116">
        <v>3.0</v>
      </c>
      <c r="I62" s="116">
        <v>3151021.76</v>
      </c>
      <c r="K62" s="115" t="inlineStr">
        <is>
          <t xml:space="preserve">eri cetda wu hafta tolaydi</t>
        </is>
      </c>
    </row>
    <row r="63">
      <c r="A63" s="115" t="inlineStr">
        <is>
          <t xml:space="preserve">ЖИЗЗАХ ВИЛОЯТИ</t>
        </is>
      </c>
      <c r="B63" s="115" t="inlineStr">
        <is>
          <t xml:space="preserve">SUPER BRANCH</t>
        </is>
      </c>
      <c r="C63" s="115" t="inlineStr">
        <is>
          <t xml:space="preserve">Обещали</t>
        </is>
      </c>
      <c r="D63" s="115" t="inlineStr">
        <is>
          <t xml:space="preserve">Кр-99036491-1</t>
        </is>
      </c>
      <c r="E63" s="115" t="inlineStr">
        <is>
          <t xml:space="preserve">XAYDAROVA KOMILA ZAYNIDDINOVNA</t>
        </is>
      </c>
      <c r="F63" s="115" t="inlineStr">
        <is>
          <t xml:space="preserve">998973462688 SMS OZI , 998936507904 SMS AYOLI , 998944740513 SMS QIZI, 998338990215 SMS SINGLISI , 998943462688 SMS NEW,</t>
        </is>
      </c>
      <c r="G63" s="115" t="inlineStr">
        <is>
          <t xml:space="preserve">JIZZAX VILOYATI SH.RASHIDOV TUMANI SOVUNGARLIK MFY 11-UY</t>
        </is>
      </c>
      <c r="H63" s="116">
        <v>3.0</v>
      </c>
      <c r="I63" s="116">
        <v>2834476.3</v>
      </c>
      <c r="K63" s="115" t="inlineStr">
        <is>
          <t xml:space="preserve">ertaga tolaydi</t>
        </is>
      </c>
    </row>
    <row r="64">
      <c r="A64" s="115" t="inlineStr">
        <is>
          <t xml:space="preserve">ЖИЗЗАХ ВИЛОЯТИ</t>
        </is>
      </c>
      <c r="B64" s="115" t="inlineStr">
        <is>
          <t xml:space="preserve">SUPER BRANCH</t>
        </is>
      </c>
      <c r="C64" s="115" t="inlineStr">
        <is>
          <t xml:space="preserve">Обещали</t>
        </is>
      </c>
      <c r="D64" s="115" t="inlineStr">
        <is>
          <t xml:space="preserve">Кр-99039288-1</t>
        </is>
      </c>
      <c r="E64" s="115" t="inlineStr">
        <is>
          <t xml:space="preserve">YAKUBOV BUNYOD NEMATILLAYEVICH</t>
        </is>
      </c>
      <c r="F64" s="115" t="inlineStr">
        <is>
          <t xml:space="preserve">998904878684 SMS OZI, 998886441986 SMS AYOLI, 998932988684 SMS OZI, 998773450986 SMS SINGLISI,</t>
        </is>
      </c>
      <c r="G64" s="115" t="inlineStr">
        <is>
          <t xml:space="preserve">JIZZAX VILOYATI DUSTLIK TUMANI MEVAZOR QFY LOLAZOR KUCHASI 35-UY </t>
        </is>
      </c>
      <c r="H64" s="116">
        <v>6.0</v>
      </c>
      <c r="I64" s="116">
        <v>2794702.6</v>
      </c>
      <c r="K64" s="115" t="inlineStr">
        <is>
          <t xml:space="preserve">kecgaca tolaydi</t>
        </is>
      </c>
    </row>
    <row r="65">
      <c r="A65" s="115" t="inlineStr">
        <is>
          <t xml:space="preserve">ЖИЗЗАХ ВИЛОЯТИ</t>
        </is>
      </c>
      <c r="B65" s="115" t="inlineStr">
        <is>
          <t xml:space="preserve">SUPER BRANCH</t>
        </is>
      </c>
      <c r="C65" s="115" t="inlineStr">
        <is>
          <t xml:space="preserve">Обещали</t>
        </is>
      </c>
      <c r="D65" s="115" t="inlineStr">
        <is>
          <t xml:space="preserve">Кр-99057656-1</t>
        </is>
      </c>
      <c r="E65" s="115" t="inlineStr">
        <is>
          <t xml:space="preserve">KASIMOVA LOLA NARBAYEVNA</t>
        </is>
      </c>
      <c r="F65" s="115" t="inlineStr">
        <is>
          <t xml:space="preserve">998938238558 SMS UZI, 998934072545 SMS KUYOVI, 998941540825 SMS QIZI,</t>
        </is>
      </c>
      <c r="G65" s="115" t="inlineStr">
        <is>
          <t xml:space="preserve">JIZZAX VILOYATI G'ALLAOROL TUMANI OLIMLAR MFY LALMIKOR KUCHASI 41-UY</t>
        </is>
      </c>
      <c r="H65" s="116">
        <v>3.0</v>
      </c>
      <c r="I65" s="116">
        <v>2523823.72</v>
      </c>
      <c r="K65" s="115" t="inlineStr">
        <is>
          <t xml:space="preserve">10gaca tolaydi</t>
        </is>
      </c>
    </row>
    <row r="66">
      <c r="A66" s="115" t="inlineStr">
        <is>
          <t xml:space="preserve">ЖИЗЗАХ ВИЛОЯТИ</t>
        </is>
      </c>
      <c r="B66" s="115" t="inlineStr">
        <is>
          <t xml:space="preserve">SUPER BRANCH</t>
        </is>
      </c>
      <c r="C66" s="115" t="inlineStr">
        <is>
          <t xml:space="preserve">Обещали</t>
        </is>
      </c>
      <c r="D66" s="115" t="inlineStr">
        <is>
          <t xml:space="preserve">Кр-99039314-1</t>
        </is>
      </c>
      <c r="E66" s="115" t="inlineStr">
        <is>
          <t xml:space="preserve">IZBOSAROV BUNYODBEK BEHZOD O’G’LI</t>
        </is>
      </c>
      <c r="F66" s="115" t="inlineStr">
        <is>
          <t xml:space="preserve">998919400878 SMS UZI, 998886647070 SMS AKASI, 998991900011 SMS KATTA AKASI, 998996100011 SMS ADASI,</t>
        </is>
      </c>
      <c r="G66" s="115" t="inlineStr">
        <is>
          <t xml:space="preserve">JIZZAX VILOYATI PAXTAKOR TUMANI TOSHKENT MFY NURAFSHON KUCHASI 7/1-UY </t>
        </is>
      </c>
      <c r="H66" s="116">
        <v>3.0</v>
      </c>
      <c r="I66" s="116">
        <v>2452046.59</v>
      </c>
      <c r="K66" s="115" t="inlineStr">
        <is>
          <t xml:space="preserve">15gaca tolaydi</t>
        </is>
      </c>
    </row>
    <row r="67">
      <c r="A67" s="115" t="inlineStr">
        <is>
          <t xml:space="preserve">ЖИЗЗАХ ВИЛОЯТИ</t>
        </is>
      </c>
      <c r="B67" s="115" t="inlineStr">
        <is>
          <t xml:space="preserve">SUPER BRANCH</t>
        </is>
      </c>
      <c r="C67" s="115" t="inlineStr">
        <is>
          <t xml:space="preserve">Обещали</t>
        </is>
      </c>
      <c r="D67" s="115" t="inlineStr">
        <is>
          <t xml:space="preserve">Кр-99054993-1</t>
        </is>
      </c>
      <c r="E67" s="115" t="inlineStr">
        <is>
          <t xml:space="preserve">ABDULLAYEV MUROD ABDUGANIYEVICH</t>
        </is>
      </c>
      <c r="F67" s="115" t="inlineStr">
        <is>
          <t xml:space="preserve">998937227050 SMS UZI, 998976474656 SMS ONASI, 998880288020 SMS UKASSI,</t>
        </is>
      </c>
      <c r="G67" s="115" t="inlineStr">
        <is>
          <t xml:space="preserve">JIZZAX VILOYATI ZOMIN TUMANI OQTEPA MAHALLASI IQTISODIYOT KUCHASI 15-UY</t>
        </is>
      </c>
      <c r="H67" s="116">
        <v>3.0</v>
      </c>
      <c r="I67" s="116">
        <v>2162389.7</v>
      </c>
      <c r="K67" s="115" t="inlineStr">
        <is>
          <t xml:space="preserve">duwanbagaca tolaydi</t>
        </is>
      </c>
    </row>
    <row r="68">
      <c r="A68" s="115" t="inlineStr">
        <is>
          <t xml:space="preserve">ЖИЗЗАХ ВИЛОЯТИ</t>
        </is>
      </c>
      <c r="B68" s="115" t="inlineStr">
        <is>
          <t xml:space="preserve">SUPER BRANCH</t>
        </is>
      </c>
      <c r="C68" s="115" t="inlineStr">
        <is>
          <t xml:space="preserve">Обещали</t>
        </is>
      </c>
      <c r="D68" s="115" t="inlineStr">
        <is>
          <t xml:space="preserve">Кр-99058348-1</t>
        </is>
      </c>
      <c r="E68" s="115" t="inlineStr">
        <is>
          <t xml:space="preserve">KOBILOV OYBEKJON PULAT O’G’LI</t>
        </is>
      </c>
      <c r="F68" s="115" t="inlineStr">
        <is>
          <t xml:space="preserve">998943410777 SMS OZI, 998930730033 SMS ZALOGATEL, 998932259206 SMS OPASI, 998880325577 SMS UYI,</t>
        </is>
      </c>
      <c r="G68" s="115" t="inlineStr">
        <is>
          <t xml:space="preserve">JIZZAX VILOYATI SHAROF RASHIDOV TUMANI ISTIQLOL MFY PAXTAKOR KUCHASI 98-UY</t>
        </is>
      </c>
      <c r="H68" s="116">
        <v>3.0</v>
      </c>
      <c r="I68" s="116">
        <v>2089493.9</v>
      </c>
      <c r="K68" s="115" t="inlineStr">
        <is>
          <t xml:space="preserve">bugun tolaydi</t>
        </is>
      </c>
    </row>
    <row r="69">
      <c r="A69" s="115" t="inlineStr">
        <is>
          <t xml:space="preserve">ЖИЗЗАХ ВИЛОЯТИ</t>
        </is>
      </c>
      <c r="B69" s="115" t="inlineStr">
        <is>
          <t xml:space="preserve">SUPER BRANCH</t>
        </is>
      </c>
      <c r="C69" s="115" t="inlineStr">
        <is>
          <t xml:space="preserve">Обещали</t>
        </is>
      </c>
      <c r="D69" s="115" t="inlineStr">
        <is>
          <t xml:space="preserve">Кр-99052894-1</t>
        </is>
      </c>
      <c r="E69" s="115" t="inlineStr">
        <is>
          <t xml:space="preserve">SUVONQULOV SHAXRIYOR MIRZABEK O’G’LI</t>
        </is>
      </c>
      <c r="F69" s="115" t="inlineStr">
        <is>
          <t xml:space="preserve">998943079900 SMS OZI, 998932800094 SMS AKASI, 998938265665 SMS AKASI 2, 999839712506 SMS UKASI,</t>
        </is>
      </c>
      <c r="G69" s="115" t="inlineStr">
        <is>
          <t xml:space="preserve">JIZZAX VILOYATI SHAROF RASHIDOV TUMANI QANG'LI QFY NURAFSHON MFY OBOD KUCHASI 9-UY</t>
        </is>
      </c>
      <c r="H69" s="116">
        <v>3.0</v>
      </c>
      <c r="I69" s="116">
        <v>1856328.32</v>
      </c>
      <c r="K69" s="115" t="inlineStr">
        <is>
          <t xml:space="preserve">ertaga abetgaca  tolaydi</t>
        </is>
      </c>
    </row>
    <row r="70">
      <c r="A70" s="115" t="inlineStr">
        <is>
          <t xml:space="preserve">ЖИЗЗАХ ВИЛОЯТИ</t>
        </is>
      </c>
      <c r="B70" s="115" t="inlineStr">
        <is>
          <t xml:space="preserve">SUPER BRANCH</t>
        </is>
      </c>
      <c r="C70" s="115" t="inlineStr">
        <is>
          <t xml:space="preserve">Обещали</t>
        </is>
      </c>
      <c r="D70" s="115" t="inlineStr">
        <is>
          <t xml:space="preserve">Кр-99036491-2</t>
        </is>
      </c>
      <c r="E70" s="115" t="inlineStr">
        <is>
          <t xml:space="preserve">XAYDAROVA KOMILA ZAYNIDDINOVNA</t>
        </is>
      </c>
      <c r="F70" s="115" t="inlineStr">
        <is>
          <t xml:space="preserve">998973462688 SMS OZI , 998936507904 SMS AYOLI , 998944740513 SMS QIZI, 998338990215 SMS SINGLISI , 998943462688 SMS NEW,</t>
        </is>
      </c>
      <c r="G70" s="115" t="inlineStr">
        <is>
          <t xml:space="preserve">JIZZAX VILOYATI SH.RASHIDOV TUMANI SOVUNGARLIK MFY 11-UY</t>
        </is>
      </c>
      <c r="H70" s="116">
        <v>3.0</v>
      </c>
      <c r="I70" s="116">
        <v>1443467.71</v>
      </c>
      <c r="K70" s="115" t="inlineStr">
        <is>
          <t xml:space="preserve">ertaga tolaydi</t>
        </is>
      </c>
    </row>
    <row r="71">
      <c r="A71" s="115" t="inlineStr">
        <is>
          <t xml:space="preserve">ЖИЗЗАХ ВИЛОЯТИ</t>
        </is>
      </c>
      <c r="B71" s="115" t="inlineStr">
        <is>
          <t xml:space="preserve">SUPER BRANCH</t>
        </is>
      </c>
      <c r="C71" s="115" t="inlineStr">
        <is>
          <t xml:space="preserve">Обещали</t>
        </is>
      </c>
      <c r="D71" s="115" t="inlineStr">
        <is>
          <t xml:space="preserve">Кр-99040359-2</t>
        </is>
      </c>
      <c r="E71" s="115" t="inlineStr">
        <is>
          <t xml:space="preserve">KOMOLJONOV IXTIYOR BAXTIYOROVICH</t>
        </is>
      </c>
      <c r="F71" s="115" t="inlineStr">
        <is>
          <t xml:space="preserve">998999434941 SMS OZI, 998194149412 SMS OZI2, 998901828688 SMS AYOLI,</t>
        </is>
      </c>
      <c r="G71" s="115" t="inlineStr">
        <is>
          <t xml:space="preserve">JIZZAX VILOYATI JIZZAX TUMANI ZIYOKOR MFY ABDUQAHHOR KUCHASI 42-UY </t>
        </is>
      </c>
      <c r="H71" s="116">
        <v>3.0</v>
      </c>
      <c r="I71" s="116">
        <v>1121744.77</v>
      </c>
      <c r="K71" s="115" t="inlineStr">
        <is>
          <t xml:space="preserve">ertaga tolaydi</t>
        </is>
      </c>
    </row>
    <row r="72">
      <c r="A72" s="115" t="inlineStr">
        <is>
          <t xml:space="preserve">ЖИЗЗАХ ВИЛОЯТИ</t>
        </is>
      </c>
      <c r="B72" s="115" t="inlineStr">
        <is>
          <t xml:space="preserve">SUPER BRANCH</t>
        </is>
      </c>
      <c r="C72" s="115" t="inlineStr">
        <is>
          <t xml:space="preserve">Обещали</t>
        </is>
      </c>
      <c r="D72" s="115" t="inlineStr">
        <is>
          <t xml:space="preserve">Кр-99058157-1</t>
        </is>
      </c>
      <c r="E72" s="115" t="inlineStr">
        <is>
          <t xml:space="preserve">SHODMONQULOVA GULNORA BOSIMOVNA</t>
        </is>
      </c>
      <c r="F72" s="115" t="inlineStr">
        <is>
          <t xml:space="preserve">998943401779 O`ZI, 998500512300 ERI, 998939291202 O`G`LI,</t>
        </is>
      </c>
      <c r="G72" s="115" t="inlineStr">
        <is>
          <t xml:space="preserve">ZOMIN TUMANI</t>
        </is>
      </c>
      <c r="H72" s="116">
        <v>3.0</v>
      </c>
      <c r="I72" s="116">
        <v>651259.32</v>
      </c>
      <c r="K72" s="115" t="inlineStr">
        <is>
          <t xml:space="preserve">bugun yo erta tolaydi</t>
        </is>
      </c>
    </row>
    <row r="73">
      <c r="A73" s="115" t="inlineStr">
        <is>
          <t xml:space="preserve">ЖИЗЗАХ ВИЛОЯТИ</t>
        </is>
      </c>
      <c r="B73" s="115" t="inlineStr">
        <is>
          <t xml:space="preserve">SUPER BRANCH</t>
        </is>
      </c>
      <c r="C73" s="115" t="inlineStr">
        <is>
          <t xml:space="preserve">Обещали</t>
        </is>
      </c>
      <c r="D73" s="115" t="inlineStr">
        <is>
          <t xml:space="preserve">Кр-99028616-3</t>
        </is>
      </c>
      <c r="E73" s="115" t="inlineStr">
        <is>
          <t xml:space="preserve">MALLAYEV SHUXRAT BOSIMOVICH</t>
        </is>
      </c>
      <c r="F73" s="115" t="inlineStr">
        <is>
          <t xml:space="preserve">93-301-00-66 SMS O'ZI, 93-301-07-54 SMS AYOLI, 93-301-06-96 SMS SIN, 99-245-90-99 SMS SIN 2, 998945450550 Eldor  ogli , 998992169079 tulovchi, 998997563446 tulovchi,</t>
        </is>
      </c>
      <c r="G73" s="115" t="inlineStr">
        <is>
          <t xml:space="preserve">JIZZAX VILOYATI JIZZAX TUMANI QANGLI MFY TARAQLI KUCHASI 13-UY</t>
        </is>
      </c>
      <c r="I73" s="116">
        <v>555763.05</v>
      </c>
      <c r="K73" s="115" t="inlineStr">
        <is>
          <t xml:space="preserve">wanbagaca tolaydi</t>
        </is>
      </c>
    </row>
    <row r="74">
      <c r="A74" s="115" t="inlineStr">
        <is>
          <t xml:space="preserve">ЖИЗЗАХ ВИЛОЯТИ</t>
        </is>
      </c>
      <c r="B74" s="115" t="inlineStr">
        <is>
          <t xml:space="preserve">SUPER BRANCH</t>
        </is>
      </c>
      <c r="C74" s="115" t="inlineStr">
        <is>
          <t xml:space="preserve">Обещали</t>
        </is>
      </c>
      <c r="D74" s="115" t="inlineStr">
        <is>
          <t xml:space="preserve">Кр-99030864-2</t>
        </is>
      </c>
      <c r="E74" s="115" t="inlineStr">
        <is>
          <t xml:space="preserve">MAMATQULOV UMIDJON XOLBO’TA O’G’LI</t>
        </is>
      </c>
      <c r="F74" s="115" t="inlineStr">
        <is>
          <t xml:space="preserve">93-301-01-51 SMS O’ZI, 94-690-37-61  SMS ONASI, 93-386-96-92  SMS AYOLI, 95-828-82-90  SMS KELINOYISI,</t>
        </is>
      </c>
      <c r="G74" s="115" t="inlineStr">
        <is>
          <t xml:space="preserve">JIZZAX VILOYATI ZOMIN TUMANI CHORVADOR QFY 10-UY</t>
        </is>
      </c>
      <c r="H74" s="116">
        <v>3.0</v>
      </c>
      <c r="I74" s="116">
        <v>476428.65</v>
      </c>
      <c r="K74" s="115" t="inlineStr">
        <is>
          <t xml:space="preserve">ayoli iwdan keb tolaydi dedi</t>
        </is>
      </c>
    </row>
    <row r="75">
      <c r="A75" s="117" t="inlineStr">
        <is>
          <t xml:space="preserve">ЖИЗЗАХ ВИЛОЯТИ</t>
        </is>
      </c>
      <c r="B75" s="117" t="inlineStr">
        <is>
          <t xml:space="preserve">Жиззах филиали</t>
        </is>
      </c>
      <c r="C75" s="117" t="inlineStr">
        <is>
          <t xml:space="preserve">Обещали</t>
        </is>
      </c>
      <c r="D75" s="117" t="inlineStr">
        <is>
          <t xml:space="preserve">Кр-99063548-4</t>
        </is>
      </c>
      <c r="E75" s="117" t="inlineStr">
        <is>
          <t xml:space="preserve">XOLMATOV TOIR MAXKAMOVICH</t>
        </is>
      </c>
      <c r="F75" s="117" t="inlineStr">
        <is>
          <t xml:space="preserve">998883290075 UZI, 998918949450 AKASI, 998993290075 UY,</t>
        </is>
      </c>
      <c r="G75" s="117" t="inlineStr">
        <is>
          <t xml:space="preserve">JIZZAXLIK KUCHASI 27-UY</t>
        </is>
      </c>
      <c r="H75" s="118">
        <v>3.0</v>
      </c>
      <c r="I75" s="118">
        <v>9330579.57</v>
      </c>
      <c r="K75" s="117" t="inlineStr">
        <is>
          <t xml:space="preserve">kecgaca tolaydi</t>
        </is>
      </c>
    </row>
    <row r="76">
      <c r="A76" s="117" t="inlineStr">
        <is>
          <t xml:space="preserve">ЖИЗЗАХ ВИЛОЯТИ</t>
        </is>
      </c>
      <c r="B76" s="117" t="inlineStr">
        <is>
          <t xml:space="preserve">Жиззах филиали</t>
        </is>
      </c>
      <c r="C76" s="117" t="inlineStr">
        <is>
          <t xml:space="preserve">Обещали</t>
        </is>
      </c>
      <c r="D76" s="117" t="inlineStr">
        <is>
          <t xml:space="preserve">Кр-99028616-4</t>
        </is>
      </c>
      <c r="E76" s="117" t="inlineStr">
        <is>
          <t xml:space="preserve">MALLAYEV SHUXRAT BOSIMOVICH</t>
        </is>
      </c>
      <c r="F76" s="117" t="inlineStr">
        <is>
          <t xml:space="preserve">93-301-00-66 SMS O'ZI, 93-301-07-54 SMS AYOLI, 93-301-06-96 SMS SIN, 99-245-90-99 SMS SIN 2, 998945450550 Eldor  ogli , 998992169079 tulovchi, 998997563446 tulovchi,</t>
        </is>
      </c>
      <c r="G76" s="117" t="inlineStr">
        <is>
          <t xml:space="preserve">JIZZAX VILOYATI JIZZAX TUMANI QANGLI MFY TARAQLI KUCHASI 13-UY</t>
        </is>
      </c>
      <c r="H76" s="118">
        <v>3.0</v>
      </c>
      <c r="I76" s="118">
        <v>6540577.78</v>
      </c>
      <c r="K76" s="117" t="inlineStr">
        <is>
          <t xml:space="preserve">wanbagaca tolaydi</t>
        </is>
      </c>
    </row>
    <row r="77">
      <c r="A77" s="117" t="inlineStr">
        <is>
          <t xml:space="preserve">ЖИЗЗАХ ВИЛОЯТИ</t>
        </is>
      </c>
      <c r="B77" s="117" t="inlineStr">
        <is>
          <t xml:space="preserve">Жиззах филиали</t>
        </is>
      </c>
      <c r="C77" s="117" t="inlineStr">
        <is>
          <t xml:space="preserve">Обещали</t>
        </is>
      </c>
      <c r="D77" s="117" t="inlineStr">
        <is>
          <t xml:space="preserve">Кр-99033328-1</t>
        </is>
      </c>
      <c r="E77" s="117" t="inlineStr">
        <is>
          <t xml:space="preserve">XOLBUTAYEV DILMUROD ABDUMALIKOVICH</t>
        </is>
      </c>
      <c r="F77" s="117" t="inlineStr">
        <is>
          <t xml:space="preserve">998915680048 SMS O’ZI, 998994280048 SMS UKASI, 998990280048 SMS AYOLI BEGONA, 998900265356 SMS ONASI,</t>
        </is>
      </c>
      <c r="G77" s="117" t="inlineStr">
        <is>
          <t xml:space="preserve">JIZZAX VILOYATI ZOMIN TUMANI  DASHTOBOD SHAXAR QORATEPA MFY SHIRIN KUCHASI</t>
        </is>
      </c>
      <c r="H77" s="118">
        <v>3.0</v>
      </c>
      <c r="I77" s="118">
        <v>6429679.0</v>
      </c>
      <c r="K77" s="117" t="inlineStr">
        <is>
          <t xml:space="preserve">erta kecgaca tolaydi</t>
        </is>
      </c>
    </row>
    <row r="78">
      <c r="A78" s="117" t="inlineStr">
        <is>
          <t xml:space="preserve">ЖИЗЗАХ ВИЛОЯТИ</t>
        </is>
      </c>
      <c r="B78" s="117" t="inlineStr">
        <is>
          <t xml:space="preserve">Жиззах филиали</t>
        </is>
      </c>
      <c r="C78" s="117" t="inlineStr">
        <is>
          <t xml:space="preserve">Обещали</t>
        </is>
      </c>
      <c r="D78" s="117" t="inlineStr">
        <is>
          <t xml:space="preserve">Кр-99042640-1</t>
        </is>
      </c>
      <c r="E78" s="117" t="inlineStr">
        <is>
          <t xml:space="preserve">XO’JAQULOV FURQAT JAYNAROVICH</t>
        </is>
      </c>
      <c r="F78" s="117" t="inlineStr">
        <is>
          <t xml:space="preserve">+998771070575 SMS, 998932920870 SMS, 998990343029 SMS,</t>
        </is>
      </c>
      <c r="G78" s="117" t="inlineStr">
        <is>
          <t xml:space="preserve">JIZZAX VILOYATI ZAFAROBOD TUMANI BIRLIK QFY RUDAKIY KUCHASI 4-A UY</t>
        </is>
      </c>
      <c r="H78" s="118">
        <v>3.0</v>
      </c>
      <c r="I78" s="118">
        <v>4648326.86</v>
      </c>
      <c r="K78" s="117" t="inlineStr">
        <is>
          <t xml:space="preserve">kecgaca tolaydi</t>
        </is>
      </c>
    </row>
    <row r="79">
      <c r="A79" s="117" t="inlineStr">
        <is>
          <t xml:space="preserve">ЖИЗЗАХ ВИЛОЯТИ</t>
        </is>
      </c>
      <c r="B79" s="117" t="inlineStr">
        <is>
          <t xml:space="preserve">Жиззах филиали</t>
        </is>
      </c>
      <c r="C79" s="117" t="inlineStr">
        <is>
          <t xml:space="preserve">Обещали</t>
        </is>
      </c>
      <c r="D79" s="117" t="inlineStr">
        <is>
          <t xml:space="preserve">Кр-99029158-6</t>
        </is>
      </c>
      <c r="E79" s="117" t="inlineStr">
        <is>
          <t xml:space="preserve">MELIYEV ISKANDARJON ABDULLAYEVICH</t>
        </is>
      </c>
      <c r="F79" s="117" t="inlineStr">
        <is>
          <t xml:space="preserve">90-494-77-70  SMS ISNGLIS, 95-013-77-07 SMS OZI, 93-303-77-07 SMS AYOLI, 90-498-77-70 SMS UY, 998904947770 SMS O'G'LI TO'LOVCHI,</t>
        </is>
      </c>
      <c r="G79" s="117" t="inlineStr">
        <is>
          <t xml:space="preserve">ХАЙРАБОД, ХАЙРАБОД БУЮК-ИПАК ЙУЛИ КЎЧАСИ,  uy:Р/С</t>
        </is>
      </c>
      <c r="H79" s="118">
        <v>3.0</v>
      </c>
      <c r="I79" s="118">
        <v>4527654.26</v>
      </c>
      <c r="K79" s="117" t="inlineStr">
        <is>
          <t xml:space="preserve">ertaga tulaydi</t>
        </is>
      </c>
    </row>
    <row r="80">
      <c r="A80" s="117" t="inlineStr">
        <is>
          <t xml:space="preserve">ЖИЗЗАХ ВИЛОЯТИ</t>
        </is>
      </c>
      <c r="B80" s="117" t="inlineStr">
        <is>
          <t xml:space="preserve">Жиззах филиали</t>
        </is>
      </c>
      <c r="C80" s="117" t="inlineStr">
        <is>
          <t xml:space="preserve">Обещали</t>
        </is>
      </c>
      <c r="D80" s="117" t="inlineStr">
        <is>
          <t xml:space="preserve">Кр-99063773-1</t>
        </is>
      </c>
      <c r="E80" s="117" t="inlineStr">
        <is>
          <t xml:space="preserve">MUHAMADIYEVA GULNORA QIZILOVNA</t>
        </is>
      </c>
      <c r="F80" s="117" t="inlineStr">
        <is>
          <t xml:space="preserve">998911950663 UZI, 998977947748 O’G’LI, 998995406039 O’G’LI,</t>
        </is>
      </c>
      <c r="G80" s="117" t="inlineStr">
        <is>
          <t xml:space="preserve">Жиззахлик МФЙ,  ул.Ш.Рашидов , 24-уй</t>
        </is>
      </c>
      <c r="H80" s="118">
        <v>3.0</v>
      </c>
      <c r="I80" s="118">
        <v>4499737.99</v>
      </c>
      <c r="K80" s="117" t="inlineStr">
        <is>
          <t xml:space="preserve">hafta ohirgaca tolaydi</t>
        </is>
      </c>
    </row>
    <row r="81">
      <c r="A81" s="117" t="inlineStr">
        <is>
          <t xml:space="preserve">ЖИЗЗАХ ВИЛОЯТИ</t>
        </is>
      </c>
      <c r="B81" s="117" t="inlineStr">
        <is>
          <t xml:space="preserve">Жиззах филиали</t>
        </is>
      </c>
      <c r="C81" s="117" t="inlineStr">
        <is>
          <t xml:space="preserve">Обещали</t>
        </is>
      </c>
      <c r="D81" s="117" t="inlineStr">
        <is>
          <t xml:space="preserve">Кр-99042115-1</t>
        </is>
      </c>
      <c r="E81" s="117" t="inlineStr">
        <is>
          <t xml:space="preserve">MIRZAYEV OYBEK SUNATILLAYEVICH</t>
        </is>
      </c>
      <c r="F81" s="117" t="inlineStr">
        <is>
          <t xml:space="preserve">+998902659695 SMS, 998915909006 SMS, 998974559695 SMS,</t>
        </is>
      </c>
      <c r="G81" s="117" t="inlineStr">
        <is>
          <t xml:space="preserve">JIZZAX VILOYATI SH.RASHIDOV TUMANI TOKCHILIK MFY ZARGARLIK KUCHASI 2-UY</t>
        </is>
      </c>
      <c r="H81" s="118">
        <v>3.0</v>
      </c>
      <c r="I81" s="118">
        <v>4391640.96</v>
      </c>
      <c r="K81" s="117" t="inlineStr">
        <is>
          <t xml:space="preserve">duwanbagaca tolaydi</t>
        </is>
      </c>
    </row>
    <row r="82">
      <c r="A82" s="117" t="inlineStr">
        <is>
          <t xml:space="preserve">ЖИЗЗАХ ВИЛОЯТИ</t>
        </is>
      </c>
      <c r="B82" s="117" t="inlineStr">
        <is>
          <t xml:space="preserve">Жиззах филиали</t>
        </is>
      </c>
      <c r="C82" s="117" t="inlineStr">
        <is>
          <t xml:space="preserve">Обещали</t>
        </is>
      </c>
      <c r="D82" s="117" t="inlineStr">
        <is>
          <t xml:space="preserve">Кр-99063504-1</t>
        </is>
      </c>
      <c r="E82" s="117" t="inlineStr">
        <is>
          <t xml:space="preserve">MIRZAYEVA LOBARXON ERGASHEVNA</t>
        </is>
      </c>
      <c r="F82" s="117" t="inlineStr">
        <is>
          <t xml:space="preserve">998933556974 UZI, 998934026974 ERI, 998958832266 TO’LOVCHI,</t>
        </is>
      </c>
      <c r="G82" s="117" t="inlineStr">
        <is>
          <t xml:space="preserve">ТОШКЕСГАН КФЙ, ЛОЙИХАДАГИ КЎЧА,  uy:РАКАМСИЗ</t>
        </is>
      </c>
      <c r="H82" s="118">
        <v>3.0</v>
      </c>
      <c r="I82" s="118">
        <v>4378801.2</v>
      </c>
      <c r="K82" s="117" t="inlineStr">
        <is>
          <t xml:space="preserve">erta kecgaca tolaydi</t>
        </is>
      </c>
    </row>
    <row r="83">
      <c r="A83" s="117" t="inlineStr">
        <is>
          <t xml:space="preserve">ЖИЗЗАХ ВИЛОЯТИ</t>
        </is>
      </c>
      <c r="B83" s="117" t="inlineStr">
        <is>
          <t xml:space="preserve">Жиззах филиали</t>
        </is>
      </c>
      <c r="C83" s="117" t="inlineStr">
        <is>
          <t xml:space="preserve">Обещали</t>
        </is>
      </c>
      <c r="D83" s="117" t="inlineStr">
        <is>
          <t xml:space="preserve">Кр-99044956-1</t>
        </is>
      </c>
      <c r="E83" s="117" t="inlineStr">
        <is>
          <t xml:space="preserve">NORMATOVA XADIYA ELIBOYEVNA</t>
        </is>
      </c>
      <c r="F83" s="117" t="inlineStr">
        <is>
          <t xml:space="preserve">+998995746440 SMS, 998947411990 SMS, 998990497371 SMS,</t>
        </is>
      </c>
      <c r="G83" s="117" t="inlineStr">
        <is>
          <t xml:space="preserve">JIZZAX VILOYATI JIZZAX TUMANI GANDUMTOSH MFY TOXIR MALIK KUCHASI 12-UY</t>
        </is>
      </c>
      <c r="H83" s="118">
        <v>3.0</v>
      </c>
      <c r="I83" s="118">
        <v>4111024.03</v>
      </c>
      <c r="K83" s="117" t="inlineStr">
        <is>
          <t xml:space="preserve">wu haftagaca tolaydi</t>
        </is>
      </c>
    </row>
    <row r="84">
      <c r="A84" s="117" t="inlineStr">
        <is>
          <t xml:space="preserve">ЖИЗЗАХ ВИЛОЯТИ</t>
        </is>
      </c>
      <c r="B84" s="117" t="inlineStr">
        <is>
          <t xml:space="preserve">Жиззах филиали</t>
        </is>
      </c>
      <c r="C84" s="117" t="inlineStr">
        <is>
          <t xml:space="preserve">Обещали</t>
        </is>
      </c>
      <c r="D84" s="117" t="inlineStr">
        <is>
          <t xml:space="preserve">Кр-99063618-1</t>
        </is>
      </c>
      <c r="E84" s="117" t="inlineStr">
        <is>
          <t xml:space="preserve">NISHANOV MUHRIDDIN ERKIN O’G’LI</t>
        </is>
      </c>
      <c r="F84" s="117" t="inlineStr">
        <is>
          <t xml:space="preserve">998701179797 UY, 998933010033 AKASI, 998939960597 UZI,</t>
        </is>
      </c>
      <c r="G84" s="117" t="inlineStr">
        <is>
          <t xml:space="preserve">Маржонбулок ГСГ, Маржонбулок шахри кучаси, 16-уй, 8-хонадон</t>
        </is>
      </c>
      <c r="H84" s="118">
        <v>3.0</v>
      </c>
      <c r="I84" s="118">
        <v>3912554.49</v>
      </c>
      <c r="K84" s="117" t="inlineStr">
        <is>
          <t xml:space="preserve">oylik kutyapti kecgaca tolaydi</t>
        </is>
      </c>
    </row>
    <row r="85">
      <c r="A85" s="117" t="inlineStr">
        <is>
          <t xml:space="preserve">ЖИЗЗАХ ВИЛОЯТИ</t>
        </is>
      </c>
      <c r="B85" s="117" t="inlineStr">
        <is>
          <t xml:space="preserve">Жиззах филиали</t>
        </is>
      </c>
      <c r="C85" s="117" t="inlineStr">
        <is>
          <t xml:space="preserve">Обещали</t>
        </is>
      </c>
      <c r="D85" s="117" t="inlineStr">
        <is>
          <t xml:space="preserve">Кр-99064135-1</t>
        </is>
      </c>
      <c r="E85" s="117" t="inlineStr">
        <is>
          <t xml:space="preserve">ALIMOV O’TKIR ZOKIR O’G’LI</t>
        </is>
      </c>
      <c r="F85" s="117" t="inlineStr">
        <is>
          <t xml:space="preserve">998885132332 JURASI, 998972169992 AYOLI, 998992266612 UZI,</t>
        </is>
      </c>
      <c r="G85" s="117" t="inlineStr">
        <is>
          <t xml:space="preserve">МАДАНИЯТ КФЙ, МАДАНИЯТ КФЙ, БАХМАЛСОЙ КИШЛОГИ,  uy:Р/С</t>
        </is>
      </c>
      <c r="H85" s="118">
        <v>3.0</v>
      </c>
      <c r="I85" s="118">
        <v>3723496.08</v>
      </c>
      <c r="K85" s="117" t="inlineStr">
        <is>
          <t xml:space="preserve">ertaga abetgaca  tolaydi</t>
        </is>
      </c>
    </row>
    <row r="86">
      <c r="A86" s="117" t="inlineStr">
        <is>
          <t xml:space="preserve">ЖИЗЗАХ ВИЛОЯТИ</t>
        </is>
      </c>
      <c r="B86" s="117" t="inlineStr">
        <is>
          <t xml:space="preserve">Жиззах филиали</t>
        </is>
      </c>
      <c r="C86" s="117" t="inlineStr">
        <is>
          <t xml:space="preserve">Обещали</t>
        </is>
      </c>
      <c r="D86" s="117" t="inlineStr">
        <is>
          <t xml:space="preserve">Кр-99053193-3</t>
        </is>
      </c>
      <c r="E86" s="117" t="inlineStr">
        <is>
          <t xml:space="preserve">TURAYEV OYBEK ULUGBEKOVICH</t>
        </is>
      </c>
      <c r="F86" s="117" t="inlineStr">
        <is>
          <t xml:space="preserve">998905162754 SMS OZI, 998904868707 SMS AYOLI, 998990282014 SMS OGLI, +998905162754 ,</t>
        </is>
      </c>
      <c r="G86" s="117" t="inlineStr">
        <is>
          <t xml:space="preserve">JIZZAX VILOYATI JIZZAX SHAHRI UCHARIQ MFY FIRDAVSIY KUCHASI 19-UY</t>
        </is>
      </c>
      <c r="H86" s="118">
        <v>3.0</v>
      </c>
      <c r="I86" s="118">
        <v>3314109.7</v>
      </c>
      <c r="K86" s="117" t="inlineStr">
        <is>
          <t xml:space="preserve">oylik tuwgandan tolaydi wu hafta</t>
        </is>
      </c>
    </row>
    <row r="87">
      <c r="A87" s="117" t="inlineStr">
        <is>
          <t xml:space="preserve">ЖИЗЗАХ ВИЛОЯТИ</t>
        </is>
      </c>
      <c r="B87" s="117" t="inlineStr">
        <is>
          <t xml:space="preserve">Жиззах филиали</t>
        </is>
      </c>
      <c r="C87" s="117" t="inlineStr">
        <is>
          <t xml:space="preserve">Обещали</t>
        </is>
      </c>
      <c r="D87" s="117" t="inlineStr">
        <is>
          <t xml:space="preserve">Кр-99064263-1</t>
        </is>
      </c>
      <c r="E87" s="117" t="inlineStr">
        <is>
          <t xml:space="preserve">SADULLAYEV SHUXRATBEK SULTANOVICH</t>
        </is>
      </c>
      <c r="F87" s="117" t="inlineStr">
        <is>
          <t xml:space="preserve">998942020894 AYOLI, 998949758107 UZI, 998976411107 O’G’LI,</t>
        </is>
      </c>
      <c r="G87" s="117" t="inlineStr">
        <is>
          <t xml:space="preserve">Джизакская область, Арнасайский район, Ғолиблар ШФЙ, ул. А.Яссавий, дом 17-уй</t>
        </is>
      </c>
      <c r="H87" s="118">
        <v>3.0</v>
      </c>
      <c r="I87" s="118">
        <v>3304234.57</v>
      </c>
      <c r="K87" s="117" t="inlineStr">
        <is>
          <t xml:space="preserve">kecgaca tolaydi</t>
        </is>
      </c>
    </row>
    <row r="88">
      <c r="A88" s="117" t="inlineStr">
        <is>
          <t xml:space="preserve">ЖИЗЗАХ ВИЛОЯТИ</t>
        </is>
      </c>
      <c r="B88" s="117" t="inlineStr">
        <is>
          <t xml:space="preserve">Жиззах филиали</t>
        </is>
      </c>
      <c r="C88" s="117" t="inlineStr">
        <is>
          <t xml:space="preserve">Обещали</t>
        </is>
      </c>
      <c r="D88" s="117" t="inlineStr">
        <is>
          <t xml:space="preserve">Кр-99045797-1</t>
        </is>
      </c>
      <c r="E88" s="117" t="inlineStr">
        <is>
          <t xml:space="preserve">QARSHIBAYEV RUSLAN QAXRAMON O’G’LI</t>
        </is>
      </c>
      <c r="F88" s="117" t="inlineStr">
        <is>
          <t xml:space="preserve">+998900251515 SMS, 998902978487 SMS, 998992408778 SMS,</t>
        </is>
      </c>
      <c r="G88" s="117" t="inlineStr">
        <is>
          <t xml:space="preserve">JIZZAX VILOYATI SH.RASHIDOV TUMANI TOSHKENTLIK MFY QATORTOL KUCHASI 7-UY</t>
        </is>
      </c>
      <c r="H88" s="118">
        <v>3.0</v>
      </c>
      <c r="I88" s="118">
        <v>3137485.87</v>
      </c>
      <c r="K88" s="117" t="inlineStr">
        <is>
          <t xml:space="preserve">duwanbagaca tolaydi</t>
        </is>
      </c>
    </row>
    <row r="89">
      <c r="A89" s="117" t="inlineStr">
        <is>
          <t xml:space="preserve">ЖИЗЗАХ ВИЛОЯТИ</t>
        </is>
      </c>
      <c r="B89" s="117" t="inlineStr">
        <is>
          <t xml:space="preserve">Жиззах филиали</t>
        </is>
      </c>
      <c r="C89" s="117" t="inlineStr">
        <is>
          <t xml:space="preserve">Обещали</t>
        </is>
      </c>
      <c r="D89" s="117" t="inlineStr">
        <is>
          <t xml:space="preserve">Кр-99041060-1</t>
        </is>
      </c>
      <c r="E89" s="117" t="inlineStr">
        <is>
          <t xml:space="preserve">ORZIKULOV JALOL XAYDAROVICH</t>
        </is>
      </c>
      <c r="F89" s="117" t="inlineStr">
        <is>
          <t xml:space="preserve">+998915698969 SMS AYOLI, 998915644788 SMS OZI, 998982610099 SMS DADASI,</t>
        </is>
      </c>
      <c r="G89" s="117" t="inlineStr">
        <is>
          <t xml:space="preserve">XAYROBOD MAHALLASI SHAXRISTON KUCHASI 11-UY</t>
        </is>
      </c>
      <c r="H89" s="118">
        <v>3.0</v>
      </c>
      <c r="I89" s="118">
        <v>2792830.35</v>
      </c>
      <c r="K89" s="117" t="inlineStr">
        <is>
          <t xml:space="preserve">ertaga tolaydi</t>
        </is>
      </c>
    </row>
    <row r="90">
      <c r="A90" s="117" t="inlineStr">
        <is>
          <t xml:space="preserve">ЖИЗЗАХ ВИЛОЯТИ</t>
        </is>
      </c>
      <c r="B90" s="117" t="inlineStr">
        <is>
          <t xml:space="preserve">Жиззах филиали</t>
        </is>
      </c>
      <c r="C90" s="117" t="inlineStr">
        <is>
          <t xml:space="preserve">Обещали</t>
        </is>
      </c>
      <c r="D90" s="117" t="inlineStr">
        <is>
          <t xml:space="preserve">Кр-99044986-1</t>
        </is>
      </c>
      <c r="E90" s="117" t="inlineStr">
        <is>
          <t xml:space="preserve">MAMATOV EGAMBERDI UMMATOVICH</t>
        </is>
      </c>
      <c r="F90" s="117" t="inlineStr">
        <is>
          <t xml:space="preserve">+998943457064 SMS, 998941607080 SMS, 998943442473 SMS,</t>
        </is>
      </c>
      <c r="G90" s="117" t="inlineStr">
        <is>
          <t xml:space="preserve">НУРЛИКЕНТ МФЙ, ЯНГИОБОД КЎЧАСИ,  uy:Б/Н</t>
        </is>
      </c>
      <c r="H90" s="118">
        <v>3.0</v>
      </c>
      <c r="I90" s="118">
        <v>2785998.14</v>
      </c>
      <c r="K90" s="117" t="inlineStr">
        <is>
          <t xml:space="preserve">kecgaca tolaydi</t>
        </is>
      </c>
    </row>
    <row r="91">
      <c r="A91" s="117" t="inlineStr">
        <is>
          <t xml:space="preserve">ЖИЗЗАХ ВИЛОЯТИ</t>
        </is>
      </c>
      <c r="B91" s="117" t="inlineStr">
        <is>
          <t xml:space="preserve">Жиззах филиали</t>
        </is>
      </c>
      <c r="C91" s="117" t="inlineStr">
        <is>
          <t xml:space="preserve">Обещали</t>
        </is>
      </c>
      <c r="D91" s="117" t="inlineStr">
        <is>
          <t xml:space="preserve">Кр-99064202-1</t>
        </is>
      </c>
      <c r="E91" s="117" t="inlineStr">
        <is>
          <t xml:space="preserve">XUJANOV DJURABOY MAMARASULOVICH</t>
        </is>
      </c>
      <c r="F91" s="117" t="inlineStr">
        <is>
          <t xml:space="preserve">998931671362 AYOLI, 998992865889 UZI, 998995681362 O’G’LI,</t>
        </is>
      </c>
      <c r="G91" s="117" t="inlineStr">
        <is>
          <t xml:space="preserve">Гагарин шахар, Ғалаба МФЙ, Гагарин шахар, Мауленкулов, дом 11/1</t>
        </is>
      </c>
      <c r="H91" s="118">
        <v>3.0</v>
      </c>
      <c r="I91" s="118">
        <v>2781506.0</v>
      </c>
      <c r="K91" s="117" t="inlineStr">
        <is>
          <t xml:space="preserve">kecgaaca tolaydi</t>
        </is>
      </c>
    </row>
    <row r="92">
      <c r="A92" s="117" t="inlineStr">
        <is>
          <t xml:space="preserve">ЖИЗЗАХ ВИЛОЯТИ</t>
        </is>
      </c>
      <c r="B92" s="117" t="inlineStr">
        <is>
          <t xml:space="preserve">Жиззах филиали</t>
        </is>
      </c>
      <c r="C92" s="117" t="inlineStr">
        <is>
          <t xml:space="preserve">Обещали</t>
        </is>
      </c>
      <c r="D92" s="117" t="inlineStr">
        <is>
          <t xml:space="preserve">Кр-99031401-5</t>
        </is>
      </c>
      <c r="E92" s="117" t="inlineStr">
        <is>
          <t xml:space="preserve">IGAMBERDIYEVA MATLUBA TULQINOVNA</t>
        </is>
      </c>
      <c r="F92" s="117" t="inlineStr">
        <is>
          <t xml:space="preserve">95-315-49-99  SMS O'ZI, 91-591-09-77  SMS QIZI , 93-828-90-09  SMS ERI ,</t>
        </is>
      </c>
      <c r="G92" s="117" t="inlineStr">
        <is>
          <t xml:space="preserve">JIZZAX VILOYATI JIZZAX SHAHAR OQQURG’ONLIK MAHALLASI I.TURSUNOV KUCHASI 14-UY</t>
        </is>
      </c>
      <c r="H92" s="118">
        <v>3.0</v>
      </c>
      <c r="I92" s="118">
        <v>2577747.11</v>
      </c>
      <c r="K92" s="117" t="inlineStr">
        <is>
          <t xml:space="preserve">duwanba kungaca tolaydi</t>
        </is>
      </c>
    </row>
    <row r="93">
      <c r="A93" s="117" t="inlineStr">
        <is>
          <t xml:space="preserve">ЖИЗЗАХ ВИЛОЯТИ</t>
        </is>
      </c>
      <c r="B93" s="117" t="inlineStr">
        <is>
          <t xml:space="preserve">Жиззах филиали</t>
        </is>
      </c>
      <c r="C93" s="117" t="inlineStr">
        <is>
          <t xml:space="preserve">Обещали</t>
        </is>
      </c>
      <c r="D93" s="117" t="inlineStr">
        <is>
          <t xml:space="preserve">Кр-99032253-1</t>
        </is>
      </c>
      <c r="E93" s="117" t="inlineStr">
        <is>
          <t xml:space="preserve">ACHILOV SIROJDIN RAXMONOVICH</t>
        </is>
      </c>
      <c r="F93" s="117" t="inlineStr">
        <is>
          <t xml:space="preserve">998933081365 SMS O’ZI, 998945749494 SMS AYOLI begona ekan , 998943482450 SMS DO’STI, 998937568996 SMS AYOLI 2, 998955668996 SMS TO’LOVCHI NEW, 998945749494 SMS NEW2 туловчи,</t>
        </is>
      </c>
      <c r="G93" s="117" t="inlineStr">
        <is>
          <t xml:space="preserve">JIZZAX VILOYATI ZARBDOR TUMANI TOZAURUG’ MFY OBODYURT KUCHASI 11-UY</t>
        </is>
      </c>
      <c r="H93" s="118">
        <v>3.0</v>
      </c>
      <c r="I93" s="118">
        <v>2529526.58</v>
      </c>
      <c r="K93" s="117" t="inlineStr">
        <is>
          <t xml:space="preserve">ertaga kecgaca tolaydi</t>
        </is>
      </c>
    </row>
    <row r="94">
      <c r="A94" s="117" t="inlineStr">
        <is>
          <t xml:space="preserve">ЖИЗЗАХ ВИЛОЯТИ</t>
        </is>
      </c>
      <c r="B94" s="117" t="inlineStr">
        <is>
          <t xml:space="preserve">Жиззах филиали</t>
        </is>
      </c>
      <c r="C94" s="117" t="inlineStr">
        <is>
          <t xml:space="preserve">Обещали</t>
        </is>
      </c>
      <c r="D94" s="117" t="inlineStr">
        <is>
          <t xml:space="preserve">Кр-99032364-1</t>
        </is>
      </c>
      <c r="E94" s="117" t="inlineStr">
        <is>
          <t xml:space="preserve">BAXRAMOV KAMILJON G’ANIYEVICH</t>
        </is>
      </c>
      <c r="F94" s="117" t="inlineStr">
        <is>
          <t xml:space="preserve">998888555105 SMS O’ZI, 998973288188 SMS AYOLI, 998973285105 SMS AKASI, 998910117313 SMS QIZI, 998702345154 SMS O’ZI,</t>
        </is>
      </c>
      <c r="G94" s="117" t="inlineStr">
        <is>
          <t xml:space="preserve">JIZZAX VILOYATI G’ALLAOROL TUMANI MADANIYAT QFY KUKGUMBAZ QISHLOGI MEHRIZIYO 47 -UY </t>
        </is>
      </c>
      <c r="H94" s="118">
        <v>2.0</v>
      </c>
      <c r="I94" s="118">
        <v>2495924.81</v>
      </c>
      <c r="K94" s="117" t="inlineStr">
        <is>
          <t xml:space="preserve">ertaga tulaydi</t>
        </is>
      </c>
    </row>
    <row r="95">
      <c r="A95" s="117" t="inlineStr">
        <is>
          <t xml:space="preserve">ЖИЗЗАХ ВИЛОЯТИ</t>
        </is>
      </c>
      <c r="B95" s="117" t="inlineStr">
        <is>
          <t xml:space="preserve">Жиззах филиали</t>
        </is>
      </c>
      <c r="C95" s="117" t="inlineStr">
        <is>
          <t xml:space="preserve">Обещали</t>
        </is>
      </c>
      <c r="D95" s="117" t="inlineStr">
        <is>
          <t xml:space="preserve">Кр-99033288-1</t>
        </is>
      </c>
      <c r="E95" s="117" t="inlineStr">
        <is>
          <t xml:space="preserve">KENJAYEVA MUHABBAT XOLQUZIYEVNA</t>
        </is>
      </c>
      <c r="F95" s="117" t="inlineStr">
        <is>
          <t xml:space="preserve">998995277527 SMS O’ZI, 998932993392 SMS QIZI, 990982993399 SMS KUYOVI,</t>
        </is>
      </c>
      <c r="G95" s="117" t="inlineStr">
        <is>
          <t xml:space="preserve">JIZZAX VILOYATI SH RASHIDOV TUMANI QAHRAMON MFY TURKISTON KUCHASI 42-UY </t>
        </is>
      </c>
      <c r="H95" s="118">
        <v>3.0</v>
      </c>
      <c r="I95" s="118">
        <v>2391393.55</v>
      </c>
      <c r="K95" s="117" t="inlineStr">
        <is>
          <t xml:space="preserve">wu hafta tolaydi</t>
        </is>
      </c>
    </row>
    <row r="96">
      <c r="A96" s="117" t="inlineStr">
        <is>
          <t xml:space="preserve">ЖИЗЗАХ ВИЛОЯТИ</t>
        </is>
      </c>
      <c r="B96" s="117" t="inlineStr">
        <is>
          <t xml:space="preserve">Жиззах филиали</t>
        </is>
      </c>
      <c r="C96" s="117" t="inlineStr">
        <is>
          <t xml:space="preserve">Обещали</t>
        </is>
      </c>
      <c r="D96" s="117" t="inlineStr">
        <is>
          <t xml:space="preserve">Кр-99041856-1</t>
        </is>
      </c>
      <c r="E96" s="117" t="inlineStr">
        <is>
          <t xml:space="preserve">ERDASHEV RUSTAM JALILOVICH</t>
        </is>
      </c>
      <c r="F96" s="117" t="inlineStr">
        <is>
          <t xml:space="preserve">+998932916225 OZI, 998946894222 SMS OZI, 998952852325 SMS OZI 3,</t>
        </is>
      </c>
      <c r="G96" s="117" t="inlineStr">
        <is>
          <t xml:space="preserve">JIZZAX VILOYATI ARNASOY TUMANI G.GULOM MFY BOGIDILKUSHOD KUCHASI 6-UY</t>
        </is>
      </c>
      <c r="H96" s="118">
        <v>3.0</v>
      </c>
      <c r="I96" s="118">
        <v>2300077.42</v>
      </c>
      <c r="K96" s="117" t="inlineStr">
        <is>
          <t xml:space="preserve">bolib bolib tolaydi wu haftagaca</t>
        </is>
      </c>
    </row>
    <row r="97">
      <c r="A97" s="117" t="inlineStr">
        <is>
          <t xml:space="preserve">ЖИЗЗАХ ВИЛОЯТИ</t>
        </is>
      </c>
      <c r="B97" s="117" t="inlineStr">
        <is>
          <t xml:space="preserve">Жиззах филиали</t>
        </is>
      </c>
      <c r="C97" s="117" t="inlineStr">
        <is>
          <t xml:space="preserve">Обещали</t>
        </is>
      </c>
      <c r="D97" s="117" t="inlineStr">
        <is>
          <t xml:space="preserve">Кр-99046098-1</t>
        </is>
      </c>
      <c r="E97" s="117" t="inlineStr">
        <is>
          <t xml:space="preserve">RAMAZANOV IXTIYOR BAXTIYOR O’G’LI</t>
        </is>
      </c>
      <c r="F97" s="117" t="inlineStr">
        <is>
          <t xml:space="preserve">998915983004 SMS, 998945960080 SMS, 998950800277 SMS,</t>
        </is>
      </c>
      <c r="G97" s="117" t="inlineStr">
        <is>
          <t xml:space="preserve">JIZZAX VILOYATI, JIZZAX SHAHRI, TINCHLIK MFY, S.KARIMOV KO’CHASI, 5/17-UY</t>
        </is>
      </c>
      <c r="H97" s="118">
        <v>3.0</v>
      </c>
      <c r="I97" s="118">
        <v>2263622.38</v>
      </c>
      <c r="K97" s="117" t="inlineStr">
        <is>
          <t xml:space="preserve">ertaga tolaydi</t>
        </is>
      </c>
    </row>
    <row r="98">
      <c r="A98" s="117" t="inlineStr">
        <is>
          <t xml:space="preserve">ЖИЗЗАХ ВИЛОЯТИ</t>
        </is>
      </c>
      <c r="B98" s="117" t="inlineStr">
        <is>
          <t xml:space="preserve">Жиззах филиали</t>
        </is>
      </c>
      <c r="C98" s="117" t="inlineStr">
        <is>
          <t xml:space="preserve">Обещали</t>
        </is>
      </c>
      <c r="D98" s="117" t="inlineStr">
        <is>
          <t xml:space="preserve">Кр-99064328-1</t>
        </is>
      </c>
      <c r="E98" s="117" t="inlineStr">
        <is>
          <t xml:space="preserve">JONIKULOV NIZOMJON EGAMKULOVICH</t>
        </is>
      </c>
      <c r="F98" s="117" t="inlineStr">
        <is>
          <t xml:space="preserve">998771308382 ONASI, 998954532262 UY,</t>
        </is>
      </c>
      <c r="G98" s="117" t="inlineStr">
        <is>
          <t xml:space="preserve">КАЙИРМА МФЙ, КАЙИРМА МФЙ, УЛУГБЕК КУЧАСИ,  uy:Б/Н</t>
        </is>
      </c>
      <c r="H98" s="118">
        <v>3.0</v>
      </c>
      <c r="I98" s="118">
        <v>2219961.43</v>
      </c>
      <c r="K98" s="117" t="inlineStr">
        <is>
          <t xml:space="preserve">77 249 0009 ulgursa bugun bomasa erta aniq tolaydi</t>
        </is>
      </c>
    </row>
    <row r="99">
      <c r="A99" s="117" t="inlineStr">
        <is>
          <t xml:space="preserve">ЖИЗЗАХ ВИЛОЯТИ</t>
        </is>
      </c>
      <c r="B99" s="117" t="inlineStr">
        <is>
          <t xml:space="preserve">Жиззах филиали</t>
        </is>
      </c>
      <c r="C99" s="117" t="inlineStr">
        <is>
          <t xml:space="preserve">Обещали</t>
        </is>
      </c>
      <c r="D99" s="117" t="inlineStr">
        <is>
          <t xml:space="preserve">Кр-99044347-1</t>
        </is>
      </c>
      <c r="E99" s="117" t="inlineStr">
        <is>
          <t xml:space="preserve">DJANKABULOV JALOLIDDIN AKBAROVICH</t>
        </is>
      </c>
      <c r="F99" s="117" t="inlineStr">
        <is>
          <t xml:space="preserve">+998958388700 SMS, 998951223667 SMS,</t>
        </is>
      </c>
      <c r="G99" s="117" t="inlineStr">
        <is>
          <t xml:space="preserve">Джизакская область, Фаришский район, Э.Камолов МФЙ, Порашт кишлоги, дом 77</t>
        </is>
      </c>
      <c r="H99" s="118">
        <v>3.0</v>
      </c>
      <c r="I99" s="118">
        <v>2053077.66</v>
      </c>
      <c r="K99" s="117" t="inlineStr">
        <is>
          <t xml:space="preserve">ertaga tolaydi kecgaca</t>
        </is>
      </c>
    </row>
    <row r="100">
      <c r="A100" s="117" t="inlineStr">
        <is>
          <t xml:space="preserve">ЖИЗЗАХ ВИЛОЯТИ</t>
        </is>
      </c>
      <c r="B100" s="117" t="inlineStr">
        <is>
          <t xml:space="preserve">Жиззах филиали</t>
        </is>
      </c>
      <c r="C100" s="117" t="inlineStr">
        <is>
          <t xml:space="preserve">Обещали</t>
        </is>
      </c>
      <c r="D100" s="117" t="inlineStr">
        <is>
          <t xml:space="preserve">Кр-99029158-3</t>
        </is>
      </c>
      <c r="E100" s="117" t="inlineStr">
        <is>
          <t xml:space="preserve">MELIYEV ISKANDARJON ABDULLAYEVICH</t>
        </is>
      </c>
      <c r="F100" s="117" t="inlineStr">
        <is>
          <t xml:space="preserve">90-494-77-70  SMS ISNGLIS, 95-013-77-07 SMS OZI, 93-303-77-07 SMS AYOLI, 90-498-77-70 SMS UY, 998904947770 SMS O'G'LI TO'LOVCHI,</t>
        </is>
      </c>
      <c r="G100" s="117" t="inlineStr">
        <is>
          <t xml:space="preserve">ХАЙРАБОД, ХАЙРАБОД БУЮК-ИПАК ЙУЛИ КЎЧАСИ,  uy:Р/С</t>
        </is>
      </c>
      <c r="H100" s="118">
        <v>3.0</v>
      </c>
      <c r="I100" s="118">
        <v>2035281.63</v>
      </c>
      <c r="K100" s="117" t="inlineStr">
        <is>
          <t xml:space="preserve">ertaga tulaydi</t>
        </is>
      </c>
    </row>
    <row r="101">
      <c r="A101" s="117" t="inlineStr">
        <is>
          <t xml:space="preserve">ЖИЗЗАХ ВИЛОЯТИ</t>
        </is>
      </c>
      <c r="B101" s="117" t="inlineStr">
        <is>
          <t xml:space="preserve">Жиззах филиали</t>
        </is>
      </c>
      <c r="C101" s="117" t="inlineStr">
        <is>
          <t xml:space="preserve">Обещали</t>
        </is>
      </c>
      <c r="D101" s="117" t="inlineStr">
        <is>
          <t xml:space="preserve">Кр-99062952-1</t>
        </is>
      </c>
      <c r="E101" s="117" t="inlineStr">
        <is>
          <t xml:space="preserve">OCHILOVA DILFUZA URALBOYEVNA</t>
        </is>
      </c>
      <c r="F101" s="117" t="inlineStr">
        <is>
          <t xml:space="preserve">998931755565 O’G’LI, 998942217575 ERI,</t>
        </is>
      </c>
      <c r="G101" s="117" t="inlineStr">
        <is>
          <t xml:space="preserve">Дустлик МФЙ, Сарой кучаси, 24-уй</t>
        </is>
      </c>
      <c r="H101" s="118">
        <v>3.0</v>
      </c>
      <c r="I101" s="118">
        <v>2015961.46</v>
      </c>
      <c r="K101" s="117" t="inlineStr">
        <is>
          <t xml:space="preserve">bugun kecgaca tolaydi</t>
        </is>
      </c>
    </row>
    <row r="102">
      <c r="A102" s="117" t="inlineStr">
        <is>
          <t xml:space="preserve">ЖИЗЗАХ ВИЛОЯТИ</t>
        </is>
      </c>
      <c r="B102" s="117" t="inlineStr">
        <is>
          <t xml:space="preserve">Жиззах филиали</t>
        </is>
      </c>
      <c r="C102" s="117" t="inlineStr">
        <is>
          <t xml:space="preserve">Обещали</t>
        </is>
      </c>
      <c r="D102" s="117" t="inlineStr">
        <is>
          <t xml:space="preserve">Кр-99041246-1</t>
        </is>
      </c>
      <c r="E102" s="117" t="inlineStr">
        <is>
          <t xml:space="preserve">BURXANOV JAHONGIRXON RAXMATULLA O’G’LI</t>
        </is>
      </c>
      <c r="F102" s="117" t="inlineStr">
        <is>
          <t xml:space="preserve">+998933073110 Sms, 998975225030 SMS,</t>
        </is>
      </c>
      <c r="G102" s="117" t="inlineStr">
        <is>
          <t xml:space="preserve">NAVOIY QFY YOSHLIK MAHALLASI</t>
        </is>
      </c>
      <c r="H102" s="118">
        <v>3.0</v>
      </c>
      <c r="I102" s="118">
        <v>1833994.36</v>
      </c>
      <c r="K102" s="117" t="inlineStr">
        <is>
          <t xml:space="preserve">ertaga tolaydi</t>
        </is>
      </c>
    </row>
    <row r="103">
      <c r="A103" s="117" t="inlineStr">
        <is>
          <t xml:space="preserve">ЖИЗЗАХ ВИЛОЯТИ</t>
        </is>
      </c>
      <c r="B103" s="117" t="inlineStr">
        <is>
          <t xml:space="preserve">Жиззах филиали</t>
        </is>
      </c>
      <c r="C103" s="117" t="inlineStr">
        <is>
          <t xml:space="preserve">Обещали</t>
        </is>
      </c>
      <c r="D103" s="117" t="inlineStr">
        <is>
          <t xml:space="preserve">Кр-99038104-2</t>
        </is>
      </c>
      <c r="E103" s="117" t="inlineStr">
        <is>
          <t xml:space="preserve">USMANOV MURTAZAQUL AKRAMOVICH</t>
        </is>
      </c>
      <c r="F103" s="117" t="inlineStr">
        <is>
          <t xml:space="preserve">998915653836 SMS OZI, 998910293836 SMS O’G’LI, 998991183649 SMS O’G’LI,</t>
        </is>
      </c>
      <c r="G103" s="117" t="inlineStr">
        <is>
          <t xml:space="preserve">JIZZAX VILOYATI SH.RASHIDOV TUMANI ZIYOKOR MFY A.QAHHOR KUCHASI 61-UY</t>
        </is>
      </c>
      <c r="H103" s="118">
        <v>3.0</v>
      </c>
      <c r="I103" s="118">
        <v>1738881.88</v>
      </c>
      <c r="K103" s="117" t="inlineStr">
        <is>
          <t xml:space="preserve">981009090 tulovci duwanbagaca tolaydi</t>
        </is>
      </c>
    </row>
    <row r="104">
      <c r="A104" s="117" t="inlineStr">
        <is>
          <t xml:space="preserve">ЖИЗЗАХ ВИЛОЯТИ</t>
        </is>
      </c>
      <c r="B104" s="117" t="inlineStr">
        <is>
          <t xml:space="preserve">Жиззах филиали</t>
        </is>
      </c>
      <c r="C104" s="117" t="inlineStr">
        <is>
          <t xml:space="preserve">Обещали</t>
        </is>
      </c>
      <c r="D104" s="117" t="inlineStr">
        <is>
          <t xml:space="preserve">Кр-99033328-3</t>
        </is>
      </c>
      <c r="E104" s="117" t="inlineStr">
        <is>
          <t xml:space="preserve">XOLBUTAYEV DILMUROD ABDUMALIKOVICH</t>
        </is>
      </c>
      <c r="F104" s="117" t="inlineStr">
        <is>
          <t xml:space="preserve">998915680048 SMS O’ZI, 998994280048 SMS UKASI, 998990280048 SMS AYOLI BEGONA, 998900265356 SMS ONASI,</t>
        </is>
      </c>
      <c r="G104" s="117" t="inlineStr">
        <is>
          <t xml:space="preserve">JIZZAX VILOYATI ZOMIN TUMANI  DASHTOBOD SHAXAR QORATEPA MFY SHIRIN KUCHASI</t>
        </is>
      </c>
      <c r="H104" s="118">
        <v>3.0</v>
      </c>
      <c r="I104" s="118">
        <v>1693482.0</v>
      </c>
      <c r="K104" s="117" t="inlineStr">
        <is>
          <t xml:space="preserve">erta kecgaca tolaydi</t>
        </is>
      </c>
    </row>
    <row r="105">
      <c r="A105" s="117" t="inlineStr">
        <is>
          <t xml:space="preserve">ЖИЗЗАХ ВИЛОЯТИ</t>
        </is>
      </c>
      <c r="B105" s="117" t="inlineStr">
        <is>
          <t xml:space="preserve">Жиззах филиали</t>
        </is>
      </c>
      <c r="C105" s="117" t="inlineStr">
        <is>
          <t xml:space="preserve">Обещали</t>
        </is>
      </c>
      <c r="D105" s="117" t="inlineStr">
        <is>
          <t xml:space="preserve">Кр-99063358-1</t>
        </is>
      </c>
      <c r="E105" s="117" t="inlineStr">
        <is>
          <t xml:space="preserve">TURAKULOVA DILRABO KARIMOVNA</t>
        </is>
      </c>
      <c r="F105" s="117" t="inlineStr">
        <is>
          <t xml:space="preserve">998888926464 UY, 998918951189 UZI, 998985611189 ERI,</t>
        </is>
      </c>
      <c r="G105" s="117" t="inlineStr">
        <is>
          <t xml:space="preserve">JIZZAX VILOYATI JIZZAX SHAHRI OBOD MFY MINORLI KUCHASI 126B-UY</t>
        </is>
      </c>
      <c r="H105" s="118">
        <v>3.0</v>
      </c>
      <c r="I105" s="118">
        <v>1372098.58</v>
      </c>
      <c r="K105" s="117" t="inlineStr">
        <is>
          <t xml:space="preserve">15gaca tolaydi</t>
        </is>
      </c>
    </row>
    <row r="106">
      <c r="A106" s="117" t="inlineStr">
        <is>
          <t xml:space="preserve">ЖИЗЗАХ ВИЛОЯТИ</t>
        </is>
      </c>
      <c r="B106" s="117" t="inlineStr">
        <is>
          <t xml:space="preserve">Жиззах филиали</t>
        </is>
      </c>
      <c r="C106" s="117" t="inlineStr">
        <is>
          <t xml:space="preserve">Обещали</t>
        </is>
      </c>
      <c r="D106" s="117" t="inlineStr">
        <is>
          <t xml:space="preserve">Кр-99041781-2</t>
        </is>
      </c>
      <c r="E106" s="117" t="inlineStr">
        <is>
          <t xml:space="preserve">NORYIGITOV SAMANDAR O’TKIR O’G’LI</t>
        </is>
      </c>
      <c r="F106" s="117" t="inlineStr">
        <is>
          <t xml:space="preserve">+998997654666 SMS, 998973271427 SMS, 998990654666 SMS,</t>
        </is>
      </c>
      <c r="G106" s="117" t="inlineStr">
        <is>
          <t xml:space="preserve">JIZZAX VILOYATI YANGIOBOD TUMANI BALANDCHAQIR MFY MUSTAQILLIK SHOX KUCHASI 159-UY</t>
        </is>
      </c>
      <c r="H106" s="118">
        <v>3.0</v>
      </c>
      <c r="I106" s="118">
        <v>1343211.72</v>
      </c>
      <c r="K106" s="117" t="inlineStr">
        <is>
          <t xml:space="preserve">kecgaca tolaydi</t>
        </is>
      </c>
    </row>
    <row r="107">
      <c r="A107" s="117" t="inlineStr">
        <is>
          <t xml:space="preserve">ЖИЗЗАХ ВИЛОЯТИ</t>
        </is>
      </c>
      <c r="B107" s="117" t="inlineStr">
        <is>
          <t xml:space="preserve">Жиззах филиали</t>
        </is>
      </c>
      <c r="C107" s="117" t="inlineStr">
        <is>
          <t xml:space="preserve">Обещали</t>
        </is>
      </c>
      <c r="D107" s="117" t="inlineStr">
        <is>
          <t xml:space="preserve">Кр-99036920-2</t>
        </is>
      </c>
      <c r="E107" s="117" t="inlineStr">
        <is>
          <t xml:space="preserve">XOLMATOV DILSHOD IXTIYOR O’G’LI</t>
        </is>
      </c>
      <c r="F107" s="117" t="inlineStr">
        <is>
          <t xml:space="preserve">998911962626 SMS OZI, 998911966609 SMS TULOVCHISI, 998903103777 SMS TULOVCHI OTASI, 998915953733 SMS UKASI,</t>
        </is>
      </c>
      <c r="G107" s="117" t="inlineStr">
        <is>
          <t xml:space="preserve">Ziyokor MFY, Boʼzsuv koʼchasi, 434-uy</t>
        </is>
      </c>
      <c r="H107" s="118">
        <v>3.0</v>
      </c>
      <c r="I107" s="118">
        <v>1047204.81</v>
      </c>
      <c r="K107" s="117" t="inlineStr">
        <is>
          <t xml:space="preserve">ertaga tolaydi</t>
        </is>
      </c>
    </row>
    <row r="108">
      <c r="A108" s="117" t="inlineStr">
        <is>
          <t xml:space="preserve">ЖИЗЗАХ ВИЛОЯТИ</t>
        </is>
      </c>
      <c r="B108" s="117" t="inlineStr">
        <is>
          <t xml:space="preserve">Жиззах филиали</t>
        </is>
      </c>
      <c r="C108" s="117" t="inlineStr">
        <is>
          <t xml:space="preserve">Обещали</t>
        </is>
      </c>
      <c r="D108" s="117" t="inlineStr">
        <is>
          <t xml:space="preserve">Кр-99045797-2</t>
        </is>
      </c>
      <c r="E108" s="117" t="inlineStr">
        <is>
          <t xml:space="preserve">QARSHIBAYEV RUSLAN QAXRAMON O’G’LI</t>
        </is>
      </c>
      <c r="F108" s="117" t="inlineStr">
        <is>
          <t xml:space="preserve">+998900251515 SMS, 998902978487 SMS, 998992408778 SMS,</t>
        </is>
      </c>
      <c r="G108" s="117" t="inlineStr">
        <is>
          <t xml:space="preserve">JIZZAX VILOYATI SH.RASHIDOV TUMANI TOSHKENTLIK MFY QATORTOL KUCHASI 7-UY</t>
        </is>
      </c>
      <c r="H108" s="118">
        <v>3.0</v>
      </c>
      <c r="I108" s="118">
        <v>858191.78</v>
      </c>
      <c r="K108" s="117" t="inlineStr">
        <is>
          <t xml:space="preserve">duwanbagaca tolaydi</t>
        </is>
      </c>
    </row>
    <row r="109">
      <c r="A109" s="117" t="inlineStr">
        <is>
          <t xml:space="preserve">ЖИЗЗАХ ВИЛОЯТИ</t>
        </is>
      </c>
      <c r="B109" s="117" t="inlineStr">
        <is>
          <t xml:space="preserve">Жиззах филиали</t>
        </is>
      </c>
      <c r="C109" s="117" t="inlineStr">
        <is>
          <t xml:space="preserve">Обещали</t>
        </is>
      </c>
      <c r="D109" s="117" t="inlineStr">
        <is>
          <t xml:space="preserve">Кр-99040635-3</t>
        </is>
      </c>
      <c r="E109" s="117" t="inlineStr">
        <is>
          <t xml:space="preserve">JURAYEVA ZULAYXA LUTFULLAYEVNA</t>
        </is>
      </c>
      <c r="F109" s="117" t="inlineStr">
        <is>
          <t xml:space="preserve">998915641958 SMS begona, 998938592525 SMS O`G`LI tolovchisi, 998943543086 SMS O`G`LI 2, 998931940082 SMS O`G`LI 3, 998943174556 SMS ONASI, 998932926008 Tolovchisini xotini,</t>
        </is>
      </c>
      <c r="G109" s="117" t="inlineStr">
        <is>
          <t xml:space="preserve">JIZZAX VILOYATI, DO’STLIK TUMANI, NAVRUZ MFY, IFTIXOR KUCHASI, 11-2 UY</t>
        </is>
      </c>
      <c r="H109" s="118">
        <v>3.0</v>
      </c>
      <c r="I109" s="118">
        <v>649845.0</v>
      </c>
    </row>
    <row r="110">
      <c r="A110" s="117" t="inlineStr">
        <is>
          <t xml:space="preserve">ЖИЗЗАХ ВИЛОЯТИ</t>
        </is>
      </c>
      <c r="B110" s="117" t="inlineStr">
        <is>
          <t xml:space="preserve">Жиззах филиали</t>
        </is>
      </c>
      <c r="C110" s="117" t="inlineStr">
        <is>
          <t xml:space="preserve">Обещали</t>
        </is>
      </c>
      <c r="D110" s="117" t="inlineStr">
        <is>
          <t xml:space="preserve">Кр-99064576-1</t>
        </is>
      </c>
      <c r="E110" s="117" t="inlineStr">
        <is>
          <t xml:space="preserve">GAYBULLAYEV XOLMUMIN ABDURAXIMOVICH</t>
        </is>
      </c>
      <c r="F110" s="117" t="inlineStr">
        <is>
          <t xml:space="preserve">998934022324 UY, 998941959210 AYOLI, 998973272324 UZI,</t>
        </is>
      </c>
      <c r="G110" s="117" t="inlineStr">
        <is>
          <t xml:space="preserve">Аламли МФЙ, Аламли МФЙ, Юнусобод, дом р/с</t>
        </is>
      </c>
      <c r="H110" s="118">
        <v>3.0</v>
      </c>
      <c r="I110" s="118">
        <v>507939.95</v>
      </c>
      <c r="K110" s="117" t="inlineStr">
        <is>
          <t xml:space="preserve">kecgaca tolaydi</t>
        </is>
      </c>
    </row>
    <row r="111">
      <c r="A111" s="99" t="inlineStr">
        <is>
          <t xml:space="preserve">КАШКАДАРЁ ВИЛОЯТИ</t>
        </is>
      </c>
      <c r="B111" s="99" t="inlineStr">
        <is>
          <t xml:space="preserve">BOSH OFIS</t>
        </is>
      </c>
      <c r="C111" s="99" t="inlineStr">
        <is>
          <t xml:space="preserve">Обещали</t>
        </is>
      </c>
      <c r="D111" s="99" t="inlineStr">
        <is>
          <t xml:space="preserve">Кр-99039364-2</t>
        </is>
      </c>
      <c r="E111" s="99" t="inlineStr">
        <is>
          <t xml:space="preserve">AZIMOV TURG’UN TUFLIYEVICH</t>
        </is>
      </c>
      <c r="F111" s="99" t="inlineStr">
        <is>
          <t xml:space="preserve">998946868512 SMS OZI, 998786757278 SMS AYOLI, 998505792187 SMS DADSI, 998973168020 SMS ONASI,</t>
        </is>
      </c>
      <c r="G111" s="99" t="inlineStr">
        <is>
          <t xml:space="preserve">QASHQADARYO VILOYATI QAMASHI TUMANI JONBUZSOY MFY UMID NIXOLI KUCHASI 46-UY</t>
        </is>
      </c>
      <c r="H111" s="100">
        <v>3.0</v>
      </c>
      <c r="I111" s="100">
        <v>0.0</v>
      </c>
      <c r="K111" s="99" t="inlineStr">
        <is>
          <t xml:space="preserve">bugun kechgacha bittasi yopiladi bittasini hoz yopadi | 848 | 1355105.81</t>
        </is>
      </c>
    </row>
    <row r="112">
      <c r="A112" s="101" t="inlineStr">
        <is>
          <t xml:space="preserve">КАШКАДАРЁ ВИЛОЯТИ</t>
        </is>
      </c>
      <c r="B112" s="101" t="inlineStr">
        <is>
          <t xml:space="preserve">SUPER BRANCH</t>
        </is>
      </c>
      <c r="C112" s="101" t="inlineStr">
        <is>
          <t xml:space="preserve">Обещали</t>
        </is>
      </c>
      <c r="D112" s="101" t="inlineStr">
        <is>
          <t xml:space="preserve">Кр-99062633-1</t>
        </is>
      </c>
      <c r="E112" s="101" t="inlineStr">
        <is>
          <t xml:space="preserve">TO’RAQULOV SARVAR XAYRULLA O’G’LI</t>
        </is>
      </c>
      <c r="F112" s="101" t="inlineStr">
        <is>
          <t xml:space="preserve">999885771248 SMS OZI, 998990783770 SMS AYOLI BEGONA, 998900190048 SMS DADASI, 998875260010 SMS ONASI,</t>
        </is>
      </c>
      <c r="G112" s="101" t="inlineStr">
        <is>
          <t xml:space="preserve">QASHQADARYO VILOYATI KOSON TUMANI SHERBEK MFY SHERBEK KUCHASI 34-UY</t>
        </is>
      </c>
      <c r="H112" s="102">
        <v>3.0</v>
      </c>
      <c r="I112" s="102">
        <v>699653.7</v>
      </c>
      <c r="K112" s="101" t="inlineStr">
        <is>
          <t xml:space="preserve">xodim jo'natdim</t>
        </is>
      </c>
    </row>
    <row r="113">
      <c r="A113" s="101" t="inlineStr">
        <is>
          <t xml:space="preserve">КАШКАДАРЁ ВИЛОЯТИ</t>
        </is>
      </c>
      <c r="B113" s="101" t="inlineStr">
        <is>
          <t xml:space="preserve">SUPER BRANCH</t>
        </is>
      </c>
      <c r="C113" s="101" t="inlineStr">
        <is>
          <t xml:space="preserve">Обещали</t>
        </is>
      </c>
      <c r="D113" s="101" t="inlineStr">
        <is>
          <t xml:space="preserve">Кр-99037107-1</t>
        </is>
      </c>
      <c r="E113" s="101" t="inlineStr">
        <is>
          <t xml:space="preserve">ZOYIROV JAMSHID JO’RAYEVICH</t>
        </is>
      </c>
      <c r="F113" s="101" t="inlineStr">
        <is>
          <t xml:space="preserve">998942143767 SMS OZI, 998943331929 SMS AYOLI begona, 998990448122 SMS DADASI, 998994308122 SMS ONASI,</t>
        </is>
      </c>
      <c r="G113" s="101" t="inlineStr">
        <is>
          <t xml:space="preserve">QASHQADARYO VILOYATI KASBI TUMANI XO’JA XAYRON MFY XO’JA XAYRON QISHLOG’I</t>
        </is>
      </c>
      <c r="H113" s="102">
        <v>6.0</v>
      </c>
      <c r="I113" s="102">
        <v>484846.5</v>
      </c>
      <c r="K113" s="101" t="inlineStr">
        <is>
          <t xml:space="preserve">bugun yopadi 5 gaha</t>
        </is>
      </c>
    </row>
    <row r="114">
      <c r="A114" s="101" t="inlineStr">
        <is>
          <t xml:space="preserve">КАШКАДАРЁ ВИЛОЯТИ</t>
        </is>
      </c>
      <c r="B114" s="101" t="inlineStr">
        <is>
          <t xml:space="preserve">SUPER BRANCH</t>
        </is>
      </c>
      <c r="C114" s="101" t="inlineStr">
        <is>
          <t xml:space="preserve">Обещали</t>
        </is>
      </c>
      <c r="D114" s="101" t="inlineStr">
        <is>
          <t xml:space="preserve">Кр-99057087-1</t>
        </is>
      </c>
      <c r="E114" s="101" t="inlineStr">
        <is>
          <t xml:space="preserve">XAYITOV ZIKIR SHERKULOVICH</t>
        </is>
      </c>
      <c r="F114" s="101" t="inlineStr">
        <is>
          <t xml:space="preserve">998992669600 SMS OZI, 998934260277 SMS AYOLI, 998932305610 SMS UKASI, 998944826069 OG'LI TULOVCHI SHU,</t>
        </is>
      </c>
      <c r="G114" s="101" t="inlineStr">
        <is>
          <t xml:space="preserve">QASHQADARYO VILOYATI KOSON TUMANI MULALI MFY KORABAYIR KUCHASI 11-UY</t>
        </is>
      </c>
      <c r="H114" s="102">
        <v>3.0</v>
      </c>
      <c r="I114" s="102">
        <v>171378.63</v>
      </c>
      <c r="K114" s="101" t="inlineStr">
        <is>
          <t xml:space="preserve">4 da yopiladi</t>
        </is>
      </c>
    </row>
    <row r="115">
      <c r="A115" s="101" t="inlineStr">
        <is>
          <t xml:space="preserve">КАШКАДАРЁ ВИЛОЯТИ</t>
        </is>
      </c>
      <c r="B115" s="101" t="inlineStr">
        <is>
          <t xml:space="preserve">SUPER BRANCH</t>
        </is>
      </c>
      <c r="C115" s="101" t="inlineStr">
        <is>
          <t xml:space="preserve">Обещали</t>
        </is>
      </c>
      <c r="D115" s="101" t="inlineStr">
        <is>
          <t xml:space="preserve">Кр-99058931-1</t>
        </is>
      </c>
      <c r="E115" s="101" t="inlineStr">
        <is>
          <t xml:space="preserve">NEKBOYEV IKROM TASHPULATOVICH</t>
        </is>
      </c>
      <c r="F115" s="101" t="inlineStr">
        <is>
          <t xml:space="preserve">998992752065 SMS  UZII (BEGONA))), 998949229666 SMS OILASI , 998987773151 SMS UZIII, 998996724888 UZI NEWW,</t>
        </is>
      </c>
      <c r="G115" s="101" t="inlineStr">
        <is>
          <t xml:space="preserve">KITOB TUMANI</t>
        </is>
      </c>
      <c r="H115" s="102">
        <v>3.0</v>
      </c>
      <c r="I115" s="102">
        <v>57514.09</v>
      </c>
      <c r="K115" s="101" t="inlineStr">
        <is>
          <t xml:space="preserve">xoz yopadi</t>
        </is>
      </c>
    </row>
    <row r="116">
      <c r="A116" s="101" t="inlineStr">
        <is>
          <t xml:space="preserve">КАШКАДАРЁ ВИЛОЯТИ</t>
        </is>
      </c>
      <c r="B116" s="101" t="inlineStr">
        <is>
          <t xml:space="preserve">SUPER BRANCH</t>
        </is>
      </c>
      <c r="C116" s="101" t="inlineStr">
        <is>
          <t xml:space="preserve">Обещали</t>
        </is>
      </c>
      <c r="D116" s="101" t="inlineStr">
        <is>
          <t xml:space="preserve">Кр-99020517-11</t>
        </is>
      </c>
      <c r="E116" s="101" t="inlineStr">
        <is>
          <t xml:space="preserve">PRIMOV TOLMASBEK SHERMATOVICH</t>
        </is>
      </c>
      <c r="F116" s="101" t="inlineStr">
        <is>
          <t xml:space="preserve">97-229-20-44 SMS ruslan ukasi , 97-311-44-40 SMS BEGONA EKAN, 97-001-20-44 SMS OGLI, 88-200-20-78 SMS TULOVCHI TOLMASBEK,</t>
        </is>
      </c>
      <c r="G116" s="101" t="inlineStr">
        <is>
          <t xml:space="preserve">QASHQADARYO VILOYATI KOSON TUMANI DARCHA MFY PO’LATI QISHLOG’I 5-UY</t>
        </is>
      </c>
      <c r="H116" s="102">
        <v>3.0</v>
      </c>
      <c r="I116" s="102">
        <v>0.0</v>
      </c>
      <c r="K116" s="101" t="inlineStr">
        <is>
          <t xml:space="preserve">BUGUN ABETTAN KEN BITTASINI HAL QILIAMAN DDI IILOIJI BORICHA 2078 | 115 | 1423353.62 | kechgacha to'liman dedi</t>
        </is>
      </c>
    </row>
    <row r="117">
      <c r="A117" s="101" t="inlineStr">
        <is>
          <t xml:space="preserve">КАШКАДАРЁ ВИЛОЯТИ</t>
        </is>
      </c>
      <c r="B117" s="101" t="inlineStr">
        <is>
          <t xml:space="preserve">SUPER BRANCH</t>
        </is>
      </c>
      <c r="C117" s="101" t="inlineStr">
        <is>
          <t xml:space="preserve">Обещали</t>
        </is>
      </c>
      <c r="D117" s="101" t="inlineStr">
        <is>
          <t xml:space="preserve">Кр-99029108-2</t>
        </is>
      </c>
      <c r="E117" s="101" t="inlineStr">
        <is>
          <t xml:space="preserve">ESHIMOV SHAROF NAMOZOVICH</t>
        </is>
      </c>
      <c r="F117" s="101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17" s="101" t="inlineStr">
        <is>
          <t xml:space="preserve">QASHQADARYO VILOYATI QARSHI TUMANI O’ZBEK FAYZABOD QISHLOG’I KAMOLAT KO’CHASI 56-UY</t>
        </is>
      </c>
      <c r="H117" s="102">
        <v>3.0</v>
      </c>
      <c r="I117" s="102">
        <v>0.0</v>
      </c>
      <c r="K117" s="101" t="inlineStr">
        <is>
          <t xml:space="preserve">BUGUN KECHGACHA ILOJINI QILAMAN JUMA KUNI POLNI YOPAMAN DILER TOPGANMAN DDI 1982 | 302 | 724395.35 | bugun yopiladi bu</t>
        </is>
      </c>
    </row>
    <row r="118">
      <c r="A118" s="101" t="inlineStr">
        <is>
          <t xml:space="preserve">КАШКАДАРЁ ВИЛОЯТИ</t>
        </is>
      </c>
      <c r="B118" s="101" t="inlineStr">
        <is>
          <t xml:space="preserve">SUPER BRANCH</t>
        </is>
      </c>
      <c r="C118" s="101" t="inlineStr">
        <is>
          <t xml:space="preserve">Обещали</t>
        </is>
      </c>
      <c r="D118" s="101" t="inlineStr">
        <is>
          <t xml:space="preserve">Кр-99033487-2</t>
        </is>
      </c>
      <c r="E118" s="101" t="inlineStr">
        <is>
          <t xml:space="preserve">SHODMONOVA BAXTIGUL ABDIQAYUM QIZI</t>
        </is>
      </c>
      <c r="F118" s="101" t="inlineStr">
        <is>
          <t xml:space="preserve">998908957040 SMS O’ZI, 998908797040 SMS OILASI, 998935250601 SMS, 998995719343 SMS, 998955556474 SMS TO'LOVCHI FAQAT SHUNGA QILINSIN, 998973102809 SMS Eldor tolovchi,</t>
        </is>
      </c>
      <c r="G118" s="101" t="inlineStr">
        <is>
          <t xml:space="preserve">QASHQADARYO VILOYATI QARSHI TUMANI PATRON MFY PATRON QISHLOG’I 112-UY</t>
        </is>
      </c>
      <c r="I118" s="102">
        <v>0.0</v>
      </c>
      <c r="K118" s="101" t="inlineStr">
        <is>
          <t xml:space="preserve">16:00 GACHA ILOJINI QILAMAN DDI BITTA JOYDAN PUL KELISHI KK EDI DDI | 491 | 1397272.43</t>
        </is>
      </c>
    </row>
    <row r="119">
      <c r="A119" s="101" t="inlineStr">
        <is>
          <t xml:space="preserve">КАШКАДАРЁ ВИЛОЯТИ</t>
        </is>
      </c>
      <c r="B119" s="101" t="inlineStr">
        <is>
          <t xml:space="preserve">SUPER BRANCH</t>
        </is>
      </c>
      <c r="C119" s="101" t="inlineStr">
        <is>
          <t xml:space="preserve">Обещали</t>
        </is>
      </c>
      <c r="D119" s="101" t="inlineStr">
        <is>
          <t xml:space="preserve">Кр-99033487-3</t>
        </is>
      </c>
      <c r="E119" s="101" t="inlineStr">
        <is>
          <t xml:space="preserve">SHODMONOVA BAXTIGUL ABDIQAYUM QIZI</t>
        </is>
      </c>
      <c r="F119" s="101" t="inlineStr">
        <is>
          <t xml:space="preserve">998908957040 SMS O’ZI, 998908797040 SMS OILASI, 998935250601 SMS, 998995719343 SMS, 998955556474 SMS TO'LOVCHI FAQAT SHUNGA QILINSIN, 998973102809 SMS Eldor tolovchi,</t>
        </is>
      </c>
      <c r="G119" s="101" t="inlineStr">
        <is>
          <t xml:space="preserve">QASHQADARYO VILOYATI QARSHI TUMANI PATRON MFY PATRON QISHLOG’I 112-UY</t>
        </is>
      </c>
      <c r="H119" s="102">
        <v>3.0</v>
      </c>
      <c r="I119" s="102">
        <v>0.0</v>
      </c>
      <c r="K119" s="101" t="inlineStr">
        <is>
          <t xml:space="preserve">16:00 GACHA ILOJINI QILAMAN DDI BITTA JOYDAN PUL KELISHI KK EDI DDI | 492 | 1474588.31</t>
        </is>
      </c>
    </row>
    <row r="120">
      <c r="A120" s="101" t="inlineStr">
        <is>
          <t xml:space="preserve">КАШКАДАРЁ ВИЛОЯТИ</t>
        </is>
      </c>
      <c r="B120" s="101" t="inlineStr">
        <is>
          <t xml:space="preserve">SUPER BRANCH</t>
        </is>
      </c>
      <c r="C120" s="101" t="inlineStr">
        <is>
          <t xml:space="preserve">Обещали</t>
        </is>
      </c>
      <c r="D120" s="101" t="inlineStr">
        <is>
          <t xml:space="preserve">Кр-99033706-3</t>
        </is>
      </c>
      <c r="E120" s="101" t="inlineStr">
        <is>
          <t xml:space="preserve">ABDIYEV KOMILJON MAHMATQOBILOVICH</t>
        </is>
      </c>
      <c r="F120" s="101" t="inlineStr">
        <is>
          <t xml:space="preserve">998992820474 SMS O’ZI, 998919647414 SMS UY, 998992040294 SMS OILASI, 998919647404 SMS ,</t>
        </is>
      </c>
      <c r="G120" s="101" t="inlineStr">
        <is>
          <t xml:space="preserve">QASHQADARYO VILOYATI QAMASHI TUMANI YANGI XAYOT MFY TEMIRYO’LCHILAR KO’CHASI 98-UY</t>
        </is>
      </c>
      <c r="H120" s="102">
        <v>3.0</v>
      </c>
      <c r="I120" s="102">
        <v>0.0</v>
      </c>
      <c r="K120" s="101" t="inlineStr">
        <is>
          <t xml:space="preserve">17:00 gachja ilojini qilaman ddi tolovchi boshqa | 504 | 959108.49</t>
        </is>
      </c>
    </row>
    <row r="121">
      <c r="A121" s="101" t="inlineStr">
        <is>
          <t xml:space="preserve">КАШКАДАРЁ ВИЛОЯТИ</t>
        </is>
      </c>
      <c r="B121" s="101" t="inlineStr">
        <is>
          <t xml:space="preserve">SUPER BRANCH</t>
        </is>
      </c>
      <c r="C121" s="101" t="inlineStr">
        <is>
          <t xml:space="preserve">Обещали</t>
        </is>
      </c>
      <c r="D121" s="101" t="inlineStr">
        <is>
          <t xml:space="preserve">Кр-99037597-3</t>
        </is>
      </c>
      <c r="E121" s="101" t="inlineStr">
        <is>
          <t xml:space="preserve">OTAMURODOV SALOXIDDIN TURA O’G’LI</t>
        </is>
      </c>
      <c r="F121" s="101" t="inlineStr">
        <is>
          <t xml:space="preserve">998938839097 SMS OZI, 998972222957 SMS AYOLI, 998974440277 SMS AKASI, 998972644555 SMS UKASI, 998878357171 UZI NEW,</t>
        </is>
      </c>
      <c r="G121" s="101" t="inlineStr">
        <is>
          <t xml:space="preserve">КАШКАДАРЁ ВИЛОЯТИ КОСОН ТУМАНИ ПИСТАЛИ МФЙ, ПИСТАЛИ,  uy:Р/С 119</t>
        </is>
      </c>
      <c r="H121" s="102">
        <v>3.0</v>
      </c>
      <c r="I121" s="102">
        <v>0.0</v>
      </c>
      <c r="K121" s="101" t="inlineStr">
        <is>
          <t xml:space="preserve">15:00 gacha kartadan yopaman ddi 7171 | 728 | 700358.13</t>
        </is>
      </c>
    </row>
    <row r="122">
      <c r="A122" s="101" t="inlineStr">
        <is>
          <t xml:space="preserve">КАШКАДАРЁ ВИЛОЯТИ</t>
        </is>
      </c>
      <c r="B122" s="101" t="inlineStr">
        <is>
          <t xml:space="preserve">SUPER BRANCH</t>
        </is>
      </c>
      <c r="C122" s="101" t="inlineStr">
        <is>
          <t xml:space="preserve">Обещали</t>
        </is>
      </c>
      <c r="D122" s="101" t="inlineStr">
        <is>
          <t xml:space="preserve">Кр-99038002-1</t>
        </is>
      </c>
      <c r="E122" s="101" t="inlineStr">
        <is>
          <t xml:space="preserve">BOYMAXMADOV BAXTOVAR DADAJONZODA</t>
        </is>
      </c>
      <c r="F122" s="101" t="inlineStr">
        <is>
          <t xml:space="preserve">998912155553 SMS OZI, 998906760702 SMS DOSTI, 998904435652 SMS DOSTI, 998913200065 SMS UKASI, +998912155553 Primary phone from road24,</t>
        </is>
      </c>
      <c r="G122" s="101" t="inlineStr">
        <is>
          <t xml:space="preserve">КУЙИОКБОЙ КФЙ, ДЕНОВ,  uy:Р/З</t>
        </is>
      </c>
      <c r="H122" s="102">
        <v>1.0</v>
      </c>
      <c r="I122" s="102">
        <v>0.0</v>
      </c>
      <c r="K122" s="101" t="inlineStr">
        <is>
          <t xml:space="preserve">juma kuni aniq yopaman pul kelishi kk ddi | 747 | 1883846.34</t>
        </is>
      </c>
    </row>
    <row r="123">
      <c r="A123" s="101" t="inlineStr">
        <is>
          <t xml:space="preserve">КАШКАДАРЁ ВИЛОЯТИ</t>
        </is>
      </c>
      <c r="B123" s="101" t="inlineStr">
        <is>
          <t xml:space="preserve">SUPER BRANCH</t>
        </is>
      </c>
      <c r="C123" s="101" t="inlineStr">
        <is>
          <t xml:space="preserve">Обещали</t>
        </is>
      </c>
      <c r="D123" s="101" t="inlineStr">
        <is>
          <t xml:space="preserve">Кр-99039701-1</t>
        </is>
      </c>
      <c r="E123" s="101" t="inlineStr">
        <is>
          <t xml:space="preserve">AXMADOV RAXMATJON ISKANDAR O’G’LI</t>
        </is>
      </c>
      <c r="F123" s="101" t="inlineStr">
        <is>
          <t xml:space="preserve">999886758088 SMS OZI, 998973140057 SMS AKASI, 998973160057 SMS AKASI 2, 998886788088 SMS UZI NEW  TO'LOVCHI , 998992130365 SMS AKASI Shahriyor,</t>
        </is>
      </c>
      <c r="G123" s="101" t="inlineStr">
        <is>
          <t xml:space="preserve">QASHQADARYO VILOYATI MIRISHKOR TUMANI GULISTON MFY XAMZA KUCHASI 34-UY</t>
        </is>
      </c>
      <c r="H123" s="102">
        <v>3.0</v>
      </c>
      <c r="I123" s="102">
        <v>0.0</v>
      </c>
      <c r="K123" s="101" t="inlineStr">
        <is>
          <t xml:space="preserve">bugun kechgacha ilojini qilaman bolmasa 15 gacha yopaman ddi | 877 | 5278548.67</t>
        </is>
      </c>
    </row>
    <row r="124">
      <c r="A124" s="101" t="inlineStr">
        <is>
          <t xml:space="preserve">КАШКАДАРЁ ВИЛОЯТИ</t>
        </is>
      </c>
      <c r="B124" s="101" t="inlineStr">
        <is>
          <t xml:space="preserve">SUPER BRANCH</t>
        </is>
      </c>
      <c r="C124" s="101" t="inlineStr">
        <is>
          <t xml:space="preserve">Обещали</t>
        </is>
      </c>
      <c r="D124" s="101" t="inlineStr">
        <is>
          <t xml:space="preserve">Кр-99040100-1</t>
        </is>
      </c>
      <c r="E124" s="101" t="inlineStr">
        <is>
          <t xml:space="preserve">KUDRATOV SANJAR DJURAYEVICH </t>
        </is>
      </c>
      <c r="F124" s="101" t="inlineStr">
        <is>
          <t xml:space="preserve">998880634212 SMS OZI, 998970700407 SMS OILASI  (BEGONA), 998972000300 SMS UKASI, 998996750200 SMS AKASI, 998972000300 uzi,</t>
        </is>
      </c>
      <c r="G124" s="101" t="inlineStr">
        <is>
          <t xml:space="preserve">QASHQADARYO VILOYATI QARSHI TUMANI TINCHLIK MFY, PARMITON QISHLOG’I 33-UY</t>
        </is>
      </c>
      <c r="H124" s="102">
        <v>3.0</v>
      </c>
      <c r="I124" s="102">
        <v>0.0</v>
      </c>
      <c r="K124" s="101" t="inlineStr">
        <is>
          <t xml:space="preserve">dushanba kuni polni yopaman ddi | 946 | 10231700.83</t>
        </is>
      </c>
    </row>
    <row r="125">
      <c r="A125" s="103" t="inlineStr">
        <is>
          <t xml:space="preserve">КАШКАДАРЁ ВИЛОЯТИ</t>
        </is>
      </c>
      <c r="B125" s="103" t="inlineStr">
        <is>
          <t xml:space="preserve">Қарши филиали</t>
        </is>
      </c>
      <c r="C125" s="103" t="inlineStr">
        <is>
          <t xml:space="preserve">Обещали</t>
        </is>
      </c>
      <c r="D125" s="103" t="inlineStr">
        <is>
          <t xml:space="preserve">Кр-99063288-3</t>
        </is>
      </c>
      <c r="E125" s="103" t="inlineStr">
        <is>
          <t xml:space="preserve">ODIROV BAHRON SADULLOYEVICH</t>
        </is>
      </c>
      <c r="F125" s="103" t="inlineStr">
        <is>
          <t xml:space="preserve">+998972948022 SMS O'ZI, 998951745628 SMS, 998979540008 SMS,</t>
        </is>
      </c>
      <c r="G125" s="103" t="inlineStr">
        <is>
          <t xml:space="preserve">КАШКАДАРЁ ВИЛОЯТИ КОСОН ТУМАНИ ЭСАБОЙ МФЙ ОБОД КУЧАСИ 11-УЙ</t>
        </is>
      </c>
      <c r="H125" s="104">
        <v>3.0</v>
      </c>
      <c r="I125" s="104">
        <v>196062.05</v>
      </c>
      <c r="K125" s="103" t="inlineStr">
        <is>
          <t xml:space="preserve">bugun to'lavoradi</t>
        </is>
      </c>
    </row>
    <row r="126">
      <c r="A126" s="103" t="inlineStr">
        <is>
          <t xml:space="preserve">КАШКАДАРЁ ВИЛОЯТИ</t>
        </is>
      </c>
      <c r="B126" s="103" t="inlineStr">
        <is>
          <t xml:space="preserve">Қарши филиали</t>
        </is>
      </c>
      <c r="C126" s="103" t="inlineStr">
        <is>
          <t xml:space="preserve">Обещали</t>
        </is>
      </c>
      <c r="D126" s="103" t="inlineStr">
        <is>
          <t xml:space="preserve">Кр-99040917-2</t>
        </is>
      </c>
      <c r="E126" s="103" t="inlineStr">
        <is>
          <t xml:space="preserve">KAROMATOV OYBEK OBIDOVICH</t>
        </is>
      </c>
      <c r="F126" s="103" t="inlineStr">
        <is>
          <t xml:space="preserve">+998934232825 sms uzi, 998902444140 sms , 998919523244 sms,</t>
        </is>
      </c>
      <c r="G126" s="103" t="inlineStr">
        <is>
          <t xml:space="preserve">МАШЪАЛ МФЙ, НИЛУФАР КЎЧАСИ,  uy:Р/С</t>
        </is>
      </c>
      <c r="I126" s="104">
        <v>149805.0</v>
      </c>
      <c r="K126" s="103" t="inlineStr">
        <is>
          <t xml:space="preserve">bugun to'latamn</t>
        </is>
      </c>
    </row>
    <row r="127">
      <c r="A127" s="103" t="inlineStr">
        <is>
          <t xml:space="preserve">КАШКАДАРЁ ВИЛОЯТИ</t>
        </is>
      </c>
      <c r="B127" s="103" t="inlineStr">
        <is>
          <t xml:space="preserve">Қарши филиали</t>
        </is>
      </c>
      <c r="C127" s="103" t="inlineStr">
        <is>
          <t xml:space="preserve">Обещали</t>
        </is>
      </c>
      <c r="D127" s="103" t="inlineStr">
        <is>
          <t xml:space="preserve">Кр-99016127-6</t>
        </is>
      </c>
      <c r="E127" s="103" t="inlineStr">
        <is>
          <t xml:space="preserve">MURODOV BEKZOD ZIYADULLAYEVICH</t>
        </is>
      </c>
      <c r="F127" s="103" t="inlineStr">
        <is>
          <t xml:space="preserve">912161309 SMS UZI, 974494979 SMS AKASU, 919543908 SMS OILASI, 972001104 SMS DADASI, 998917239933 new uz,</t>
        </is>
      </c>
      <c r="G127" s="103" t="inlineStr">
        <is>
          <t xml:space="preserve">КАШКАДАРЁ ВИЛОЯТИ КАРШИ ШАХРИ Хужа-хиёл MFY QO’RG’ON KUCHASI 57-UY</t>
        </is>
      </c>
      <c r="H127" s="104">
        <v>3.0</v>
      </c>
      <c r="I127" s="104">
        <v>0.0</v>
      </c>
      <c r="K127" s="103" t="inlineStr">
        <is>
          <t xml:space="preserve">BUGUN YOPADII | 80 | 126744.46 | yopadi bugun</t>
        </is>
      </c>
    </row>
    <row r="128">
      <c r="A128" s="103" t="inlineStr">
        <is>
          <t xml:space="preserve">КАШКАДАРЁ ВИЛОЯТИ</t>
        </is>
      </c>
      <c r="B128" s="103" t="inlineStr">
        <is>
          <t xml:space="preserve">Қарши филиали</t>
        </is>
      </c>
      <c r="C128" s="103" t="inlineStr">
        <is>
          <t xml:space="preserve">Обещали</t>
        </is>
      </c>
      <c r="D128" s="103" t="inlineStr">
        <is>
          <t xml:space="preserve">Кр-99020517-12</t>
        </is>
      </c>
      <c r="E128" s="103" t="inlineStr">
        <is>
          <t xml:space="preserve">PRIMOV TOLMASBEK SHERMATOVICH</t>
        </is>
      </c>
      <c r="F128" s="103" t="inlineStr">
        <is>
          <t xml:space="preserve">97-229-20-44 SMS ruslan ukasi , 97-311-44-40 SMS BEGONA EKAN, 97-001-20-44 SMS OGLI, 88-200-20-78 SMS TULOVCHI TOLMASBEK,</t>
        </is>
      </c>
      <c r="G128" s="103" t="inlineStr">
        <is>
          <t xml:space="preserve">QASHQADARYO VILOYATI KOSON TUMANI DARCHA MFY PO’LATI QISHLOG’I 5-UY</t>
        </is>
      </c>
      <c r="H128" s="104">
        <v>3.0</v>
      </c>
      <c r="I128" s="104">
        <v>0.0</v>
      </c>
      <c r="K128" s="103" t="inlineStr">
        <is>
          <t xml:space="preserve">BUGUN ABETTAN KEN BITTASINI HAL QILIAMAN DDI IILOIJI BORICHA 2078 | 116 | 1151107.14</t>
        </is>
      </c>
    </row>
    <row r="129">
      <c r="A129" s="103" t="inlineStr">
        <is>
          <t xml:space="preserve">КАШКАДАРЁ ВИЛОЯТИ</t>
        </is>
      </c>
      <c r="B129" s="103" t="inlineStr">
        <is>
          <t xml:space="preserve">Қарши филиали</t>
        </is>
      </c>
      <c r="C129" s="103" t="inlineStr">
        <is>
          <t xml:space="preserve">Обещали</t>
        </is>
      </c>
      <c r="D129" s="103" t="inlineStr">
        <is>
          <t xml:space="preserve">Кр-99020544-2</t>
        </is>
      </c>
      <c r="E129" s="103" t="inlineStr">
        <is>
          <t xml:space="preserve">TOJIYEV TO’XTAMUROD AMIRKULOVICH</t>
        </is>
      </c>
      <c r="F129" s="103" t="inlineStr">
        <is>
          <t xml:space="preserve">88-677-12-52  SMS UZI, 998885881999 SMS O’GLI, 88-316-76-80  SMS OILASI, 77-777-28-40  SMS O’G’LI begana , 998885881999 katta ug`li ,</t>
        </is>
      </c>
      <c r="G129" s="103" t="inlineStr">
        <is>
          <t xml:space="preserve">QASHQADARYO VILOYATI NISHON TUMANI OQOLTIN MFY TINCHLIK KO’CHASI 12-UY</t>
        </is>
      </c>
      <c r="H129" s="104">
        <v>3.0</v>
      </c>
      <c r="I129" s="104">
        <v>0.0</v>
      </c>
      <c r="K129" s="103" t="inlineStr">
        <is>
          <t xml:space="preserve">JUMA JUNI ANIQ YOPAMAN DDI | 117 | 3656584.91 | ertaga to'lo bo'ladi</t>
        </is>
      </c>
    </row>
    <row r="130">
      <c r="A130" s="103" t="inlineStr">
        <is>
          <t xml:space="preserve">КАШКАДАРЁ ВИЛОЯТИ</t>
        </is>
      </c>
      <c r="B130" s="103" t="inlineStr">
        <is>
          <t xml:space="preserve">Қарши филиали</t>
        </is>
      </c>
      <c r="C130" s="103" t="inlineStr">
        <is>
          <t xml:space="preserve">Обещали</t>
        </is>
      </c>
      <c r="D130" s="103" t="inlineStr">
        <is>
          <t xml:space="preserve">Кр-99036611-1</t>
        </is>
      </c>
      <c r="E130" s="103" t="inlineStr">
        <is>
          <t xml:space="preserve">NAZAROV DILSHOD SHAMSHODOVICH</t>
        </is>
      </c>
      <c r="G130" s="103" t="inlineStr">
        <is>
          <t xml:space="preserve">КАШКАДАРЁ ВИЛОЯТИ КОСОН ТУМАНИ АРАЛИК МФЙ ЭСКИ ШАХАР КУЧАСИ 11-УЙ</t>
        </is>
      </c>
      <c r="H130" s="104">
        <v>3.0</v>
      </c>
      <c r="I130" s="104">
        <v>0.0</v>
      </c>
      <c r="K130" s="103" t="inlineStr">
        <is>
          <t xml:space="preserve">bugun kechgacha harakat qiladiiloji boricha yopadi bolmasa dushanba kuni yopaman ddi  88 883 5600 | 667 | 7080395</t>
        </is>
      </c>
    </row>
    <row r="131">
      <c r="A131" s="103" t="inlineStr">
        <is>
          <t xml:space="preserve">КАШКАДАРЁ ВИЛОЯТИ</t>
        </is>
      </c>
      <c r="B131" s="103" t="inlineStr">
        <is>
          <t xml:space="preserve">Қарши филиали</t>
        </is>
      </c>
      <c r="C131" s="103" t="inlineStr">
        <is>
          <t xml:space="preserve">Обещали</t>
        </is>
      </c>
      <c r="D131" s="103" t="inlineStr">
        <is>
          <t xml:space="preserve">Кр-99037597-2</t>
        </is>
      </c>
      <c r="E131" s="103" t="inlineStr">
        <is>
          <t xml:space="preserve">OTAMURODOV SALOXIDDIN TURA O’G’LI</t>
        </is>
      </c>
      <c r="F131" s="103" t="inlineStr">
        <is>
          <t xml:space="preserve">998938839097 SMS OZI, 998972222957 SMS AYOLI, 998974440277 SMS AKASI, 998972644555 SMS UKASI, 998878357171 UZI NEW,</t>
        </is>
      </c>
      <c r="G131" s="103" t="inlineStr">
        <is>
          <t xml:space="preserve">КАШКАДАРЁ ВИЛОЯТИ КОСОН ТУМАНИ ПИСТАЛИ МФЙ, ПИСТАЛИ,  uy:Р/С 119</t>
        </is>
      </c>
      <c r="H131" s="104">
        <v>3.0</v>
      </c>
      <c r="I131" s="104">
        <v>0.0</v>
      </c>
      <c r="K131" s="103" t="inlineStr">
        <is>
          <t xml:space="preserve">15:00 gacha kartadan yopaman ddi 7171 | 727 | 932357.73</t>
        </is>
      </c>
    </row>
    <row r="132">
      <c r="A132" s="105" t="inlineStr">
        <is>
          <t xml:space="preserve">КОРАКАЛПОГИСТОН РЕСПУБЛИКАСИ</t>
        </is>
      </c>
      <c r="B132" s="105" t="inlineStr">
        <is>
          <t xml:space="preserve">BOSH OFIS</t>
        </is>
      </c>
      <c r="C132" s="105" t="inlineStr">
        <is>
          <t xml:space="preserve">Обещали</t>
        </is>
      </c>
      <c r="D132" s="105" t="inlineStr">
        <is>
          <t xml:space="preserve">Кр-99041431-1</t>
        </is>
      </c>
      <c r="E132" s="105" t="inlineStr">
        <is>
          <t xml:space="preserve">BAYNAZAROVA AMANGUL KALIBAYEVNA</t>
        </is>
      </c>
      <c r="F132" s="105" t="inlineStr">
        <is>
          <t xml:space="preserve">998906536610 SMS OZI, 998919359599 SMS QIZI, 998913918821 SMS OGLI, 998913810499 SMS KELINI, 998933029514 SMS UKASI WU RAQAM ISHLAYDI,</t>
        </is>
      </c>
      <c r="G132" s="105" t="inlineStr">
        <is>
          <t xml:space="preserve">QARAQALPOGISTON RES NUKUS SHAHAR XAUA JOLI MFY DAWLET BAQSI KUSHASI 21 UY </t>
        </is>
      </c>
      <c r="H132" s="106">
        <v>3.0</v>
      </c>
      <c r="I132" s="106">
        <v>3206455.34</v>
      </c>
      <c r="K132" s="105" t="inlineStr">
        <is>
          <t xml:space="preserve">16chida yopadi</t>
        </is>
      </c>
    </row>
    <row r="133">
      <c r="A133" s="107" t="inlineStr">
        <is>
          <t xml:space="preserve">КОРАКАЛПОГИСТОН РЕСПУБЛИКАСИ</t>
        </is>
      </c>
      <c r="B133" s="107" t="inlineStr">
        <is>
          <t xml:space="preserve">SUPER BRANCH</t>
        </is>
      </c>
      <c r="C133" s="107" t="inlineStr">
        <is>
          <t xml:space="preserve">Обещали</t>
        </is>
      </c>
      <c r="D133" s="107" t="inlineStr">
        <is>
          <t xml:space="preserve">Кр-99063846-2</t>
        </is>
      </c>
      <c r="E133" s="107" t="inlineStr">
        <is>
          <t xml:space="preserve">SABUROV OG’ABEK RAXAT O’G’LI</t>
        </is>
      </c>
      <c r="F133" s="107" t="inlineStr">
        <is>
          <t xml:space="preserve">998500878236 SMS UZI, 998919397304 SMS DOSTI, 998930479829 SMS KELINI, 998933932316 SMS OPASI,</t>
        </is>
      </c>
      <c r="G133" s="107" t="inlineStr">
        <is>
          <t xml:space="preserve">Республика Каракалпакстан, Берунийский район, Найман ССГ, ул. Дахо, дом 5</t>
        </is>
      </c>
      <c r="H133" s="108">
        <v>3.0</v>
      </c>
      <c r="I133" s="108">
        <v>5170842.0</v>
      </c>
      <c r="K133" s="107" t="inlineStr">
        <is>
          <t xml:space="preserve">SHANBI TO'LIDI</t>
        </is>
      </c>
    </row>
    <row r="134">
      <c r="A134" s="107" t="inlineStr">
        <is>
          <t xml:space="preserve">КОРАКАЛПОГИСТОН РЕСПУБЛИКАСИ</t>
        </is>
      </c>
      <c r="B134" s="107" t="inlineStr">
        <is>
          <t xml:space="preserve">SUPER BRANCH</t>
        </is>
      </c>
      <c r="C134" s="107" t="inlineStr">
        <is>
          <t xml:space="preserve">Обещали</t>
        </is>
      </c>
      <c r="D134" s="107" t="inlineStr">
        <is>
          <t xml:space="preserve">Кр-99048733-1</t>
        </is>
      </c>
      <c r="E134" s="107" t="inlineStr">
        <is>
          <t xml:space="preserve">MAMBETNAZAROV ILXAMBEK BEKMURZAEVICH</t>
        </is>
      </c>
      <c r="F134" s="107" t="inlineStr">
        <is>
          <t xml:space="preserve">998907070002 SMS UZI, 998912670007 SMS UZI 2 BEGONA , 998907090003 xotini newww,</t>
        </is>
      </c>
      <c r="G134" s="107" t="inlineStr">
        <is>
          <t xml:space="preserve">NUKUS SHAHAR</t>
        </is>
      </c>
      <c r="H134" s="108">
        <v>3.0</v>
      </c>
      <c r="I134" s="108">
        <v>3148072.14</v>
      </c>
      <c r="K134" s="107" t="inlineStr">
        <is>
          <t xml:space="preserve">15chida bolib bolib to'lidi</t>
        </is>
      </c>
    </row>
    <row r="135">
      <c r="A135" s="107" t="inlineStr">
        <is>
          <t xml:space="preserve">КОРАКАЛПОГИСТОН РЕСПУБЛИКАСИ</t>
        </is>
      </c>
      <c r="B135" s="107" t="inlineStr">
        <is>
          <t xml:space="preserve">SUPER BRANCH</t>
        </is>
      </c>
      <c r="C135" s="107" t="inlineStr">
        <is>
          <t xml:space="preserve">Обещали</t>
        </is>
      </c>
      <c r="D135" s="107" t="inlineStr">
        <is>
          <t xml:space="preserve">Кр-99020763-4</t>
        </is>
      </c>
      <c r="E135" s="107" t="inlineStr">
        <is>
          <t xml:space="preserve">IBROHIMOV ISLOM GULMIRZA O‘G‘LI</t>
        </is>
      </c>
      <c r="F135" s="107" t="inlineStr">
        <is>
          <t xml:space="preserve">998997409800 SMS tolovchi, 88-500-38-03 SMS AKASI, 97-358-01-99 SMS AYOLI, 998976593110 uzi (iwlamidi), 998336593110 Uzi NEW, +998959693100 Primary phone from road24, 998959693100 Primary phone from road24, 998959693100 ozi newww,</t>
        </is>
      </c>
      <c r="G135" s="107" t="inlineStr">
        <is>
          <t xml:space="preserve">БОБУР ҚФЙ, ЖУМУР ОВУЛ МФЙ,  uy:Р/С</t>
        </is>
      </c>
      <c r="H135" s="108">
        <v>3.0</v>
      </c>
      <c r="I135" s="108">
        <v>2073439.04</v>
      </c>
      <c r="K135" s="107" t="inlineStr">
        <is>
          <t xml:space="preserve">11chida yopadi</t>
        </is>
      </c>
    </row>
    <row r="136">
      <c r="A136" s="109" t="inlineStr">
        <is>
          <t xml:space="preserve">КОРАКАЛПОГИСТОН РЕСПУБЛИКАСИ</t>
        </is>
      </c>
      <c r="B136" s="109" t="inlineStr">
        <is>
          <t xml:space="preserve">Нукус филиали</t>
        </is>
      </c>
      <c r="C136" s="109" t="inlineStr">
        <is>
          <t xml:space="preserve">Обещали</t>
        </is>
      </c>
      <c r="D136" s="109" t="inlineStr">
        <is>
          <t xml:space="preserve">Кр-99042377-1</t>
        </is>
      </c>
      <c r="E136" s="109" t="inlineStr">
        <is>
          <t xml:space="preserve">DJEKSENBAEVA IRINA DJANBIRAEVNA</t>
        </is>
      </c>
      <c r="F136" s="109" t="inlineStr">
        <is>
          <t xml:space="preserve">998882145959 OZI, 998904244011 OGLI, 998919332729 QIZI,</t>
        </is>
      </c>
      <c r="G136" s="109" t="inlineStr">
        <is>
          <t xml:space="preserve">QARAQALPOGISTON RESPUBLIKASI NUKUS SHAHAR  Nauriz MFY, Minar ko’chasi, 8-uy</t>
        </is>
      </c>
      <c r="H136" s="110">
        <v>3.0</v>
      </c>
      <c r="I136" s="110">
        <v>6311148.0</v>
      </c>
      <c r="K136" s="109" t="inlineStr">
        <is>
          <t xml:space="preserve">bo'lib bo'lib to'lidi</t>
        </is>
      </c>
    </row>
    <row r="137">
      <c r="A137" s="109" t="inlineStr">
        <is>
          <t xml:space="preserve">КОРАКАЛПОГИСТОН РЕСПУБЛИКАСИ</t>
        </is>
      </c>
      <c r="B137" s="109" t="inlineStr">
        <is>
          <t xml:space="preserve">Нукус филиали</t>
        </is>
      </c>
      <c r="C137" s="109" t="inlineStr">
        <is>
          <t xml:space="preserve">Обещали</t>
        </is>
      </c>
      <c r="D137" s="109" t="inlineStr">
        <is>
          <t xml:space="preserve">Кр-99042637-1</t>
        </is>
      </c>
      <c r="E137" s="109" t="inlineStr">
        <is>
          <t xml:space="preserve">ASKAROVA ULZADA DJAKSIMURATOVNA</t>
        </is>
      </c>
      <c r="F137" s="109" t="inlineStr">
        <is>
          <t xml:space="preserve">998332704595 KELINI, 998913068791 QIZI, 998913906944 OZI,</t>
        </is>
      </c>
      <c r="G137" s="109" t="inlineStr">
        <is>
          <t xml:space="preserve">Кун нуры МФЙ, Мархамат кучаси, 10-уй</t>
        </is>
      </c>
      <c r="H137" s="110">
        <v>3.0</v>
      </c>
      <c r="I137" s="110">
        <v>4496084.18</v>
      </c>
      <c r="K137" s="109" t="inlineStr">
        <is>
          <t xml:space="preserve">bo'lib bo'lib to'lidi</t>
        </is>
      </c>
    </row>
    <row r="138">
      <c r="A138" s="109" t="inlineStr">
        <is>
          <t xml:space="preserve">КОРАКАЛПОГИСТОН РЕСПУБЛИКАСИ</t>
        </is>
      </c>
      <c r="B138" s="109" t="inlineStr">
        <is>
          <t xml:space="preserve">Нукус филиали</t>
        </is>
      </c>
      <c r="C138" s="109" t="inlineStr">
        <is>
          <t xml:space="preserve">Обещали</t>
        </is>
      </c>
      <c r="D138" s="109" t="inlineStr">
        <is>
          <t xml:space="preserve">Кр-99064496-2</t>
        </is>
      </c>
      <c r="E138" s="109" t="inlineStr">
        <is>
          <t xml:space="preserve">KAYPNAZAROV TOLIBAY KALKNAZAROVICH</t>
        </is>
      </c>
      <c r="F138" s="109" t="inlineStr">
        <is>
          <t xml:space="preserve">998990981264 OZI, 998997340035 OGLI, 998998411898 KELINI,</t>
        </is>
      </c>
      <c r="G138" s="109" t="inlineStr">
        <is>
          <t xml:space="preserve">QORAQALPOGISTON RES KEGIYLI TUMANI ABAT MAKAN MFY BOZATAW JOLI KUSHASI 51 UY</t>
        </is>
      </c>
      <c r="H138" s="110">
        <v>3.0</v>
      </c>
      <c r="I138" s="110">
        <v>2722291.0</v>
      </c>
      <c r="K138" s="109" t="inlineStr">
        <is>
          <t xml:space="preserve">11sanada oylik op tolidi</t>
        </is>
      </c>
    </row>
    <row r="139">
      <c r="A139" s="109" t="inlineStr">
        <is>
          <t xml:space="preserve">КОРАКАЛПОГИСТОН РЕСПУБЛИКАСИ</t>
        </is>
      </c>
      <c r="B139" s="109" t="inlineStr">
        <is>
          <t xml:space="preserve">Нукус филиали</t>
        </is>
      </c>
      <c r="C139" s="109" t="inlineStr">
        <is>
          <t xml:space="preserve">Обещали</t>
        </is>
      </c>
      <c r="D139" s="109" t="inlineStr">
        <is>
          <t xml:space="preserve">Кр-99033360-1</t>
        </is>
      </c>
      <c r="E139" s="109" t="inlineStr">
        <is>
          <t xml:space="preserve">ABDURAHIMOV ALIJON RUSTAM O’G’LI</t>
        </is>
      </c>
      <c r="F139" s="109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39" s="109" t="inlineStr">
        <is>
          <t xml:space="preserve">QARAQALPOGISTON RES AMUDARYO TUMANI TOLQIN OFY MARIFATSHILAR KUSHASI 27 UY</t>
        </is>
      </c>
      <c r="H139" s="110">
        <v>2.0</v>
      </c>
      <c r="I139" s="110">
        <v>1846947.13</v>
      </c>
      <c r="K139" s="109" t="inlineStr">
        <is>
          <t xml:space="preserve">1-2kunda to'lidi</t>
        </is>
      </c>
    </row>
    <row r="140">
      <c r="A140" s="109" t="inlineStr">
        <is>
          <t xml:space="preserve">КОРАКАЛПОГИСТОН РЕСПУБЛИКАСИ</t>
        </is>
      </c>
      <c r="B140" s="109" t="inlineStr">
        <is>
          <t xml:space="preserve">Нукус филиали</t>
        </is>
      </c>
      <c r="C140" s="109" t="inlineStr">
        <is>
          <t xml:space="preserve">Обещали</t>
        </is>
      </c>
      <c r="D140" s="109" t="inlineStr">
        <is>
          <t xml:space="preserve">Кр-99064376-1</t>
        </is>
      </c>
      <c r="E140" s="109" t="inlineStr">
        <is>
          <t xml:space="preserve">SAGIDULLAEVA SHARBANU ORALBAEVNA</t>
        </is>
      </c>
      <c r="F140" s="109" t="inlineStr">
        <is>
          <t xml:space="preserve">998507828856 QIZI, 998913904453 OZI, 998937104843 OGLI,</t>
        </is>
      </c>
      <c r="G140" s="109" t="inlineStr">
        <is>
          <t xml:space="preserve">КОРАКАЛПОГИСТОН РЕС КАНЛИКОЛ ТУМАНИ ДОСЛЫК МФЙ, ГАРЕЗСИЗЛИК КЎЧАСИ,  uy:8</t>
        </is>
      </c>
      <c r="H140" s="110">
        <v>3.0</v>
      </c>
      <c r="I140" s="110">
        <v>1626267.78</v>
      </c>
      <c r="K140" s="109" t="inlineStr">
        <is>
          <t xml:space="preserve">11sanada oylik op tolidi</t>
        </is>
      </c>
    </row>
    <row r="141">
      <c r="A141" s="111" t="inlineStr">
        <is>
          <t xml:space="preserve">НАМАНГАН ВИЛОЯТИ</t>
        </is>
      </c>
      <c r="B141" s="111" t="inlineStr">
        <is>
          <t xml:space="preserve">SUPER BRANCH</t>
        </is>
      </c>
      <c r="C141" s="111" t="inlineStr">
        <is>
          <t xml:space="preserve">Обещали</t>
        </is>
      </c>
      <c r="D141" s="111" t="inlineStr">
        <is>
          <t xml:space="preserve">Кр-99059632-1</t>
        </is>
      </c>
      <c r="E141" s="111" t="inlineStr">
        <is>
          <t xml:space="preserve">RAXMANOV OTABEK MAXMUDJONOVICH</t>
        </is>
      </c>
      <c r="F141" s="111" t="inlineStr">
        <is>
          <t xml:space="preserve">998908088300 Узи, 998996937053 отаси, 998997835572 аёли,</t>
        </is>
      </c>
      <c r="G141" s="111" t="inlineStr">
        <is>
          <t xml:space="preserve">Манзил: NAMANGAN VILOYATI NORIN TUMANI KATTA YAYDOQ MFY KO’XNADIYOR KO’CHASI 20 UY</t>
        </is>
      </c>
      <c r="H141" s="112">
        <v>64.0</v>
      </c>
      <c r="I141" s="112">
        <v>21548550.69</v>
      </c>
      <c r="K141" s="111" t="inlineStr">
        <is>
          <t xml:space="preserve">bugun yo ertaga yoparkan | Плохой</t>
        </is>
      </c>
    </row>
    <row r="142">
      <c r="A142" s="111" t="inlineStr">
        <is>
          <t xml:space="preserve">НАМАНГАН ВИЛОЯТИ</t>
        </is>
      </c>
      <c r="B142" s="111" t="inlineStr">
        <is>
          <t xml:space="preserve">SUPER BRANCH</t>
        </is>
      </c>
      <c r="C142" s="111" t="inlineStr">
        <is>
          <t xml:space="preserve">Обещали</t>
        </is>
      </c>
      <c r="D142" s="111" t="inlineStr">
        <is>
          <t xml:space="preserve">Кр-99040105-1</t>
        </is>
      </c>
      <c r="E142" s="111" t="inlineStr">
        <is>
          <t xml:space="preserve">OLIMJONOV XUSANBOY IMINJON O’G’LI</t>
        </is>
      </c>
      <c r="F142" s="111" t="inlineStr">
        <is>
          <t xml:space="preserve">998943404032 SMS OZI, 998932637202 SMS ONASI, 998934225602 SMS UKASI, 998930085477 SMS DADASI,</t>
        </is>
      </c>
      <c r="G142" s="111" t="inlineStr">
        <is>
          <t xml:space="preserve">NAMANGAN VILOYATI NORIN TUMANI QO'RG'ONCHA MFY DODHOH KO'CHASI 83-UY</t>
        </is>
      </c>
      <c r="H142" s="112">
        <v>3.0</v>
      </c>
      <c r="I142" s="112">
        <v>1553961.55</v>
      </c>
      <c r="K142" s="111" t="inlineStr">
        <is>
          <t xml:space="preserve">puli undruvchida | Хороший</t>
        </is>
      </c>
    </row>
    <row r="143">
      <c r="A143" s="111" t="inlineStr">
        <is>
          <t xml:space="preserve">НАМАНГАН ВИЛОЯТИ</t>
        </is>
      </c>
      <c r="B143" s="111" t="inlineStr">
        <is>
          <t xml:space="preserve">SUPER BRANCH</t>
        </is>
      </c>
      <c r="C143" s="111" t="inlineStr">
        <is>
          <t xml:space="preserve">Обещали</t>
        </is>
      </c>
      <c r="D143" s="111" t="inlineStr">
        <is>
          <t xml:space="preserve">Кр-99013517-3</t>
        </is>
      </c>
      <c r="E143" s="111" t="inlineStr">
        <is>
          <t xml:space="preserve">MAMADALIYEV TOLIB YUSUFJONOVICH</t>
        </is>
      </c>
      <c r="F143" s="111" t="inlineStr">
        <is>
          <t xml:space="preserve">97-372-48-47 SMS, 91-050-07-15  SMS OSHNASI, 94-121-89-87  SMS OSHNASI, 97-622-62-24  SMS AYOLI BEGONA, 88 551 47 47 SMS ozi,</t>
        </is>
      </c>
      <c r="G143" s="111" t="inlineStr">
        <is>
          <t xml:space="preserve">NAMANGAN VILOYATI NAMANGAN TUMANI G‘ALCHA MFY MUATTAR KO‘CHASI 32-UY</t>
        </is>
      </c>
      <c r="H143" s="112">
        <v>3.0</v>
      </c>
      <c r="I143" s="112">
        <v>1512610.09</v>
      </c>
      <c r="K143" s="111" t="inlineStr">
        <is>
          <t xml:space="preserve">bugun tolarkan | Стандартрый</t>
        </is>
      </c>
    </row>
    <row r="144">
      <c r="A144" s="111" t="inlineStr">
        <is>
          <t xml:space="preserve">НАМАНГАН ВИЛОЯТИ</t>
        </is>
      </c>
      <c r="B144" s="111" t="inlineStr">
        <is>
          <t xml:space="preserve">SUPER BRANCH</t>
        </is>
      </c>
      <c r="C144" s="111" t="inlineStr">
        <is>
          <t xml:space="preserve">Обещали</t>
        </is>
      </c>
      <c r="D144" s="111" t="inlineStr">
        <is>
          <t xml:space="preserve">Кр-99037964-1</t>
        </is>
      </c>
      <c r="E144" s="111" t="inlineStr">
        <is>
          <t xml:space="preserve">YAMINOV DAVRON BAXODIROVICH</t>
        </is>
      </c>
      <c r="F144" s="111" t="inlineStr">
        <is>
          <t xml:space="preserve">998885660025 SMS OZI, 998995142005 SMS XOTINI, 998938402005 SMS FARZANDI, 998883730770 SMS DO’STI,</t>
        </is>
      </c>
      <c r="G144" s="111" t="inlineStr">
        <is>
          <t xml:space="preserve">NAMANGAN SHAHAR ORZU MFY YANGI BOG’-2 KO’CHASI 117-UY </t>
        </is>
      </c>
      <c r="H144" s="112">
        <v>2.0</v>
      </c>
      <c r="I144" s="112">
        <v>1069995.98</v>
      </c>
      <c r="K144" s="111" t="inlineStr">
        <is>
          <t xml:space="preserve">bugun tolarkan | Стандартрый</t>
        </is>
      </c>
    </row>
    <row r="145">
      <c r="A145" s="111" t="inlineStr">
        <is>
          <t xml:space="preserve">НАМАНГАН ВИЛОЯТИ</t>
        </is>
      </c>
      <c r="B145" s="111" t="inlineStr">
        <is>
          <t xml:space="preserve">SUPER BRANCH</t>
        </is>
      </c>
      <c r="C145" s="111" t="inlineStr">
        <is>
          <t xml:space="preserve">Обещали</t>
        </is>
      </c>
      <c r="D145" s="111" t="inlineStr">
        <is>
          <t xml:space="preserve">Кр-99035468-2</t>
        </is>
      </c>
      <c r="E145" s="111" t="inlineStr">
        <is>
          <t xml:space="preserve">IBROHIMOV ISKANDARBEK BEKZODBEK O’G’LI</t>
        </is>
      </c>
      <c r="F145" s="111" t="inlineStr">
        <is>
          <t xml:space="preserve">998902193893 SMS O’ZI, 998905517480 SMS O’ZI2, 998913595485 SMS XOLASI , 998976803131 SMS DADASI TO’LOVCHINI,</t>
        </is>
      </c>
      <c r="G145" s="111" t="inlineStr">
        <is>
          <t xml:space="preserve">NAMANGAN VILOYATI NAMANGAN SHAHAR ISTIQLOL MFY 5 A -KICHIK NOXIYA 11 UY 16- XONADON</t>
        </is>
      </c>
      <c r="H145" s="112">
        <v>3.0</v>
      </c>
      <c r="I145" s="112">
        <v>793922.61</v>
      </c>
      <c r="K145" s="111" t="inlineStr">
        <is>
          <t xml:space="preserve">bugun tolarkan | Хороший</t>
        </is>
      </c>
    </row>
    <row r="146">
      <c r="A146" s="113" t="inlineStr">
        <is>
          <t xml:space="preserve">НАМАНГАН ВИЛОЯТИ</t>
        </is>
      </c>
      <c r="B146" s="113" t="inlineStr">
        <is>
          <t xml:space="preserve">Наманган филиали</t>
        </is>
      </c>
      <c r="C146" s="113" t="inlineStr">
        <is>
          <t xml:space="preserve">Обещали</t>
        </is>
      </c>
      <c r="D146" s="113" t="inlineStr">
        <is>
          <t xml:space="preserve">Кр-99033373-2</t>
        </is>
      </c>
      <c r="E146" s="113" t="inlineStr">
        <is>
          <t xml:space="preserve">AKBARALIYEV XOSHIMJON QAMBARALI O’G’LI</t>
        </is>
      </c>
      <c r="F146" s="113" t="inlineStr">
        <is>
          <t xml:space="preserve">998934005525 SMS O’ZI, 998340055252 SMS O’ZI, 998906961990 SMS UKASI, 998993225525 SMS O'ZI SHUNGA TEL,</t>
        </is>
      </c>
      <c r="G146" s="113" t="inlineStr">
        <is>
          <t xml:space="preserve">NAMANGAN VILOYATI NAMANGAN TUMANI QO’RG’ONCHA MFY MADANIYAT  KO’CHA 51 UY</t>
        </is>
      </c>
      <c r="H146" s="114">
        <v>2.0</v>
      </c>
      <c r="I146" s="114">
        <v>3405946.79</v>
      </c>
      <c r="K146" s="113" t="inlineStr">
        <is>
          <t xml:space="preserve">tolab qoyarkan | Хороший</t>
        </is>
      </c>
    </row>
    <row r="147">
      <c r="A147" s="113" t="inlineStr">
        <is>
          <t xml:space="preserve">НАМАНГАН ВИЛОЯТИ</t>
        </is>
      </c>
      <c r="B147" s="113" t="inlineStr">
        <is>
          <t xml:space="preserve">Наманган филиали</t>
        </is>
      </c>
      <c r="C147" s="113" t="inlineStr">
        <is>
          <t xml:space="preserve">Обещали</t>
        </is>
      </c>
      <c r="D147" s="113" t="inlineStr">
        <is>
          <t xml:space="preserve">Кр-99010690-2</t>
        </is>
      </c>
      <c r="E147" s="113" t="inlineStr">
        <is>
          <t xml:space="preserve">ANVAROV XUSANBOY MALIKJON O’G’LI</t>
        </is>
      </c>
      <c r="F147" s="113" t="inlineStr">
        <is>
          <t xml:space="preserve">93-423-99-69  SMS OZI, 998993940008 SMS DADASI, 94-905-55-69  SMS OPASI, 93-408-15-04  SMS ONASI, 998937196777 UZI NEWW,</t>
        </is>
      </c>
      <c r="G147" s="113" t="inlineStr">
        <is>
          <t xml:space="preserve">NAMANGAN VILOYATI UYCHI TUMANI YORQO’RGON MFY NURLIK KOCHASI 100-UY</t>
        </is>
      </c>
      <c r="H147" s="114">
        <v>3.0</v>
      </c>
      <c r="I147" s="114">
        <v>3384334.11</v>
      </c>
      <c r="K147" s="113" t="inlineStr">
        <is>
          <t xml:space="preserve">bugun tolarkan | Стандартрый</t>
        </is>
      </c>
    </row>
    <row r="148">
      <c r="A148" s="113" t="inlineStr">
        <is>
          <t xml:space="preserve">НАМАНГАН ВИЛОЯТИ</t>
        </is>
      </c>
      <c r="B148" s="113" t="inlineStr">
        <is>
          <t xml:space="preserve">Наманган филиали</t>
        </is>
      </c>
      <c r="C148" s="113" t="inlineStr">
        <is>
          <t xml:space="preserve">Обещали</t>
        </is>
      </c>
      <c r="D148" s="113" t="inlineStr">
        <is>
          <t xml:space="preserve">Кр-99030239-1</t>
        </is>
      </c>
      <c r="E148" s="113" t="inlineStr">
        <is>
          <t xml:space="preserve">URALOV ABDUNABI ABDUMUMINOVICH</t>
        </is>
      </c>
      <c r="F148" s="113" t="inlineStr">
        <is>
          <t xml:space="preserve">94-543-89-00  SMS O’ZI  KLENT QOZOGISTONDA ISHLIDI, 998500744992 SMS AYOLI, 93-583-68-00  SMS ONASI, 93-211-89-00  SMS O’ZI 2,</t>
        </is>
      </c>
      <c r="G148" s="113" t="inlineStr">
        <is>
          <t xml:space="preserve">NAMANGAN VILOYATI CHORTOQ TUMANI OQTERAK MFY OBI XAYOT KO’CHASI 74 UY</t>
        </is>
      </c>
      <c r="H148" s="114">
        <v>6.0</v>
      </c>
      <c r="I148" s="114">
        <v>1805318.7</v>
      </c>
      <c r="K148" s="113" t="inlineStr">
        <is>
          <t xml:space="preserve">bugun tolarkan | Стандартрый</t>
        </is>
      </c>
    </row>
    <row r="149">
      <c r="A149" s="113" t="inlineStr">
        <is>
          <t xml:space="preserve">НАМАНГАН ВИЛОЯТИ</t>
        </is>
      </c>
      <c r="B149" s="113" t="inlineStr">
        <is>
          <t xml:space="preserve">Наманган филиали</t>
        </is>
      </c>
      <c r="C149" s="113" t="inlineStr">
        <is>
          <t xml:space="preserve">Обещали</t>
        </is>
      </c>
      <c r="D149" s="113" t="inlineStr">
        <is>
          <t xml:space="preserve">Кр-99035468-3</t>
        </is>
      </c>
      <c r="E149" s="113" t="inlineStr">
        <is>
          <t xml:space="preserve">IBROHIMOV ISKANDARBEK BEKZODBEK O’G’LI</t>
        </is>
      </c>
      <c r="F149" s="113" t="inlineStr">
        <is>
          <t xml:space="preserve">998902193893 SMS O’ZI, 998905517480 SMS O’ZI2, 998913595485 SMS XOLASI , 998976803131 SMS DADASI TO’LOVCHINI,</t>
        </is>
      </c>
      <c r="G149" s="113" t="inlineStr">
        <is>
          <t xml:space="preserve">NAMANGAN VILOYATI NAMANGAN SHAHAR ISTIQLOL MFY 5 A -KICHIK NOXIYA 11 UY 16- XONADON</t>
        </is>
      </c>
      <c r="H149" s="114">
        <v>3.0</v>
      </c>
      <c r="I149" s="114">
        <v>1576125.11</v>
      </c>
      <c r="K149" s="113" t="inlineStr">
        <is>
          <t xml:space="preserve">bugun tolarkan | Хороший</t>
        </is>
      </c>
    </row>
    <row r="150">
      <c r="A150" s="113" t="inlineStr">
        <is>
          <t xml:space="preserve">НАМАНГАН ВИЛОЯТИ</t>
        </is>
      </c>
      <c r="B150" s="113" t="inlineStr">
        <is>
          <t xml:space="preserve">Наманган филиали</t>
        </is>
      </c>
      <c r="C150" s="113" t="inlineStr">
        <is>
          <t xml:space="preserve">Обещали</t>
        </is>
      </c>
      <c r="D150" s="113" t="inlineStr">
        <is>
          <t xml:space="preserve">Кр-99033373-1</t>
        </is>
      </c>
      <c r="E150" s="113" t="inlineStr">
        <is>
          <t xml:space="preserve">AKBARALIYEV XOSHIMJON QAMBARALI O’G’LI</t>
        </is>
      </c>
      <c r="F150" s="113" t="inlineStr">
        <is>
          <t xml:space="preserve">998934005525 SMS O’ZI, 998340055252 SMS O’ZI, 998906961990 SMS UKASI, 998993225525 SMS O'ZI SHUNGA TEL,</t>
        </is>
      </c>
      <c r="G150" s="113" t="inlineStr">
        <is>
          <t xml:space="preserve">NAMANGAN VILOYATI NAMANGAN TUMANI QO’RG’ONCHA MFY MADANIYAT  KO’CHA 51 UY</t>
        </is>
      </c>
      <c r="H150" s="114">
        <v>2.0</v>
      </c>
      <c r="I150" s="114">
        <v>1479119.93</v>
      </c>
      <c r="K150" s="113" t="inlineStr">
        <is>
          <t xml:space="preserve">yopildi | Хороший</t>
        </is>
      </c>
    </row>
    <row r="151">
      <c r="A151" s="113" t="inlineStr">
        <is>
          <t xml:space="preserve">НАМАНГАН ВИЛОЯТИ</t>
        </is>
      </c>
      <c r="B151" s="113" t="inlineStr">
        <is>
          <t xml:space="preserve">Наманган филиали</t>
        </is>
      </c>
      <c r="C151" s="113" t="inlineStr">
        <is>
          <t xml:space="preserve">Обещали</t>
        </is>
      </c>
      <c r="D151" s="113" t="inlineStr">
        <is>
          <t xml:space="preserve">Кр-99029202-1</t>
        </is>
      </c>
      <c r="E151" s="113" t="inlineStr">
        <is>
          <t xml:space="preserve">USMANOV BAXROMJON TUXTABAYEVICH</t>
        </is>
      </c>
      <c r="F151" s="113" t="inlineStr">
        <is>
          <t xml:space="preserve">998931705558 SMS tulovchi jiyani, 94-448-58-10 sms AYOLI, 94-906-55-57 sms JIYANI, 93 494 58 10 OZINI NOMERI  ,</t>
        </is>
      </c>
      <c r="G151" s="113" t="inlineStr">
        <is>
          <t xml:space="preserve">NAMANGAN VILOYATI TO’RAQO’RG’ON TUMANI UZUMZOR MFY YOSHLAR KO’CHASI 34 UY</t>
        </is>
      </c>
      <c r="H151" s="114">
        <v>1.0</v>
      </c>
      <c r="I151" s="114">
        <v>1183452.6</v>
      </c>
      <c r="K151" s="113" t="inlineStr">
        <is>
          <t xml:space="preserve">bugun tolarkan | Стандартрый</t>
        </is>
      </c>
    </row>
    <row r="152">
      <c r="A152" s="113" t="inlineStr">
        <is>
          <t xml:space="preserve">НАМАНГАН ВИЛОЯТИ</t>
        </is>
      </c>
      <c r="B152" s="113" t="inlineStr">
        <is>
          <t xml:space="preserve">Наманган филиали</t>
        </is>
      </c>
      <c r="C152" s="113" t="inlineStr">
        <is>
          <t xml:space="preserve">Обещали</t>
        </is>
      </c>
      <c r="D152" s="113" t="inlineStr">
        <is>
          <t xml:space="preserve">Кр-99029487-3</t>
        </is>
      </c>
      <c r="E152" s="113" t="inlineStr">
        <is>
          <t xml:space="preserve">ABDULLAYEV NOZIMJON FOZILJONOVICH</t>
        </is>
      </c>
      <c r="F152" s="113" t="inlineStr">
        <is>
          <t xml:space="preserve">88-373-22-83  SMS OZI, 97-594-83-85  SMS AYOLI, 97-755-16-44  BEGONA, 50-054-83-86  SMS OSHNASI, +998883732283 SMS O’ZI,</t>
        </is>
      </c>
      <c r="G152" s="113" t="inlineStr">
        <is>
          <t xml:space="preserve">NAMANGAN VILOYATI UCHQO’RG’ON TUMANI FAYZIOBOD MFY YANGI AVLOD KO’CHASI 61 UY</t>
        </is>
      </c>
      <c r="H152" s="114">
        <v>3.0</v>
      </c>
      <c r="I152" s="114">
        <v>1044884.57</v>
      </c>
      <c r="K152" s="113" t="inlineStr">
        <is>
          <t xml:space="preserve">yopildi | Стандартрый</t>
        </is>
      </c>
    </row>
    <row r="153">
      <c r="A153" s="113" t="inlineStr">
        <is>
          <t xml:space="preserve">НАМАНГАН ВИЛОЯТИ</t>
        </is>
      </c>
      <c r="B153" s="113" t="inlineStr">
        <is>
          <t xml:space="preserve">Наманган филиали</t>
        </is>
      </c>
      <c r="C153" s="113" t="inlineStr">
        <is>
          <t xml:space="preserve">Обещали</t>
        </is>
      </c>
      <c r="D153" s="113" t="inlineStr">
        <is>
          <t xml:space="preserve">Кр-99032402-1</t>
        </is>
      </c>
      <c r="E153" s="113" t="inlineStr">
        <is>
          <t xml:space="preserve">XUJAYEV GULOMJON ATAVALIYEVICH</t>
        </is>
      </c>
      <c r="F153" s="113" t="inlineStr">
        <is>
          <t xml:space="preserve">998936750549 SMS O’ZI, 998935683707 SMS O’G’LI, 998935930302 SMS O’G’LI 2 begona, 998938813707 SMS KELINI,</t>
        </is>
      </c>
      <c r="G153" s="113" t="inlineStr">
        <is>
          <t xml:space="preserve">NAMANGAN VILOYATI UCHQO’RG’ON TUMANI YANGIYER MFY YANGIYER KO’CHASI 68 UY</t>
        </is>
      </c>
      <c r="H153" s="114">
        <v>1.0</v>
      </c>
      <c r="I153" s="114">
        <v>1007457.06</v>
      </c>
      <c r="K153" s="113" t="inlineStr">
        <is>
          <t xml:space="preserve">bugun tolarkan | Стандартрый</t>
        </is>
      </c>
    </row>
    <row r="154">
      <c r="A154" s="113" t="inlineStr">
        <is>
          <t xml:space="preserve">НАМАНГАН ВИЛОЯТИ</t>
        </is>
      </c>
      <c r="B154" s="113" t="inlineStr">
        <is>
          <t xml:space="preserve">Наманган филиали</t>
        </is>
      </c>
      <c r="C154" s="113" t="inlineStr">
        <is>
          <t xml:space="preserve">Обещали</t>
        </is>
      </c>
      <c r="D154" s="113" t="inlineStr">
        <is>
          <t xml:space="preserve">Кр-99038355-2</t>
        </is>
      </c>
      <c r="E154" s="113" t="inlineStr">
        <is>
          <t xml:space="preserve">QURBANOV RAXIMBERDI PARPIYEVICH</t>
        </is>
      </c>
      <c r="F154" s="113" t="inlineStr">
        <is>
          <t xml:space="preserve">998941371520 SMS OZI, 998505102412 SMS KELINI begona, 998946757303 SMS BEGONA BU BOLA QIMELA, 998882641114 SMS O’G’LI,</t>
        </is>
      </c>
      <c r="G154" s="113" t="inlineStr">
        <is>
          <t xml:space="preserve">NAMANGAN VILOYATI UYCHI TUMANI XURRIYAT MFY RAVNAQ KO’CHASI  64 UY</t>
        </is>
      </c>
      <c r="H154" s="114">
        <v>3.0</v>
      </c>
      <c r="I154" s="114">
        <v>826299.35</v>
      </c>
      <c r="K154" s="113" t="inlineStr">
        <is>
          <t xml:space="preserve">bugun tolarkan | Стандартрый</t>
        </is>
      </c>
    </row>
    <row r="155">
      <c r="A155" s="115" t="inlineStr">
        <is>
          <t xml:space="preserve">САМАРКАНД ВИЛОЯТИ</t>
        </is>
      </c>
      <c r="B155" s="115" t="inlineStr">
        <is>
          <t xml:space="preserve">BOSH OFIS</t>
        </is>
      </c>
      <c r="C155" s="115" t="inlineStr">
        <is>
          <t xml:space="preserve">Обещали</t>
        </is>
      </c>
      <c r="D155" s="115" t="inlineStr">
        <is>
          <t xml:space="preserve">Кр-99064122-2</t>
        </is>
      </c>
      <c r="E155" s="115" t="inlineStr">
        <is>
          <t xml:space="preserve">TOXIROV DONIYOR NASRIDDINOVICH</t>
        </is>
      </c>
      <c r="F155" s="115" t="inlineStr">
        <is>
          <t xml:space="preserve">998904616818 SMS UZI, 998932285897 SMS OPASI, 998954446210 SMS AKASI 2, 998990877282 SMS AKASI,</t>
        </is>
      </c>
      <c r="G155" s="115" t="inlineStr">
        <is>
          <t xml:space="preserve">САМАРКАНД ВИЛОЯТИ САМАРКАНД ТУМАНИ ҚАЙНАМА ҚФЙ, НАВБОҒ МФЙ,  uy:Р/С</t>
        </is>
      </c>
      <c r="H155" s="116">
        <v>3.0</v>
      </c>
      <c r="I155" s="116">
        <v>1043788.98</v>
      </c>
      <c r="K155" s="115" t="inlineStr">
        <is>
          <t xml:space="preserve">5 gacha tolov qiladi | 2292</t>
        </is>
      </c>
    </row>
    <row r="156">
      <c r="A156" s="117" t="inlineStr">
        <is>
          <t xml:space="preserve">САМАРКАНД ВИЛОЯТИ</t>
        </is>
      </c>
      <c r="B156" s="117" t="inlineStr">
        <is>
          <t xml:space="preserve">SUPER BRANCH</t>
        </is>
      </c>
      <c r="C156" s="117" t="inlineStr">
        <is>
          <t xml:space="preserve">Обещали</t>
        </is>
      </c>
      <c r="D156" s="117" t="inlineStr">
        <is>
          <t xml:space="preserve">Кр-99063523-2</t>
        </is>
      </c>
      <c r="E156" s="117" t="inlineStr">
        <is>
          <t xml:space="preserve">ESHMIRZAYEV ABROR ANVARJON O’G’LI</t>
        </is>
      </c>
      <c r="F156" s="117" t="inlineStr">
        <is>
          <t xml:space="preserve">998940262052 SMS OZI, 998942823817 SMS ONASI, 998945082052 SMS AYOLI,</t>
        </is>
      </c>
      <c r="G156" s="117" t="inlineStr">
        <is>
          <t xml:space="preserve">AKTASH MFY 10-UY.1-XONADON</t>
        </is>
      </c>
      <c r="H156" s="118">
        <v>3.0</v>
      </c>
      <c r="I156" s="118">
        <v>3064517.48</v>
      </c>
      <c r="K156" s="117" t="inlineStr">
        <is>
          <t xml:space="preserve">5 gacha tolaydi | 2112</t>
        </is>
      </c>
    </row>
    <row r="157">
      <c r="A157" s="117" t="inlineStr">
        <is>
          <t xml:space="preserve">САМАРКАНД ВИЛОЯТИ</t>
        </is>
      </c>
      <c r="B157" s="117" t="inlineStr">
        <is>
          <t xml:space="preserve">SUPER BRANCH</t>
        </is>
      </c>
      <c r="C157" s="117" t="inlineStr">
        <is>
          <t xml:space="preserve">Обещали</t>
        </is>
      </c>
      <c r="D157" s="117" t="inlineStr">
        <is>
          <t xml:space="preserve">Кр-99063202-1</t>
        </is>
      </c>
      <c r="E157" s="117" t="inlineStr">
        <is>
          <t xml:space="preserve">TUROBOV SHOKIRJON AMONOVICH</t>
        </is>
      </c>
      <c r="F157" s="117" t="inlineStr">
        <is>
          <t xml:space="preserve">998939905102 OZI, 998901017868 OGLI, 998915540704 UKASI, 998944222030 QIZI,</t>
        </is>
      </c>
      <c r="G157" s="117" t="inlineStr">
        <is>
          <t xml:space="preserve">SAMARQAND VILOYATI SAMARQAND TUMANI TURKMAN MFY GULZOR KUCHASI 34-UY</t>
        </is>
      </c>
      <c r="H157" s="118">
        <v>3.0</v>
      </c>
      <c r="I157" s="118">
        <v>2881348.81</v>
      </c>
      <c r="K157" s="117" t="inlineStr">
        <is>
          <t xml:space="preserve">6 gacha toov qiladi | 2031</t>
        </is>
      </c>
    </row>
    <row r="158">
      <c r="A158" s="117" t="inlineStr">
        <is>
          <t xml:space="preserve">САМАРКАНД ВИЛОЯТИ</t>
        </is>
      </c>
      <c r="B158" s="117" t="inlineStr">
        <is>
          <t xml:space="preserve">SUPER BRANCH</t>
        </is>
      </c>
      <c r="C158" s="117" t="inlineStr">
        <is>
          <t xml:space="preserve">Обещали</t>
        </is>
      </c>
      <c r="D158" s="117" t="inlineStr">
        <is>
          <t xml:space="preserve">Кр-99063189-1</t>
        </is>
      </c>
      <c r="E158" s="117" t="inlineStr">
        <is>
          <t xml:space="preserve">BURONOV BUNYOD KAMOLIDDIN O’G’LI</t>
        </is>
      </c>
      <c r="F158" s="117" t="inlineStr">
        <is>
          <t xml:space="preserve">998941864114 OZI, 998944894114 AYOLI, 998937236606 UKASI, 998946815515 UYI,</t>
        </is>
      </c>
      <c r="G158" s="117" t="inlineStr">
        <is>
          <t xml:space="preserve">SAMARQAND VILOYATI NARPAY TUMANI TINCHLIK MFY PULKAN SHOIR KUCHASI 26-UY</t>
        </is>
      </c>
      <c r="H158" s="118">
        <v>3.0</v>
      </c>
      <c r="I158" s="118">
        <v>2811365.36</v>
      </c>
      <c r="K158" s="117" t="inlineStr">
        <is>
          <t xml:space="preserve">juma kuni tolaydi | 2030</t>
        </is>
      </c>
    </row>
    <row r="159">
      <c r="A159" s="117" t="inlineStr">
        <is>
          <t xml:space="preserve">САМАРКАНД ВИЛОЯТИ</t>
        </is>
      </c>
      <c r="B159" s="117" t="inlineStr">
        <is>
          <t xml:space="preserve">SUPER BRANCH</t>
        </is>
      </c>
      <c r="C159" s="117" t="inlineStr">
        <is>
          <t xml:space="preserve">Обещали</t>
        </is>
      </c>
      <c r="D159" s="117" t="inlineStr">
        <is>
          <t xml:space="preserve">Кр-99005214-4</t>
        </is>
      </c>
      <c r="E159" s="117" t="inlineStr">
        <is>
          <t xml:space="preserve">KARIMOV JAMSHID BAXROM-O’G’LI</t>
        </is>
      </c>
      <c r="F159" s="117" t="inlineStr">
        <is>
          <t xml:space="preserve">99-839-30-90 SMS UZI, 99-057-89-82 SMS mama, 90-808-05-53 SMS jena, 97-724-50-50 SMS TOLOVCHI HUMOYUN ,</t>
        </is>
      </c>
      <c r="G159" s="117" t="inlineStr">
        <is>
          <t xml:space="preserve">SAMARQAND VILOYATI KATTAQO’RG’ON SHAHAR O’ZBEKISTON KO’CHASI 174 UY</t>
        </is>
      </c>
      <c r="H159" s="118">
        <v>3.0</v>
      </c>
      <c r="I159" s="118">
        <v>1202540.79</v>
      </c>
      <c r="K159" s="117" t="inlineStr">
        <is>
          <t xml:space="preserve">15 kungacha yopadi | 17</t>
        </is>
      </c>
    </row>
    <row r="160">
      <c r="A160" s="117" t="inlineStr">
        <is>
          <t xml:space="preserve">САМАРКАНД ВИЛОЯТИ</t>
        </is>
      </c>
      <c r="B160" s="117" t="inlineStr">
        <is>
          <t xml:space="preserve">SUPER BRANCH</t>
        </is>
      </c>
      <c r="C160" s="117" t="inlineStr">
        <is>
          <t xml:space="preserve">Обещали</t>
        </is>
      </c>
      <c r="D160" s="117" t="inlineStr">
        <is>
          <t xml:space="preserve">Кр-99034186-2</t>
        </is>
      </c>
      <c r="E160" s="117" t="inlineStr">
        <is>
          <t xml:space="preserve">SARIMSAKOV ALIJON SHUKUROVICH</t>
        </is>
      </c>
      <c r="F160" s="117" t="inlineStr">
        <is>
          <t xml:space="preserve">998933496749 SMS O’ZI, 998794322772 SMS O’ZI, 998941879595 SMS UKASI, 998932739603 SMS AYOLI, +998933496749 SMS OZI,</t>
        </is>
      </c>
      <c r="G160" s="117" t="inlineStr">
        <is>
          <t xml:space="preserve">SAMARQAND VILOYATI SAMARQAND SHAHRI BAHODIR YALANGTUSH MFY 127/9</t>
        </is>
      </c>
      <c r="H160" s="118">
        <v>3.0</v>
      </c>
      <c r="I160" s="118">
        <v>600141.52</v>
      </c>
      <c r="K160" s="117" t="inlineStr">
        <is>
          <t xml:space="preserve">bugun ertga polniy yopadi | 524</t>
        </is>
      </c>
    </row>
    <row r="161">
      <c r="A161" s="117" t="inlineStr">
        <is>
          <t xml:space="preserve">САМАРКАНД ВИЛОЯТИ</t>
        </is>
      </c>
      <c r="B161" s="117" t="inlineStr">
        <is>
          <t xml:space="preserve">SUPER BRANCH</t>
        </is>
      </c>
      <c r="C161" s="117" t="inlineStr">
        <is>
          <t xml:space="preserve">Обещали</t>
        </is>
      </c>
      <c r="D161" s="117" t="inlineStr">
        <is>
          <t xml:space="preserve">Кр-99039991-1</t>
        </is>
      </c>
      <c r="E161" s="117" t="inlineStr">
        <is>
          <t xml:space="preserve">FAYZULLOYEV ULUG’BEK FAZLIDDINOVICH</t>
        </is>
      </c>
      <c r="F161" s="117" t="inlineStr">
        <is>
          <t xml:space="preserve">998916775850 SMS OZI, 998995618789 SMS URTOGI, 998906040617 SMS UKASI, 998934483146 SMS UYI,</t>
        </is>
      </c>
      <c r="G161" s="117" t="inlineStr">
        <is>
          <t xml:space="preserve">SAMARQAND VILOYATI SAMARQAND SHAHAR BOG'I BALAND MFY BOG'I BALAND KUCHASI 41-UY</t>
        </is>
      </c>
      <c r="H161" s="118">
        <v>3.0</v>
      </c>
      <c r="I161" s="118">
        <v>197750.49</v>
      </c>
      <c r="K161" s="117" t="inlineStr">
        <is>
          <t xml:space="preserve">hoz tolaydi | 930</t>
        </is>
      </c>
    </row>
    <row r="162">
      <c r="A162" s="117" t="inlineStr">
        <is>
          <t xml:space="preserve">САМАРКАНД ВИЛОЯТИ</t>
        </is>
      </c>
      <c r="B162" s="117" t="inlineStr">
        <is>
          <t xml:space="preserve">SUPER BRANCH</t>
        </is>
      </c>
      <c r="C162" s="117" t="inlineStr">
        <is>
          <t xml:space="preserve">Обещали</t>
        </is>
      </c>
      <c r="D162" s="117" t="inlineStr">
        <is>
          <t xml:space="preserve">Кр-99036281-2</t>
        </is>
      </c>
      <c r="E162" s="117" t="inlineStr">
        <is>
          <t xml:space="preserve">ALLAYAROVA TULGAN JALILOVNA</t>
        </is>
      </c>
      <c r="F162" s="117" t="inlineStr">
        <is>
          <t xml:space="preserve">998953784737 SMS O’ZI, 998994473241 SMS O’G’LI, 998906008941 SMS KICHINA O’G’LI, 998991600587 SMS UYI,</t>
        </is>
      </c>
      <c r="G162" s="117" t="inlineStr">
        <is>
          <t xml:space="preserve">SAMARQAND VILOYATI SAMARQAND SHAHAR DARG'OM MFY ISTIQLOL KUCHASI 18-DOM 28-KVARTERA</t>
        </is>
      </c>
      <c r="H162" s="118">
        <v>3.0</v>
      </c>
      <c r="I162" s="118">
        <v>194398.35</v>
      </c>
      <c r="K162" s="117" t="inlineStr">
        <is>
          <t xml:space="preserve">645</t>
        </is>
      </c>
    </row>
    <row r="163">
      <c r="A163" s="117" t="inlineStr">
        <is>
          <t xml:space="preserve">САМАРКАНД ВИЛОЯТИ</t>
        </is>
      </c>
      <c r="B163" s="117" t="inlineStr">
        <is>
          <t xml:space="preserve">SUPER BRANCH</t>
        </is>
      </c>
      <c r="C163" s="117" t="inlineStr">
        <is>
          <t xml:space="preserve">Обещали</t>
        </is>
      </c>
      <c r="D163" s="117" t="inlineStr">
        <is>
          <t xml:space="preserve">Кр-99037173-1</t>
        </is>
      </c>
      <c r="E163" s="117" t="inlineStr">
        <is>
          <t xml:space="preserve">IBODULLAYEVA ZUMRAD IBODULLAYEVNA</t>
        </is>
      </c>
      <c r="F163" s="117" t="inlineStr">
        <is>
          <t xml:space="preserve">998882891707 SMS OZI, 998500025447 SMS UKASI, 998904775447 SMS UKASI 2, 998933036841 SMS UZI 2 begona,</t>
        </is>
      </c>
      <c r="G163" s="117" t="inlineStr">
        <is>
          <t xml:space="preserve">SAMARQAND VILOYATI SAMARQAND SHAHRI QARSHI YULI MFY JAR ARIQ KUCHASI 43/35</t>
        </is>
      </c>
      <c r="I163" s="118">
        <v>125425.5</v>
      </c>
      <c r="K163" s="117" t="inlineStr">
        <is>
          <t xml:space="preserve">bugun polniy yopadi | 700</t>
        </is>
      </c>
    </row>
    <row r="164">
      <c r="A164" s="99" t="inlineStr">
        <is>
          <t xml:space="preserve">САМАРКАНД ВИЛОЯТИ</t>
        </is>
      </c>
      <c r="B164" s="99" t="inlineStr">
        <is>
          <t xml:space="preserve">Самарқанд филиали</t>
        </is>
      </c>
      <c r="C164" s="99" t="inlineStr">
        <is>
          <t xml:space="preserve">Обещали</t>
        </is>
      </c>
      <c r="D164" s="99" t="inlineStr">
        <is>
          <t xml:space="preserve">Кр-99064318-1</t>
        </is>
      </c>
      <c r="E164" s="99" t="inlineStr">
        <is>
          <t xml:space="preserve">BEKTEMIROV JURABOY ESIRGANOVICH</t>
        </is>
      </c>
      <c r="F164" s="99" t="inlineStr">
        <is>
          <t xml:space="preserve">998913162326 SMS O’G’LI, 998930957026 SMS OZI, 998951747026 SMS AYOLI,</t>
        </is>
      </c>
      <c r="G164" s="99" t="inlineStr">
        <is>
          <t xml:space="preserve">SAMARQAND VILOYATI TAYLOQ TUMANI UZBEKISTON MFY QURG’ON QISHLOG’I</t>
        </is>
      </c>
      <c r="H164" s="100">
        <v>3.0</v>
      </c>
      <c r="I164" s="100">
        <v>6296310.0</v>
      </c>
      <c r="K164" s="99" t="inlineStr">
        <is>
          <t xml:space="preserve">ertaga kechgacha | 2337</t>
        </is>
      </c>
    </row>
    <row r="165">
      <c r="A165" s="99" t="inlineStr">
        <is>
          <t xml:space="preserve">САМАРКАНД ВИЛОЯТИ</t>
        </is>
      </c>
      <c r="B165" s="99" t="inlineStr">
        <is>
          <t xml:space="preserve">Самарқанд филиали</t>
        </is>
      </c>
      <c r="C165" s="99" t="inlineStr">
        <is>
          <t xml:space="preserve">Обещали</t>
        </is>
      </c>
      <c r="D165" s="99" t="inlineStr">
        <is>
          <t xml:space="preserve">Кр-99064277-1</t>
        </is>
      </c>
      <c r="E165" s="99" t="inlineStr">
        <is>
          <t xml:space="preserve">ABDURAXMONOV BOBUR ABDURAXMONOVICH</t>
        </is>
      </c>
      <c r="F165" s="99" t="inlineStr">
        <is>
          <t xml:space="preserve">998932179000 SMS AYOLI, 998934362121 SMS UYI, 998979071717 SMS OZI,</t>
        </is>
      </c>
      <c r="G165" s="99" t="inlineStr">
        <is>
          <t xml:space="preserve">SAMARQAND VILOYATI QO’SHRABOT TUMANI QORATOSH MFY QORATOSH QISHLOG’I 22-UY</t>
        </is>
      </c>
      <c r="H165" s="100">
        <v>3.0</v>
      </c>
      <c r="I165" s="100">
        <v>6052083.0</v>
      </c>
      <c r="K165" s="99" t="inlineStr">
        <is>
          <t xml:space="preserve">16 kungacha yopadi | 2331</t>
        </is>
      </c>
    </row>
    <row r="166">
      <c r="A166" s="99" t="inlineStr">
        <is>
          <t xml:space="preserve">САМАРКАНД ВИЛОЯТИ</t>
        </is>
      </c>
      <c r="B166" s="99" t="inlineStr">
        <is>
          <t xml:space="preserve">Самарқанд филиали</t>
        </is>
      </c>
      <c r="C166" s="99" t="inlineStr">
        <is>
          <t xml:space="preserve">Обещали</t>
        </is>
      </c>
      <c r="D166" s="99" t="inlineStr">
        <is>
          <t xml:space="preserve">Кр-99063830-1</t>
        </is>
      </c>
      <c r="E166" s="99" t="inlineStr">
        <is>
          <t xml:space="preserve">XAMIDOVA MARHABO RAHMANOVNA</t>
        </is>
      </c>
      <c r="F166" s="99" t="inlineStr">
        <is>
          <t xml:space="preserve">+998915268657 SMS OZI, 998955268657 SMS UYI, 998975268657 SMS DADASI,</t>
        </is>
      </c>
      <c r="G166" s="99" t="inlineStr">
        <is>
          <t xml:space="preserve">SAMARQAND VILOYATI OQDARYO TUMANI PAXTAOBOD MFY PAXTAOBOD KUCHASI 44-UY</t>
        </is>
      </c>
      <c r="H166" s="100">
        <v>3.0</v>
      </c>
      <c r="I166" s="100">
        <v>4326687.69</v>
      </c>
      <c r="K166" s="99" t="inlineStr">
        <is>
          <t xml:space="preserve">10 kuni tolaydi | 2202</t>
        </is>
      </c>
    </row>
    <row r="167">
      <c r="A167" s="99" t="inlineStr">
        <is>
          <t xml:space="preserve">САМАРКАНД ВИЛОЯТИ</t>
        </is>
      </c>
      <c r="B167" s="99" t="inlineStr">
        <is>
          <t xml:space="preserve">Самарқанд филиали</t>
        </is>
      </c>
      <c r="C167" s="99" t="inlineStr">
        <is>
          <t xml:space="preserve">Обещали</t>
        </is>
      </c>
      <c r="D167" s="99" t="inlineStr">
        <is>
          <t xml:space="preserve">Кр-99063168-1</t>
        </is>
      </c>
      <c r="E167" s="99" t="inlineStr">
        <is>
          <t xml:space="preserve">HASANOV IXTIYOR MELIKULOVICH</t>
        </is>
      </c>
      <c r="F167" s="99" t="inlineStr">
        <is>
          <t xml:space="preserve">+998990095985 SMS OZI, 998944485565 SMS AYOLI, 998994160907 SMS UKASI,</t>
        </is>
      </c>
      <c r="G167" s="99" t="inlineStr">
        <is>
          <t xml:space="preserve">SAMARQAND VILOYATI TAYLOQ TUMANI YASTEPA MFY</t>
        </is>
      </c>
      <c r="H167" s="100">
        <v>3.0</v>
      </c>
      <c r="I167" s="100">
        <v>3132648.2</v>
      </c>
      <c r="K167" s="99" t="inlineStr">
        <is>
          <t xml:space="preserve">dushanba tolaydi | 2023</t>
        </is>
      </c>
    </row>
    <row r="168">
      <c r="A168" s="99" t="inlineStr">
        <is>
          <t xml:space="preserve">САМАРКАНД ВИЛОЯТИ</t>
        </is>
      </c>
      <c r="B168" s="99" t="inlineStr">
        <is>
          <t xml:space="preserve">Самарқанд филиали</t>
        </is>
      </c>
      <c r="C168" s="99" t="inlineStr">
        <is>
          <t xml:space="preserve">Обещали</t>
        </is>
      </c>
      <c r="D168" s="99" t="inlineStr">
        <is>
          <t xml:space="preserve">Кр-99063767-1</t>
        </is>
      </c>
      <c r="E168" s="99" t="inlineStr">
        <is>
          <t xml:space="preserve">SAIDOV DILSHOD ISLOMKULOVICH</t>
        </is>
      </c>
      <c r="F168" s="99" t="inlineStr">
        <is>
          <t xml:space="preserve">+998995294743 SMS OZI, 998889335662 SMS AKASI, 998972767712 SMS TULOVCHI, 998990706947 SMS SINGLISI,</t>
        </is>
      </c>
      <c r="G168" s="99" t="inlineStr">
        <is>
          <t xml:space="preserve">SAMARQAND VILOYATI SAMARQAND SHAHAR DO’STLIK MFY</t>
        </is>
      </c>
      <c r="H168" s="100">
        <v>3.0</v>
      </c>
      <c r="I168" s="100">
        <v>2792832.74</v>
      </c>
      <c r="K168" s="99" t="inlineStr">
        <is>
          <t xml:space="preserve">11-12 kuni tolov qiladi | 2183</t>
        </is>
      </c>
    </row>
    <row r="169">
      <c r="A169" s="99" t="inlineStr">
        <is>
          <t xml:space="preserve">САМАРКАНД ВИЛОЯТИ</t>
        </is>
      </c>
      <c r="B169" s="99" t="inlineStr">
        <is>
          <t xml:space="preserve">Самарқанд филиали</t>
        </is>
      </c>
      <c r="C169" s="99" t="inlineStr">
        <is>
          <t xml:space="preserve">Обещали</t>
        </is>
      </c>
      <c r="D169" s="99" t="inlineStr">
        <is>
          <t xml:space="preserve">Кр-99063701-1</t>
        </is>
      </c>
      <c r="E169" s="99" t="inlineStr">
        <is>
          <t xml:space="preserve">XUJAMURODOV ULFAT QURBONQULOVICH</t>
        </is>
      </c>
      <c r="F169" s="99" t="inlineStr">
        <is>
          <t xml:space="preserve">+998915441976 OZI SMS, 998915226604 SMS  AYOLI, 998934434402 SMS KUYOVI, 998949410350 SMS OGLI,</t>
        </is>
      </c>
      <c r="G169" s="99" t="inlineStr">
        <is>
          <t xml:space="preserve">SAMARQAND VILOYATI URGUT TUMANI KATTA KAMANGARON MFY KAMON KUCHASI 107- UY</t>
        </is>
      </c>
      <c r="H169" s="100">
        <v>3.0</v>
      </c>
      <c r="I169" s="100">
        <v>2647090.82</v>
      </c>
      <c r="K169" s="99" t="inlineStr">
        <is>
          <t xml:space="preserve">juma kuni xudoyor akaga beradi | 2166</t>
        </is>
      </c>
    </row>
    <row r="170">
      <c r="A170" s="99" t="inlineStr">
        <is>
          <t xml:space="preserve">САМАРКАНД ВИЛОЯТИ</t>
        </is>
      </c>
      <c r="B170" s="99" t="inlineStr">
        <is>
          <t xml:space="preserve">Самарқанд филиали</t>
        </is>
      </c>
      <c r="C170" s="99" t="inlineStr">
        <is>
          <t xml:space="preserve">Обещали</t>
        </is>
      </c>
      <c r="D170" s="99" t="inlineStr">
        <is>
          <t xml:space="preserve">Кр-99063278-2</t>
        </is>
      </c>
      <c r="E170" s="99" t="inlineStr">
        <is>
          <t xml:space="preserve">ABDIQAYUMOV IBROHIM ZAYNIDDIN O’G’LI</t>
        </is>
      </c>
      <c r="F170" s="99" t="inlineStr">
        <is>
          <t xml:space="preserve">+998937202873 SMS OZI, 998500202086 SMS DADASI, 998915379123 SMS AYASI, 998915393006 SMS OZI 2,</t>
        </is>
      </c>
      <c r="G170" s="99" t="inlineStr">
        <is>
          <t xml:space="preserve">SAMARQAND VILOYATI PASTDARG’OM TUMANI KAMOLOT MAHALLASI</t>
        </is>
      </c>
      <c r="H170" s="100">
        <v>3.0</v>
      </c>
      <c r="I170" s="100">
        <v>2468139.67</v>
      </c>
      <c r="K170" s="99" t="inlineStr">
        <is>
          <t xml:space="preserve">kechgacha yopadi | 2047</t>
        </is>
      </c>
    </row>
    <row r="171">
      <c r="A171" s="99" t="inlineStr">
        <is>
          <t xml:space="preserve">САМАРКАНД ВИЛОЯТИ</t>
        </is>
      </c>
      <c r="B171" s="99" t="inlineStr">
        <is>
          <t xml:space="preserve">Самарқанд филиали</t>
        </is>
      </c>
      <c r="C171" s="99" t="inlineStr">
        <is>
          <t xml:space="preserve">Обещали</t>
        </is>
      </c>
      <c r="D171" s="99" t="inlineStr">
        <is>
          <t xml:space="preserve">Кр-99064545-1</t>
        </is>
      </c>
      <c r="E171" s="99" t="inlineStr">
        <is>
          <t xml:space="preserve">RUZIQULOV MUHRIDDIN G’AYRAT O’G’LI</t>
        </is>
      </c>
      <c r="F171" s="99" t="inlineStr">
        <is>
          <t xml:space="preserve">998778220646 SMS OZI, 998770279705 SMS TULOVCHI, 998940000197 SMS TULOVCHI NURIDDIN, 998958113080 SMS JURASI,</t>
        </is>
      </c>
      <c r="G171" s="99" t="inlineStr">
        <is>
          <t xml:space="preserve">SAMARQAND VILOYATI NARPAY TUMANI MUSTAQILLIK MFY OYTAMGALI QQ  143 UY</t>
        </is>
      </c>
      <c r="H171" s="100">
        <v>3.0</v>
      </c>
      <c r="I171" s="100">
        <v>2401488.03</v>
      </c>
      <c r="K171" s="99" t="inlineStr">
        <is>
          <t xml:space="preserve">kechgacha yopadi | 2384</t>
        </is>
      </c>
    </row>
    <row r="172">
      <c r="A172" s="99" t="inlineStr">
        <is>
          <t xml:space="preserve">САМАРКАНД ВИЛОЯТИ</t>
        </is>
      </c>
      <c r="B172" s="99" t="inlineStr">
        <is>
          <t xml:space="preserve">Самарқанд филиали</t>
        </is>
      </c>
      <c r="C172" s="99" t="inlineStr">
        <is>
          <t xml:space="preserve">Обещали</t>
        </is>
      </c>
      <c r="D172" s="99" t="inlineStr">
        <is>
          <t xml:space="preserve">Кр-99063856-2</t>
        </is>
      </c>
      <c r="E172" s="99" t="inlineStr">
        <is>
          <t xml:space="preserve">XUSHANOVA MAXBUBA JAZILOVNA</t>
        </is>
      </c>
      <c r="F172" s="99" t="inlineStr">
        <is>
          <t xml:space="preserve">+998941879595 SMS OZI, 998889931922 SMS QIZI, 998938339898 SMS O’G’LI, 998949595951 SMS OZI 2,</t>
        </is>
      </c>
      <c r="G172" s="99" t="inlineStr">
        <is>
          <t xml:space="preserve">SAMARQAND VILOYATI QUSHRABOT  TUMANI BULOKBOSHI MFY BULOKBOSHI QISHLOG’I 1439-UY</t>
        </is>
      </c>
      <c r="H172" s="100">
        <v>3.0</v>
      </c>
      <c r="I172" s="100">
        <v>1723203.46</v>
      </c>
      <c r="K172" s="99" t="inlineStr">
        <is>
          <t xml:space="preserve">dushanba tolaydi | 2210</t>
        </is>
      </c>
    </row>
    <row r="173">
      <c r="A173" s="99" t="inlineStr">
        <is>
          <t xml:space="preserve">САМАРКАНД ВИЛОЯТИ</t>
        </is>
      </c>
      <c r="B173" s="99" t="inlineStr">
        <is>
          <t xml:space="preserve">Самарқанд филиали</t>
        </is>
      </c>
      <c r="C173" s="99" t="inlineStr">
        <is>
          <t xml:space="preserve">Обещали</t>
        </is>
      </c>
      <c r="D173" s="99" t="inlineStr">
        <is>
          <t xml:space="preserve">Кр-99063278-3</t>
        </is>
      </c>
      <c r="E173" s="99" t="inlineStr">
        <is>
          <t xml:space="preserve">ABDIQAYUMOV IBROHIM ZAYNIDDIN O’G’LI</t>
        </is>
      </c>
      <c r="F173" s="99" t="inlineStr">
        <is>
          <t xml:space="preserve">+998937202873 SMS OZI, 998500202086 SMS DADASI, 998915379123 SMS AYASI, 998915393006 SMS OZI 2,</t>
        </is>
      </c>
      <c r="G173" s="99" t="inlineStr">
        <is>
          <t xml:space="preserve">SAMARQAND VILOYATI PASTDARG’OM TUMANI KAMOLOT MAHALLASI</t>
        </is>
      </c>
      <c r="H173" s="100">
        <v>3.0</v>
      </c>
      <c r="I173" s="100">
        <v>1495258.35</v>
      </c>
      <c r="K173" s="99" t="inlineStr">
        <is>
          <t xml:space="preserve">kechgacha yopadi | 2048</t>
        </is>
      </c>
    </row>
    <row r="174">
      <c r="A174" s="99" t="inlineStr">
        <is>
          <t xml:space="preserve">САМАРКАНД ВИЛОЯТИ</t>
        </is>
      </c>
      <c r="B174" s="99" t="inlineStr">
        <is>
          <t xml:space="preserve">Самарқанд филиали</t>
        </is>
      </c>
      <c r="C174" s="99" t="inlineStr">
        <is>
          <t xml:space="preserve">Обещали</t>
        </is>
      </c>
      <c r="D174" s="99" t="inlineStr">
        <is>
          <t xml:space="preserve">Кр-99063492-1</t>
        </is>
      </c>
      <c r="E174" s="99" t="inlineStr">
        <is>
          <t xml:space="preserve">TIRKASHEV ZARIF YADGAROVICH</t>
        </is>
      </c>
      <c r="F174" s="99" t="inlineStr">
        <is>
          <t xml:space="preserve">+998934375859 OZI, 998932335859 SMS OZI 2, 998938573959 SMS AYASI, 998949995859 SMS DADASI,</t>
        </is>
      </c>
      <c r="G174" s="99" t="inlineStr">
        <is>
          <t xml:space="preserve">OQTOSH SHAHRI</t>
        </is>
      </c>
      <c r="H174" s="100">
        <v>3.0</v>
      </c>
      <c r="I174" s="100">
        <v>1372213.07</v>
      </c>
      <c r="K174" s="99" t="inlineStr">
        <is>
          <t xml:space="preserve">15 kungacha tolov qiladi avanisi tushsa grafigini ozgartirish kk | 2104</t>
        </is>
      </c>
    </row>
    <row r="175">
      <c r="A175" s="99" t="inlineStr">
        <is>
          <t xml:space="preserve">САМАРКАНД ВИЛОЯТИ</t>
        </is>
      </c>
      <c r="B175" s="99" t="inlineStr">
        <is>
          <t xml:space="preserve">Самарқанд филиали</t>
        </is>
      </c>
      <c r="C175" s="99" t="inlineStr">
        <is>
          <t xml:space="preserve">Обещали</t>
        </is>
      </c>
      <c r="D175" s="99" t="inlineStr">
        <is>
          <t xml:space="preserve">Кр-99064526-1</t>
        </is>
      </c>
      <c r="E175" s="99" t="inlineStr">
        <is>
          <t xml:space="preserve">OCHILOV AKTAM XASANOVICH</t>
        </is>
      </c>
      <c r="F175" s="99" t="inlineStr">
        <is>
          <t xml:space="preserve">998972891887 SMS OZI, 998978961887 SMS AYOLI, 998979011090 SMS UKASI,</t>
        </is>
      </c>
      <c r="G175" s="99" t="inlineStr">
        <is>
          <t xml:space="preserve">SAMARQAND VILOYATI QO’SHRABOT TUMANI PANGAT MFY</t>
        </is>
      </c>
      <c r="H175" s="100">
        <v>3.0</v>
      </c>
      <c r="I175" s="100">
        <v>1098797.96</v>
      </c>
      <c r="K175" s="99" t="inlineStr">
        <is>
          <t xml:space="preserve">ertaga kechgacha | 2382</t>
        </is>
      </c>
    </row>
    <row r="176">
      <c r="A176" s="99" t="inlineStr">
        <is>
          <t xml:space="preserve">САМАРКАНД ВИЛОЯТИ</t>
        </is>
      </c>
      <c r="B176" s="99" t="inlineStr">
        <is>
          <t xml:space="preserve">Самарқанд филиали</t>
        </is>
      </c>
      <c r="C176" s="99" t="inlineStr">
        <is>
          <t xml:space="preserve">Обещали</t>
        </is>
      </c>
      <c r="D176" s="99" t="inlineStr">
        <is>
          <t xml:space="preserve">Кр-99058704-1</t>
        </is>
      </c>
      <c r="E176" s="99" t="inlineStr">
        <is>
          <t xml:space="preserve">RASULOV SALOXIDDIN QARSHIYEVICH</t>
        </is>
      </c>
      <c r="F176" s="99" t="inlineStr">
        <is>
          <t xml:space="preserve">+998701517600 SMS OZI, 998779672213 SMS KIYOVI, 998990639351 SMS QIZI,</t>
        </is>
      </c>
      <c r="G176" s="99" t="inlineStr">
        <is>
          <t xml:space="preserve">SAMARQAND VILOYATI URGUT TUMANI BAXRIN MFY 7-UY</t>
        </is>
      </c>
      <c r="H176" s="100">
        <v>3.0</v>
      </c>
      <c r="I176" s="100">
        <v>216110.49</v>
      </c>
      <c r="K176" s="99" t="inlineStr">
        <is>
          <t xml:space="preserve">hoz tolaydi | 1701</t>
        </is>
      </c>
    </row>
    <row r="177">
      <c r="A177" s="99" t="inlineStr">
        <is>
          <t xml:space="preserve">САМАРКАНД ВИЛОЯТИ</t>
        </is>
      </c>
      <c r="B177" s="99" t="inlineStr">
        <is>
          <t xml:space="preserve">Самарқанд филиали</t>
        </is>
      </c>
      <c r="C177" s="99" t="inlineStr">
        <is>
          <t xml:space="preserve">Обещали</t>
        </is>
      </c>
      <c r="D177" s="99" t="inlineStr">
        <is>
          <t xml:space="preserve">Кр-99038110-2</t>
        </is>
      </c>
      <c r="E177" s="99" t="inlineStr">
        <is>
          <t xml:space="preserve">RAXMATOV RAXMON BAXRONOVICH</t>
        </is>
      </c>
      <c r="F177" s="99" t="inlineStr">
        <is>
          <t xml:space="preserve">998915576357 SMS OZI, 998772003653 SMS O’G’LI, 998906550196 SMS AYOLI, 998985736333 SMS OSHNASI,</t>
        </is>
      </c>
      <c r="G177" s="99" t="inlineStr">
        <is>
          <t xml:space="preserve">SAMARQAND VILOYATI SAMARQAND SHAHAR GALA OSIYO MFY DEVON KUCHASI 167-UY</t>
        </is>
      </c>
      <c r="H177" s="100">
        <v>3.0</v>
      </c>
      <c r="I177" s="100">
        <v>174872.94</v>
      </c>
      <c r="K177" s="99" t="inlineStr">
        <is>
          <t xml:space="preserve">dushanba kuni 2ta kiridetini ha yopadi | 756</t>
        </is>
      </c>
    </row>
    <row r="178">
      <c r="A178" s="99" t="inlineStr">
        <is>
          <t xml:space="preserve">САМАРКАНД ВИЛОЯТИ</t>
        </is>
      </c>
      <c r="B178" s="99" t="inlineStr">
        <is>
          <t xml:space="preserve">Самарқанд филиали</t>
        </is>
      </c>
      <c r="C178" s="99" t="inlineStr">
        <is>
          <t xml:space="preserve">Обещали</t>
        </is>
      </c>
      <c r="D178" s="99" t="inlineStr">
        <is>
          <t xml:space="preserve">Кр-99041893-1</t>
        </is>
      </c>
      <c r="E178" s="99" t="inlineStr">
        <is>
          <t xml:space="preserve">SHOMIRZAYEVA NILUFAR KOMILOVNA</t>
        </is>
      </c>
      <c r="F178" s="99" t="inlineStr">
        <is>
          <t xml:space="preserve">+998933458905 SSMS OZI, 998505502996 SMS ERI, 998915522001 SMS UYI, 998933464034 SMS OZI 2,</t>
        </is>
      </c>
      <c r="G178" s="99" t="inlineStr">
        <is>
          <t xml:space="preserve">SAMARQAND VILOYATI PASTDARG’OM TUMANI RAVOT MFY YOSHLAR KUCHASI 61-UY</t>
        </is>
      </c>
      <c r="H178" s="100">
        <v>3.0</v>
      </c>
      <c r="I178" s="100">
        <v>78071.33</v>
      </c>
      <c r="K178" s="99" t="inlineStr">
        <is>
          <t xml:space="preserve">10 kun yopadi | 1219</t>
        </is>
      </c>
    </row>
    <row r="179">
      <c r="A179" s="101" t="inlineStr">
        <is>
          <t xml:space="preserve">СУРХОНДАРЁ ВИЛОЯТИ</t>
        </is>
      </c>
      <c r="B179" s="101" t="inlineStr">
        <is>
          <t xml:space="preserve">BOSH OFIS</t>
        </is>
      </c>
      <c r="C179" s="101" t="inlineStr">
        <is>
          <t xml:space="preserve">Обещали</t>
        </is>
      </c>
      <c r="D179" s="101" t="inlineStr">
        <is>
          <t xml:space="preserve">Кр-99022239-3</t>
        </is>
      </c>
      <c r="E179" s="101" t="inlineStr">
        <is>
          <t xml:space="preserve">MAXMUDOV AZAMAT ABDUXALIMOVICH</t>
        </is>
      </c>
      <c r="F179" s="101" t="inlineStr">
        <is>
          <t xml:space="preserve">99-428-85-81 SMS, 93-838-85-01  SMS UY, 91-581-86-56  SMS ZALOGADATEL, 998947851179 shu raqamdan tel qildi azamat ,</t>
        </is>
      </c>
      <c r="G179" s="101" t="inlineStr">
        <is>
          <t xml:space="preserve">SURXONDARYO VILOYATI SARIOSIYO TUMANI SUFIYON QFY NIHOLZOR MFY TINCHLIK K’OCHASI 46-UY</t>
        </is>
      </c>
      <c r="H179" s="102">
        <v>3.0</v>
      </c>
      <c r="I179" s="102">
        <v>1885854.39</v>
      </c>
      <c r="K179" s="101" t="inlineStr">
        <is>
          <t xml:space="preserve">1-2 kunda toledi | 153</t>
        </is>
      </c>
    </row>
    <row r="180">
      <c r="A180" s="101" t="inlineStr">
        <is>
          <t xml:space="preserve">СУРХОНДАРЁ ВИЛОЯТИ</t>
        </is>
      </c>
      <c r="B180" s="101" t="inlineStr">
        <is>
          <t xml:space="preserve">BOSH OFIS</t>
        </is>
      </c>
      <c r="C180" s="101" t="inlineStr">
        <is>
          <t xml:space="preserve">Обещали</t>
        </is>
      </c>
      <c r="D180" s="101" t="inlineStr">
        <is>
          <t xml:space="preserve">Кр-99034555-2</t>
        </is>
      </c>
      <c r="E180" s="101" t="inlineStr">
        <is>
          <t xml:space="preserve">BAYMIROV ABDIMALIK XUSHBAQOVICH</t>
        </is>
      </c>
      <c r="F180" s="101" t="inlineStr">
        <is>
          <t xml:space="preserve">998888499988 SMS OZI, 998972271881 SMS AYOLI, 998940745557 SMS QIZI, 998952293067 SMS HAMKASBI,</t>
        </is>
      </c>
      <c r="G180" s="101" t="inlineStr">
        <is>
          <t xml:space="preserve">SURXONDARYO VILOYATI TERMIZ TUMANI SHAROF RASHIDOV MFY SHAROF, RASHIDOV KO’CHASI 40/WJ-UY</t>
        </is>
      </c>
      <c r="H180" s="102">
        <v>3.0</v>
      </c>
      <c r="I180" s="102">
        <v>880814.38</v>
      </c>
      <c r="K180" s="101" t="inlineStr">
        <is>
          <t xml:space="preserve">бугун</t>
        </is>
      </c>
    </row>
    <row r="181">
      <c r="A181" s="103" t="inlineStr">
        <is>
          <t xml:space="preserve">СУРХОНДАРЁ ВИЛОЯТИ</t>
        </is>
      </c>
      <c r="B181" s="103" t="inlineStr">
        <is>
          <t xml:space="preserve">SUPER BRANCH</t>
        </is>
      </c>
      <c r="C181" s="103" t="inlineStr">
        <is>
          <t xml:space="preserve">Обещали</t>
        </is>
      </c>
      <c r="D181" s="103" t="inlineStr">
        <is>
          <t xml:space="preserve">Кр-99016214-6</t>
        </is>
      </c>
      <c r="E181" s="103" t="inlineStr">
        <is>
          <t xml:space="preserve">QAYUMOV BOBOXON JUMAYEVICH</t>
        </is>
      </c>
      <c r="F181" s="103" t="inlineStr">
        <is>
          <t xml:space="preserve">97-793-15-12 SMS UZI, 95-501-40-42 SMS UZI , 99-168-92-80 SMS UYI Begona, 998975300046 SMS ONASI,</t>
        </is>
      </c>
      <c r="G181" s="103" t="inlineStr">
        <is>
          <t xml:space="preserve">SOXIBKOR QFY EZGULIK MFY MUSTAQILLIK KO’CHASI 28-UY</t>
        </is>
      </c>
      <c r="H181" s="104">
        <v>3.0</v>
      </c>
      <c r="I181" s="104">
        <v>3529620.55</v>
      </c>
      <c r="K181" s="103" t="inlineStr">
        <is>
          <t xml:space="preserve">qisman tolo qldi erte yopad qoganin | 81</t>
        </is>
      </c>
    </row>
    <row r="182">
      <c r="A182" s="103" t="inlineStr">
        <is>
          <t xml:space="preserve">СУРХОНДАРЁ ВИЛОЯТИ</t>
        </is>
      </c>
      <c r="B182" s="103" t="inlineStr">
        <is>
          <t xml:space="preserve">SUPER BRANCH</t>
        </is>
      </c>
      <c r="C182" s="103" t="inlineStr">
        <is>
          <t xml:space="preserve">Обещали</t>
        </is>
      </c>
      <c r="D182" s="103" t="inlineStr">
        <is>
          <t xml:space="preserve">Кр-99030594-2</t>
        </is>
      </c>
      <c r="E182" s="103" t="inlineStr">
        <is>
          <t xml:space="preserve">SHAIMOV NODIRBEK ISMOILOVICH</t>
        </is>
      </c>
      <c r="F182" s="103" t="inlineStr">
        <is>
          <t xml:space="preserve">97-076-89-99 SMS O’ZI, 97-194-39-99  SMS UKASI, 99-599-99-43  SMS UKASI 2 begona tel qimanglar, 50-071-10-03  SMS UY begona,</t>
        </is>
      </c>
      <c r="G182" s="103" t="inlineStr">
        <is>
          <t xml:space="preserve">SURXONDARYO VILOYATI DENOV TUMANI XAZARBOG QFY CHORGUL MFY TARQULAT KO’CHASI 12-UY</t>
        </is>
      </c>
      <c r="H182" s="104">
        <v>3.0</v>
      </c>
      <c r="I182" s="104">
        <v>1060748.39</v>
      </c>
      <c r="K182" s="103" t="inlineStr">
        <is>
          <t xml:space="preserve">duwanb kuni tolo qlad | 356</t>
        </is>
      </c>
    </row>
    <row r="183">
      <c r="A183" s="103" t="inlineStr">
        <is>
          <t xml:space="preserve">СУРХОНДАРЁ ВИЛОЯТИ</t>
        </is>
      </c>
      <c r="B183" s="103" t="inlineStr">
        <is>
          <t xml:space="preserve">SUPER BRANCH</t>
        </is>
      </c>
      <c r="C183" s="103" t="inlineStr">
        <is>
          <t xml:space="preserve">Обещали</t>
        </is>
      </c>
      <c r="D183" s="103" t="inlineStr">
        <is>
          <t xml:space="preserve">Кр-99052962-3</t>
        </is>
      </c>
      <c r="E183" s="103" t="inlineStr">
        <is>
          <t xml:space="preserve">QODIROV KOMIL ZULFIQAROVICH</t>
        </is>
      </c>
      <c r="F183" s="103" t="inlineStr">
        <is>
          <t xml:space="preserve">+998991477887 SMS OZI, 998942425080 SMS AYOLI, 998974448203 SMS OZI 2,</t>
        </is>
      </c>
      <c r="G183" s="103" t="inlineStr">
        <is>
          <t xml:space="preserve">SURXONDARYO VOLOYATI QUMQO’RG’ON TUMANI IIB</t>
        </is>
      </c>
      <c r="H183" s="104">
        <v>3.0</v>
      </c>
      <c r="I183" s="104">
        <v>1041921.27</v>
      </c>
      <c r="K183" s="103" t="inlineStr">
        <is>
          <t xml:space="preserve">10 cisiga tolo qlad | 1510</t>
        </is>
      </c>
    </row>
    <row r="184">
      <c r="A184" s="103" t="inlineStr">
        <is>
          <t xml:space="preserve">СУРХОНДАРЁ ВИЛОЯТИ</t>
        </is>
      </c>
      <c r="B184" s="103" t="inlineStr">
        <is>
          <t xml:space="preserve">SUPER BRANCH</t>
        </is>
      </c>
      <c r="C184" s="103" t="inlineStr">
        <is>
          <t xml:space="preserve">Обещали</t>
        </is>
      </c>
      <c r="D184" s="103" t="inlineStr">
        <is>
          <t xml:space="preserve">Кр-99040166-1</t>
        </is>
      </c>
      <c r="E184" s="103" t="inlineStr">
        <is>
          <t xml:space="preserve">BEKMURODOV SHUXRAT XOLMO’MIN O’G’LI</t>
        </is>
      </c>
      <c r="F184" s="103" t="inlineStr">
        <is>
          <t xml:space="preserve">998770390302 SMS OZI, 998951060164 SMS AYOLI, 998902397676 SMS DADASI,</t>
        </is>
      </c>
      <c r="G184" s="103" t="inlineStr">
        <is>
          <t xml:space="preserve">SURXONDARYO VILOYATI, SHEROBOD TUMANI, VANDOB MFY, 29- UY</t>
        </is>
      </c>
      <c r="I184" s="104">
        <v>316988.03</v>
      </c>
      <c r="K184" s="103" t="inlineStr">
        <is>
          <t xml:space="preserve">бугун</t>
        </is>
      </c>
    </row>
    <row r="185">
      <c r="A185" s="105" t="inlineStr">
        <is>
          <t xml:space="preserve">СУРХОНДАРЁ ВИЛОЯТИ</t>
        </is>
      </c>
      <c r="B185" s="105" t="inlineStr">
        <is>
          <t xml:space="preserve">Денов филиали</t>
        </is>
      </c>
      <c r="C185" s="105" t="inlineStr">
        <is>
          <t xml:space="preserve">Обещали</t>
        </is>
      </c>
      <c r="D185" s="105" t="inlineStr">
        <is>
          <t xml:space="preserve">Кр-99047458-2</t>
        </is>
      </c>
      <c r="E185" s="105" t="inlineStr">
        <is>
          <t xml:space="preserve">MAMADIYEV URAL SHAMSIDDINOVICH</t>
        </is>
      </c>
      <c r="F185" s="105" t="inlineStr">
        <is>
          <t xml:space="preserve">998902462416 SMS UY, 998919089099 SMS SHERIGI, 998990148484 SMS O’ZI,</t>
        </is>
      </c>
      <c r="G185" s="105" t="inlineStr">
        <is>
          <t xml:space="preserve">SURXONDARYO VILOYATI SHO’RCHI TUMANI BOBOTOG’ MFY SADRIDDIN AYNIY 31-UY</t>
        </is>
      </c>
      <c r="H185" s="106">
        <v>3.0</v>
      </c>
      <c r="I185" s="106">
        <v>7790212.8</v>
      </c>
      <c r="K185" s="105" t="inlineStr">
        <is>
          <t xml:space="preserve">bugun uzogi erte tolo qlad | 1383</t>
        </is>
      </c>
    </row>
    <row r="186">
      <c r="A186" s="105" t="inlineStr">
        <is>
          <t xml:space="preserve">СУРХОНДАРЁ ВИЛОЯТИ</t>
        </is>
      </c>
      <c r="B186" s="105" t="inlineStr">
        <is>
          <t xml:space="preserve">Денов филиали</t>
        </is>
      </c>
      <c r="C186" s="105" t="inlineStr">
        <is>
          <t xml:space="preserve">Обещали</t>
        </is>
      </c>
      <c r="D186" s="105" t="inlineStr">
        <is>
          <t xml:space="preserve">Кр-99049665-1</t>
        </is>
      </c>
      <c r="E186" s="105" t="inlineStr">
        <is>
          <t xml:space="preserve">MAMATOV JAMSHID ESHMUMNOVICH</t>
        </is>
      </c>
      <c r="F186" s="105" t="inlineStr">
        <is>
          <t xml:space="preserve">+998770500391 SMS O’ZI, 998996670898 SMS UY, 998999790898 SMS OTASI,</t>
        </is>
      </c>
      <c r="G186" s="105" t="inlineStr">
        <is>
          <t xml:space="preserve">SURXONDARYO VILOYATI DENOV TUMANI A.JOMIY MFY SH.RASHIDOV 24-UY</t>
        </is>
      </c>
      <c r="H186" s="106">
        <v>3.0</v>
      </c>
      <c r="I186" s="106">
        <v>4988296.89</v>
      </c>
      <c r="K186" s="105" t="inlineStr">
        <is>
          <t xml:space="preserve">bugun erte tolo qlad | 1448</t>
        </is>
      </c>
    </row>
    <row r="187">
      <c r="A187" s="105" t="inlineStr">
        <is>
          <t xml:space="preserve">СУРХОНДАРЁ ВИЛОЯТИ</t>
        </is>
      </c>
      <c r="B187" s="105" t="inlineStr">
        <is>
          <t xml:space="preserve">Денов филиали</t>
        </is>
      </c>
      <c r="C187" s="105" t="inlineStr">
        <is>
          <t xml:space="preserve">Обещали</t>
        </is>
      </c>
      <c r="D187" s="105" t="inlineStr">
        <is>
          <t xml:space="preserve">Кр-99034309-1</t>
        </is>
      </c>
      <c r="E187" s="105" t="inlineStr">
        <is>
          <t xml:space="preserve">KAMBAROV NIZOMIDDIN IKROMIDDINOVICH</t>
        </is>
      </c>
      <c r="F187" s="105" t="inlineStr">
        <is>
          <t xml:space="preserve">998883310406 SMS OZI, 998885350803 SMS UY, 998882661198 SMS AKASI, 998990157293 SMS UKASI,</t>
        </is>
      </c>
      <c r="G187" s="105" t="inlineStr">
        <is>
          <t xml:space="preserve">Сурхандарьинская область, Денауский район, Фарғона ҚФЙ,  Водий МФЙ, дом 6, кв. 15</t>
        </is>
      </c>
      <c r="H187" s="106">
        <v>1.0</v>
      </c>
      <c r="I187" s="106">
        <v>4811917.09</v>
      </c>
      <c r="K187" s="105" t="inlineStr">
        <is>
          <t xml:space="preserve">10 dan yopad | 534</t>
        </is>
      </c>
    </row>
    <row r="188">
      <c r="A188" s="105" t="inlineStr">
        <is>
          <t xml:space="preserve">СУРХОНДАРЁ ВИЛОЯТИ</t>
        </is>
      </c>
      <c r="B188" s="105" t="inlineStr">
        <is>
          <t xml:space="preserve">Денов филиали</t>
        </is>
      </c>
      <c r="C188" s="105" t="inlineStr">
        <is>
          <t xml:space="preserve">Обещали</t>
        </is>
      </c>
      <c r="D188" s="105" t="inlineStr">
        <is>
          <t xml:space="preserve">Кр-99017725-6</t>
        </is>
      </c>
      <c r="E188" s="105" t="inlineStr">
        <is>
          <t xml:space="preserve">ALIMOV BEKZOD ERGASHALIYEVICH</t>
        </is>
      </c>
      <c r="F188" s="105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188" s="105" t="inlineStr">
        <is>
          <t xml:space="preserve">SURXONDARYO VILOYATI DENOV TUMANI MINGBULOQ MFY  ABUXOYAT  K’OCHASI  12-UY</t>
        </is>
      </c>
      <c r="H188" s="106">
        <v>3.0</v>
      </c>
      <c r="I188" s="106">
        <v>4388441.15</v>
      </c>
      <c r="K188" s="105" t="inlineStr">
        <is>
          <t xml:space="preserve">10 dan kyn yopad | 87</t>
        </is>
      </c>
    </row>
    <row r="189">
      <c r="A189" s="105" t="inlineStr">
        <is>
          <t xml:space="preserve">СУРХОНДАРЁ ВИЛОЯТИ</t>
        </is>
      </c>
      <c r="B189" s="105" t="inlineStr">
        <is>
          <t xml:space="preserve">Денов филиали</t>
        </is>
      </c>
      <c r="C189" s="105" t="inlineStr">
        <is>
          <t xml:space="preserve">Обещали</t>
        </is>
      </c>
      <c r="D189" s="105" t="inlineStr">
        <is>
          <t xml:space="preserve">Кр-99049246-1</t>
        </is>
      </c>
      <c r="E189" s="105" t="inlineStr">
        <is>
          <t xml:space="preserve">DJUMAYEV SHAROFIDDIN SHODIKULOVICH</t>
        </is>
      </c>
      <c r="F189" s="105" t="inlineStr">
        <is>
          <t xml:space="preserve">998888752525 SMS O’ZI, 998915111161 SMS OILASI, 998952223089 SMS TO'LOVCHI,</t>
        </is>
      </c>
      <c r="G189" s="105" t="inlineStr">
        <is>
          <t xml:space="preserve">SURXONDARYO VILOYATI DENOVI TUMANI BOG’INAV MFY AL-BUXORIY 47 UY</t>
        </is>
      </c>
      <c r="H189" s="106">
        <v>3.0</v>
      </c>
      <c r="I189" s="106">
        <v>3530114.16</v>
      </c>
      <c r="K189" s="105" t="inlineStr">
        <is>
          <t xml:space="preserve">10 cisida tolo qlad ozimzda iwlab ketgan farruxni krediti | 1441</t>
        </is>
      </c>
    </row>
    <row r="190">
      <c r="A190" s="105" t="inlineStr">
        <is>
          <t xml:space="preserve">СУРХОНДАРЁ ВИЛОЯТИ</t>
        </is>
      </c>
      <c r="B190" s="105" t="inlineStr">
        <is>
          <t xml:space="preserve">Денов филиали</t>
        </is>
      </c>
      <c r="C190" s="105" t="inlineStr">
        <is>
          <t xml:space="preserve">Обещали</t>
        </is>
      </c>
      <c r="D190" s="105" t="inlineStr">
        <is>
          <t xml:space="preserve">Кр-99019220-3</t>
        </is>
      </c>
      <c r="E190" s="105" t="inlineStr">
        <is>
          <t xml:space="preserve">QARSHIYEV ABBOS BOZOROVICH</t>
        </is>
      </c>
      <c r="F190" s="105" t="inlineStr">
        <is>
          <t xml:space="preserve">99-677-92-71 SMS UZI, 88-242-60-02 SMS UKASI , 88-154-13-95  SMS AKASI , 91-008-33-56 SMS UKASI , 50-077-92-71 SMS OZI SHUNGA QILINSIN MILLIYDA UQIDI INSTDA , 998500779271 SMS O’ZI, 998902664404 SMS DO’STI, 998972449271 SMS DADASI,</t>
        </is>
      </c>
      <c r="G190" s="105" t="inlineStr">
        <is>
          <t xml:space="preserve">СУРХОНДАРЁ ВИЛОЯТИ ХАЙРАБОД ҚФЙ, ПАХТАКУРАШ МФЙ, ХАЙРАБОД ҚФЙ, ПАХТАКУРАШ МФЙ, КАРВОН ЙУЛИ  55-uy</t>
        </is>
      </c>
      <c r="H190" s="106">
        <v>3.0</v>
      </c>
      <c r="I190" s="106">
        <v>2414354.79</v>
      </c>
      <c r="K190" s="105" t="inlineStr">
        <is>
          <t xml:space="preserve">bugun kecga yopad | 101</t>
        </is>
      </c>
    </row>
    <row r="191">
      <c r="A191" s="105" t="inlineStr">
        <is>
          <t xml:space="preserve">СУРХОНДАРЁ ВИЛОЯТИ</t>
        </is>
      </c>
      <c r="B191" s="105" t="inlineStr">
        <is>
          <t xml:space="preserve">Денов филиали</t>
        </is>
      </c>
      <c r="C191" s="105" t="inlineStr">
        <is>
          <t xml:space="preserve">Обещали</t>
        </is>
      </c>
      <c r="D191" s="105" t="inlineStr">
        <is>
          <t xml:space="preserve">Кр-99034309-2</t>
        </is>
      </c>
      <c r="E191" s="105" t="inlineStr">
        <is>
          <t xml:space="preserve">KAMBAROV NIZOMIDDIN IKROMIDDINOVICH</t>
        </is>
      </c>
      <c r="F191" s="105" t="inlineStr">
        <is>
          <t xml:space="preserve">998883310406 SMS OZI, 998885350803 SMS UY, 998882661198 SMS AKASI, 998990157293 SMS UKASI,</t>
        </is>
      </c>
      <c r="G191" s="105" t="inlineStr">
        <is>
          <t xml:space="preserve">Сурхандарьинская область, Денауский район, Фарғона ҚФЙ,  Водий МФЙ, дом 6, кв. 15</t>
        </is>
      </c>
      <c r="H191" s="106">
        <v>3.0</v>
      </c>
      <c r="I191" s="106">
        <v>2299819.65</v>
      </c>
      <c r="K191" s="105" t="inlineStr">
        <is>
          <t xml:space="preserve">10 dan yopad | 535</t>
        </is>
      </c>
    </row>
    <row r="192">
      <c r="A192" s="105" t="inlineStr">
        <is>
          <t xml:space="preserve">СУРХОНДАРЁ ВИЛОЯТИ</t>
        </is>
      </c>
      <c r="B192" s="105" t="inlineStr">
        <is>
          <t xml:space="preserve">Денов филиали</t>
        </is>
      </c>
      <c r="C192" s="105" t="inlineStr">
        <is>
          <t xml:space="preserve">Обещали</t>
        </is>
      </c>
      <c r="D192" s="105" t="inlineStr">
        <is>
          <t xml:space="preserve">Кр-99064083-1</t>
        </is>
      </c>
      <c r="E192" s="105" t="inlineStr">
        <is>
          <t xml:space="preserve">QULMATOVA BAXTIGUL IBRAGIM QIZI</t>
        </is>
      </c>
      <c r="F192" s="105" t="inlineStr">
        <is>
          <t xml:space="preserve">998507565790 OPASI, 998771781694 UKASI, 998776851694 QAYNI UKASI, 998944160692 O’ZI,</t>
        </is>
      </c>
      <c r="G192" s="105" t="inlineStr">
        <is>
          <t xml:space="preserve">DO’STLIK KO’CHASI 152-UY</t>
        </is>
      </c>
      <c r="H192" s="106">
        <v>3.0</v>
      </c>
      <c r="I192" s="106">
        <v>1862481.8</v>
      </c>
      <c r="K192" s="105" t="inlineStr">
        <is>
          <t xml:space="preserve">abetgaca tolo qlad | 2283</t>
        </is>
      </c>
    </row>
    <row r="193">
      <c r="A193" s="105" t="inlineStr">
        <is>
          <t xml:space="preserve">СУРХОНДАРЁ ВИЛОЯТИ</t>
        </is>
      </c>
      <c r="B193" s="105" t="inlineStr">
        <is>
          <t xml:space="preserve">Денов филиали</t>
        </is>
      </c>
      <c r="C193" s="105" t="inlineStr">
        <is>
          <t xml:space="preserve">Обещали</t>
        </is>
      </c>
      <c r="D193" s="105" t="inlineStr">
        <is>
          <t xml:space="preserve">Кр-99031487-3</t>
        </is>
      </c>
      <c r="E193" s="105" t="inlineStr">
        <is>
          <t xml:space="preserve">POYANOV XIMOIDDIN AMIRJONOVICH</t>
        </is>
      </c>
      <c r="F193" s="105" t="inlineStr">
        <is>
          <t xml:space="preserve">998995707222 SMS O’ZI, 998953137053 SMS AYOLI, 998952237022 SMS AKASI, 998770527022 SMS ONASI,</t>
        </is>
      </c>
      <c r="G193" s="105" t="inlineStr">
        <is>
          <t xml:space="preserve">SURXONDARYO VILOYATI DENOV  TUMANI ANBARSOY  QFY O’RTAQISHLOQ  MFY DO’STLIK KO’CHASI 117-UY</t>
        </is>
      </c>
      <c r="H193" s="106">
        <v>3.0</v>
      </c>
      <c r="I193" s="106">
        <v>1379612.62</v>
      </c>
      <c r="K193" s="105" t="inlineStr">
        <is>
          <t xml:space="preserve">duwanb kuni yopad | 391</t>
        </is>
      </c>
    </row>
    <row r="194">
      <c r="A194" s="105" t="inlineStr">
        <is>
          <t xml:space="preserve">СУРХОНДАРЁ ВИЛОЯТИ</t>
        </is>
      </c>
      <c r="B194" s="105" t="inlineStr">
        <is>
          <t xml:space="preserve">Денов филиали</t>
        </is>
      </c>
      <c r="C194" s="105" t="inlineStr">
        <is>
          <t xml:space="preserve">Обещали</t>
        </is>
      </c>
      <c r="D194" s="105" t="inlineStr">
        <is>
          <t xml:space="preserve">Кр-99040480-1</t>
        </is>
      </c>
      <c r="E194" s="105" t="inlineStr">
        <is>
          <t xml:space="preserve">BORIYEVA GULZIVA MEREDOVNA</t>
        </is>
      </c>
      <c r="F194" s="105" t="inlineStr">
        <is>
          <t xml:space="preserve">998770561015 SMS OGLI, 998902474476 SMS OZI, 998999400015 SMS UY RAQAMI,</t>
        </is>
      </c>
      <c r="G194" s="105" t="inlineStr">
        <is>
          <t xml:space="preserve">ДЕНОВ ШАХАР, ГУЛИСТОН МФЙ, ДЕНОВ ШАХАР, ГУЛИСТОН ШФЙ, ГУЛИСТОН uy:85 xonadon:2</t>
        </is>
      </c>
      <c r="H194" s="106">
        <v>3.0</v>
      </c>
      <c r="I194" s="106">
        <v>991733.02</v>
      </c>
      <c r="K194" s="105" t="inlineStr">
        <is>
          <t xml:space="preserve">erte tolo qlad | 1031</t>
        </is>
      </c>
    </row>
    <row r="195">
      <c r="A195" s="105" t="inlineStr">
        <is>
          <t xml:space="preserve">СУРХОНДАРЁ ВИЛОЯТИ</t>
        </is>
      </c>
      <c r="B195" s="105" t="inlineStr">
        <is>
          <t xml:space="preserve">Денов филиали</t>
        </is>
      </c>
      <c r="C195" s="105" t="inlineStr">
        <is>
          <t xml:space="preserve">Обещали</t>
        </is>
      </c>
      <c r="D195" s="105" t="inlineStr">
        <is>
          <t xml:space="preserve">Кр-99034191-1</t>
        </is>
      </c>
      <c r="E195" s="105" t="inlineStr">
        <is>
          <t xml:space="preserve">XOLBEKOV ABDULAZIZ ABDUXAMIDOVICH</t>
        </is>
      </c>
      <c r="F195" s="105" t="inlineStr">
        <is>
          <t xml:space="preserve">998917177587 SMS O’ZI, 998919707080 SMS TOLOVCHI, 998917171476 SMS OILASI, 998905693043 SMS UY,</t>
        </is>
      </c>
      <c r="G195" s="105" t="inlineStr">
        <is>
          <t xml:space="preserve">SURXONDARYO VILOYATI OLTINSOY TUMANI SAXIBKOR  MFY 57-UY</t>
        </is>
      </c>
      <c r="H195" s="106">
        <v>3.0</v>
      </c>
      <c r="I195" s="106">
        <v>776177.74</v>
      </c>
      <c r="K195" s="105" t="inlineStr">
        <is>
          <t xml:space="preserve">11 cisida tolo qlad | 526</t>
        </is>
      </c>
    </row>
    <row r="196">
      <c r="A196" s="105" t="inlineStr">
        <is>
          <t xml:space="preserve">СУРХОНДАРЁ ВИЛОЯТИ</t>
        </is>
      </c>
      <c r="B196" s="105" t="inlineStr">
        <is>
          <t xml:space="preserve">Денов филиали</t>
        </is>
      </c>
      <c r="C196" s="105" t="inlineStr">
        <is>
          <t xml:space="preserve">Обещали</t>
        </is>
      </c>
      <c r="D196" s="105" t="inlineStr">
        <is>
          <t xml:space="preserve">Кр-99064054-1</t>
        </is>
      </c>
      <c r="E196" s="105" t="inlineStr">
        <is>
          <t xml:space="preserve">TILAKOV YASHNARBEK BEGALIYEVICH</t>
        </is>
      </c>
      <c r="F196" s="105" t="inlineStr">
        <is>
          <t xml:space="preserve">998770425002 TOG’ASI, 998954949000 O’ZI, 998957669000 AYOLI,</t>
        </is>
      </c>
      <c r="G196" s="105" t="inlineStr">
        <is>
          <t xml:space="preserve">RAYHON KO’CHASI 36-UY</t>
        </is>
      </c>
      <c r="H196" s="106">
        <v>3.0</v>
      </c>
      <c r="I196" s="106">
        <v>739339.93</v>
      </c>
      <c r="K196" s="105" t="inlineStr">
        <is>
          <t xml:space="preserve">erte tolo qlad 100% | 2278</t>
        </is>
      </c>
    </row>
    <row r="197">
      <c r="A197" s="105" t="inlineStr">
        <is>
          <t xml:space="preserve">СУРХОНДАРЁ ВИЛОЯТИ</t>
        </is>
      </c>
      <c r="B197" s="105" t="inlineStr">
        <is>
          <t xml:space="preserve">Денов филиали</t>
        </is>
      </c>
      <c r="C197" s="105" t="inlineStr">
        <is>
          <t xml:space="preserve">Обещали</t>
        </is>
      </c>
      <c r="D197" s="105" t="inlineStr">
        <is>
          <t xml:space="preserve">Кр-99033231-1</t>
        </is>
      </c>
      <c r="E197" s="105" t="inlineStr">
        <is>
          <t xml:space="preserve">ESHNAZAROV SUNNATULLA AXMATOVICH</t>
        </is>
      </c>
      <c r="F197" s="105" t="inlineStr">
        <is>
          <t xml:space="preserve">998883032896 SMS O’ZI, 998888070187 SMS UY, 998771628983 SMS OILASI, 998978486888 SMS SHERIGI,</t>
        </is>
      </c>
      <c r="G197" s="105" t="inlineStr">
        <is>
          <t xml:space="preserve">ДИЙДОР МФЙ, ОБОД КЎЧАСИ,  uy:Р/С</t>
        </is>
      </c>
      <c r="I197" s="106">
        <v>664904.1</v>
      </c>
      <c r="K197" s="105" t="inlineStr">
        <is>
          <t xml:space="preserve">bugn erte tolo qlad | 470</t>
        </is>
      </c>
    </row>
    <row r="198">
      <c r="A198" s="105" t="inlineStr">
        <is>
          <t xml:space="preserve">СУРХОНДАРЁ ВИЛОЯТИ</t>
        </is>
      </c>
      <c r="B198" s="105" t="inlineStr">
        <is>
          <t xml:space="preserve">Денов филиали</t>
        </is>
      </c>
      <c r="C198" s="105" t="inlineStr">
        <is>
          <t xml:space="preserve">Обещали</t>
        </is>
      </c>
      <c r="D198" s="105" t="inlineStr">
        <is>
          <t xml:space="preserve">Кр-99044462-1</t>
        </is>
      </c>
      <c r="E198" s="105" t="inlineStr">
        <is>
          <t xml:space="preserve">QARSHIYEV SHOHRUHBEK TO’LQIN O’G’LI</t>
        </is>
      </c>
      <c r="F198" s="105" t="inlineStr">
        <is>
          <t xml:space="preserve">+998977748999 SMS O’ZI, 998774798999 SMS AKASI, 998937996676 SMS UY,</t>
        </is>
      </c>
      <c r="G198" s="105" t="inlineStr">
        <is>
          <t xml:space="preserve">Сурхандарьинская область, Кизирикский район, Гулобод МСГ, ул. Мустақиллик, дом 31</t>
        </is>
      </c>
      <c r="H198" s="106">
        <v>3.0</v>
      </c>
      <c r="I198" s="106">
        <v>553957.49</v>
      </c>
      <c r="K198" s="105" t="inlineStr">
        <is>
          <t xml:space="preserve">бугун</t>
        </is>
      </c>
    </row>
    <row r="199">
      <c r="A199" s="107" t="inlineStr">
        <is>
          <t xml:space="preserve">СУРХОНДАРЁ ВИЛОЯТИ</t>
        </is>
      </c>
      <c r="B199" s="107" t="inlineStr">
        <is>
          <t xml:space="preserve">Термиз филиали</t>
        </is>
      </c>
      <c r="C199" s="107" t="inlineStr">
        <is>
          <t xml:space="preserve">Обещали</t>
        </is>
      </c>
      <c r="D199" s="107" t="inlineStr">
        <is>
          <t xml:space="preserve">Кр-99040579-1</t>
        </is>
      </c>
      <c r="E199" s="107" t="inlineStr">
        <is>
          <t xml:space="preserve">JO’RAYEVA MUNISA BAXTIYOROVNA</t>
        </is>
      </c>
      <c r="F199" s="107" t="inlineStr">
        <is>
          <t xml:space="preserve">+998919698912 SMS OZI, 998978064343 ERI,</t>
        </is>
      </c>
      <c r="G199" s="107" t="inlineStr">
        <is>
          <t xml:space="preserve">ШУРСОЙ МФЙ,  uy:00</t>
        </is>
      </c>
      <c r="H199" s="108">
        <v>3.0</v>
      </c>
      <c r="I199" s="108">
        <v>4611856.21</v>
      </c>
      <c r="K199" s="107" t="inlineStr">
        <is>
          <t xml:space="preserve">бугун</t>
        </is>
      </c>
    </row>
    <row r="200">
      <c r="A200" s="107" t="inlineStr">
        <is>
          <t xml:space="preserve">СУРХОНДАРЁ ВИЛОЯТИ</t>
        </is>
      </c>
      <c r="B200" s="107" t="inlineStr">
        <is>
          <t xml:space="preserve">Термиз филиали</t>
        </is>
      </c>
      <c r="C200" s="107" t="inlineStr">
        <is>
          <t xml:space="preserve">Обещали</t>
        </is>
      </c>
      <c r="D200" s="107" t="inlineStr">
        <is>
          <t xml:space="preserve">Кр-99041838-1</t>
        </is>
      </c>
      <c r="E200" s="107" t="inlineStr">
        <is>
          <t xml:space="preserve">NORMAMATOV JASURBEK AVAZ O’G’LI</t>
        </is>
      </c>
      <c r="F200" s="107" t="inlineStr">
        <is>
          <t xml:space="preserve">+998937643564 SMS O’ZI, 998942012101 SMS OTASI, 998991463564 SMS AYOLI,</t>
        </is>
      </c>
      <c r="G200" s="107" t="inlineStr">
        <is>
          <t xml:space="preserve">ГАЗА МФЙ,  uy:00</t>
        </is>
      </c>
      <c r="H200" s="108">
        <v>3.0</v>
      </c>
      <c r="I200" s="108">
        <v>2681819.02</v>
      </c>
      <c r="K200" s="107" t="inlineStr">
        <is>
          <t xml:space="preserve">бугун</t>
        </is>
      </c>
    </row>
    <row r="201">
      <c r="A201" s="107" t="inlineStr">
        <is>
          <t xml:space="preserve">СУРХОНДАРЁ ВИЛОЯТИ</t>
        </is>
      </c>
      <c r="B201" s="107" t="inlineStr">
        <is>
          <t xml:space="preserve">Термиз филиали</t>
        </is>
      </c>
      <c r="C201" s="107" t="inlineStr">
        <is>
          <t xml:space="preserve">Обещали</t>
        </is>
      </c>
      <c r="D201" s="107" t="inlineStr">
        <is>
          <t xml:space="preserve">Кр-99041178-2</t>
        </is>
      </c>
      <c r="E201" s="107" t="inlineStr">
        <is>
          <t xml:space="preserve">XUDAYNAZAROV FAXRIDDIN XOLBOY O’G’LI</t>
        </is>
      </c>
      <c r="F201" s="107" t="inlineStr">
        <is>
          <t xml:space="preserve">+998931204895 SMS O’ZI, 998948421212 SMS ONASI, 998992602399 SMS UY,</t>
        </is>
      </c>
      <c r="G201" s="107" t="inlineStr">
        <is>
          <t xml:space="preserve">ОКЖАР КФЙ, БОГАРО МФЙ, ОКЖАР КФЙ, БОГАРО МФЙ, БОГАРО,  uy:00</t>
        </is>
      </c>
      <c r="H201" s="108">
        <v>3.0</v>
      </c>
      <c r="I201" s="108">
        <v>2246835.16</v>
      </c>
      <c r="K201" s="107" t="inlineStr">
        <is>
          <t xml:space="preserve">11 kuni yopad | 1122</t>
        </is>
      </c>
    </row>
    <row r="202">
      <c r="A202" s="107" t="inlineStr">
        <is>
          <t xml:space="preserve">СУРХОНДАРЁ ВИЛОЯТИ</t>
        </is>
      </c>
      <c r="B202" s="107" t="inlineStr">
        <is>
          <t xml:space="preserve">Термиз филиали</t>
        </is>
      </c>
      <c r="C202" s="107" t="inlineStr">
        <is>
          <t xml:space="preserve">Обещали</t>
        </is>
      </c>
      <c r="D202" s="107" t="inlineStr">
        <is>
          <t xml:space="preserve">Кр-99031548-1</t>
        </is>
      </c>
      <c r="E202" s="107" t="inlineStr">
        <is>
          <t xml:space="preserve">HAMROYEV JUMANAZAR TOVQULOVICH</t>
        </is>
      </c>
      <c r="F202" s="107" t="inlineStr">
        <is>
          <t xml:space="preserve">99-488-17-17  SMS O'ZI, 99-777-52-62  SMS AYOLI, 99-959-09-79  SMS AKASI, 99-122-24-80  SMS YANGASI,</t>
        </is>
      </c>
      <c r="G202" s="107" t="inlineStr">
        <is>
          <t xml:space="preserve">SURXONDARYO VILOYATI BOYSUN TUMANI QO’SHCHINOR MFY OBGIR KO’CHASI 99-UY</t>
        </is>
      </c>
      <c r="H202" s="108">
        <v>3.0</v>
      </c>
      <c r="I202" s="108">
        <v>2185527.02</v>
      </c>
      <c r="K202" s="107" t="inlineStr">
        <is>
          <t xml:space="preserve">узи бн гаплпшилди бугун абетдан кейин тулов килади</t>
        </is>
      </c>
    </row>
    <row r="203">
      <c r="A203" s="109" t="inlineStr">
        <is>
          <t xml:space="preserve">ТОШКЕНТ ШАХРИ</t>
        </is>
      </c>
      <c r="B203" s="109" t="inlineStr">
        <is>
          <t xml:space="preserve">BOSH OFIS</t>
        </is>
      </c>
      <c r="C203" s="109" t="inlineStr">
        <is>
          <t xml:space="preserve">Обещали</t>
        </is>
      </c>
      <c r="D203" s="109" t="inlineStr">
        <is>
          <t xml:space="preserve">Кр-99025377-8</t>
        </is>
      </c>
      <c r="E203" s="109" t="inlineStr">
        <is>
          <t xml:space="preserve">RASULEVA MALIKA MAXAMATOVNA</t>
        </is>
      </c>
      <c r="F203" s="109" t="inlineStr">
        <is>
          <t xml:space="preserve">99-012-54-38 SMS, 95-055-21-06 SMS OZI 2, 99-821-04-08 SMS OGLI MUXAMADAMIN,</t>
        </is>
      </c>
      <c r="G203" s="109" t="inlineStr">
        <is>
          <t xml:space="preserve">TOSHKENT SHAHAR YUNUSOBOD TUMANI YURTOBOD MFY 19- MAVZESI 20-UY 65-XONADON</t>
        </is>
      </c>
      <c r="H203" s="110">
        <v>3.0</v>
      </c>
      <c r="I203" s="110">
        <v>5630400.26</v>
      </c>
      <c r="K203" s="109" t="inlineStr">
        <is>
          <t xml:space="preserve">15 kun tolid</t>
        </is>
      </c>
    </row>
    <row r="204">
      <c r="A204" s="109" t="inlineStr">
        <is>
          <t xml:space="preserve">ТОШКЕНТ ШАХРИ</t>
        </is>
      </c>
      <c r="B204" s="109" t="inlineStr">
        <is>
          <t xml:space="preserve">BOSH OFIS</t>
        </is>
      </c>
      <c r="C204" s="109" t="inlineStr">
        <is>
          <t xml:space="preserve">Обещали</t>
        </is>
      </c>
      <c r="D204" s="109" t="inlineStr">
        <is>
          <t xml:space="preserve">Кр-99010086-6</t>
        </is>
      </c>
      <c r="E204" s="109" t="inlineStr">
        <is>
          <t xml:space="preserve">OTAJONOV TO’LAGAN KARIMJON O’G’LI</t>
        </is>
      </c>
      <c r="F204" s="109" t="inlineStr">
        <is>
          <t xml:space="preserve">90-093-33-38  SMS UZI, 71-240-53-47  SMS UY, 93-004-80-09  SMS AKASI, 93-580-88-71  SMS ONASI, +998900933338 SMS O’ZI,</t>
        </is>
      </c>
      <c r="G204" s="109" t="inlineStr">
        <is>
          <t xml:space="preserve">Тошкент шахри Шайхонтохур тумани Кохота МФЙ, Кохота-Парашутная кучаси, 137-уй</t>
        </is>
      </c>
      <c r="H204" s="110">
        <v>3.0</v>
      </c>
      <c r="I204" s="110">
        <v>2861355.12</v>
      </c>
      <c r="K204" s="109" t="inlineStr">
        <is>
          <t xml:space="preserve">har kun qisman tolov</t>
        </is>
      </c>
    </row>
    <row r="205">
      <c r="A205" s="109" t="inlineStr">
        <is>
          <t xml:space="preserve">ТОШКЕНТ ШАХРИ</t>
        </is>
      </c>
      <c r="B205" s="109" t="inlineStr">
        <is>
          <t xml:space="preserve">BOSH OFIS</t>
        </is>
      </c>
      <c r="C205" s="109" t="inlineStr">
        <is>
          <t xml:space="preserve">Обещали</t>
        </is>
      </c>
      <c r="D205" s="109" t="inlineStr">
        <is>
          <t xml:space="preserve">Кр-99034730-2</t>
        </is>
      </c>
      <c r="E205" s="109" t="inlineStr">
        <is>
          <t xml:space="preserve">TO’LAGANOV SHOHRUHXON AKMAL O’G’LI</t>
        </is>
      </c>
      <c r="F205" s="109" t="inlineStr">
        <is>
          <t xml:space="preserve">998994363838 SMS OZI, 998946322959 SMS AKASI, 998946215057 SMS OPASI, 998772080441 SMS UKASI, 998990206116 SMS POCHASI, 998998203767 SMS OPASI,</t>
        </is>
      </c>
      <c r="G205" s="109" t="inlineStr">
        <is>
          <t xml:space="preserve">ТОШКЕНТ ШАХРИ ОЛМАЗОР ТУМАНИ ГАЛАБА МФЙ, ҚОРА-ҚАМИШ 2/4 ДАХАСИ,  uy:48 xonadon:10</t>
        </is>
      </c>
      <c r="H205" s="110">
        <v>3.0</v>
      </c>
      <c r="I205" s="110">
        <v>2212415.79</v>
      </c>
      <c r="K205" s="109" t="inlineStr">
        <is>
          <t xml:space="preserve">ertaga tolov qiladi</t>
        </is>
      </c>
    </row>
    <row r="206">
      <c r="A206" s="109" t="inlineStr">
        <is>
          <t xml:space="preserve">ТОШКЕНТ ШАХРИ</t>
        </is>
      </c>
      <c r="B206" s="109" t="inlineStr">
        <is>
          <t xml:space="preserve">BOSH OFIS</t>
        </is>
      </c>
      <c r="C206" s="109" t="inlineStr">
        <is>
          <t xml:space="preserve">Обещали</t>
        </is>
      </c>
      <c r="D206" s="109" t="inlineStr">
        <is>
          <t xml:space="preserve">Кр-99064501-1</t>
        </is>
      </c>
      <c r="E206" s="109" t="inlineStr">
        <is>
          <t xml:space="preserve">ABDULLAYEV DIYORBEK DILSHOD O’G’LI</t>
        </is>
      </c>
      <c r="F206" s="109" t="inlineStr">
        <is>
          <t xml:space="preserve">998200274871 SMS DO’STI, 998909780990 SMS AKAM, 998998890511 SMS O’ZI,</t>
        </is>
      </c>
      <c r="G206" s="109" t="inlineStr">
        <is>
          <t xml:space="preserve">Тонг МФЙ, 2-Тузел мавзеси, 20-уй, 11-хонадон</t>
        </is>
      </c>
      <c r="H206" s="110">
        <v>3.0</v>
      </c>
      <c r="I206" s="110">
        <v>1794307.99</v>
      </c>
      <c r="K206" s="109" t="inlineStr">
        <is>
          <t xml:space="preserve">10 chi kun tolid</t>
        </is>
      </c>
    </row>
    <row r="207">
      <c r="A207" s="109" t="inlineStr">
        <is>
          <t xml:space="preserve">ТОШКЕНТ ШАХРИ</t>
        </is>
      </c>
      <c r="B207" s="109" t="inlineStr">
        <is>
          <t xml:space="preserve">BOSH OFIS</t>
        </is>
      </c>
      <c r="C207" s="109" t="inlineStr">
        <is>
          <t xml:space="preserve">Обещали</t>
        </is>
      </c>
      <c r="D207" s="109" t="inlineStr">
        <is>
          <t xml:space="preserve">Кр-99031520-3</t>
        </is>
      </c>
      <c r="E207" s="109" t="inlineStr">
        <is>
          <t xml:space="preserve">MAMADALIYEV AZIM DO’STMUROTOVICH</t>
        </is>
      </c>
      <c r="F207" s="109" t="inlineStr">
        <is>
          <t xml:space="preserve">998974455162 SMS OZI, 998900697755 SMS AYOLI, 998990061757 SMS OGLI, 998917607172 SMS OGLI 2,</t>
        </is>
      </c>
      <c r="G207" s="109" t="inlineStr">
        <is>
          <t xml:space="preserve">TOSHKENT SHAHRI SIRG’ALI TUMANI BUNYODOBOD MFY, SERGELI 6A MAVZESI, 20-UY,20-XONADON</t>
        </is>
      </c>
      <c r="H207" s="110">
        <v>3.0</v>
      </c>
      <c r="I207" s="110">
        <v>896258.74</v>
      </c>
    </row>
    <row r="208">
      <c r="A208" s="111" t="inlineStr">
        <is>
          <t xml:space="preserve">ТОШКЕНТ ШАХРИ</t>
        </is>
      </c>
      <c r="B208" s="111" t="inlineStr">
        <is>
          <t xml:space="preserve">SUPER BRANCH</t>
        </is>
      </c>
      <c r="C208" s="111" t="inlineStr">
        <is>
          <t xml:space="preserve">Обещали</t>
        </is>
      </c>
      <c r="D208" s="111" t="inlineStr">
        <is>
          <t xml:space="preserve">Кр-99062594-1</t>
        </is>
      </c>
      <c r="E208" s="111" t="inlineStr">
        <is>
          <t xml:space="preserve">TILLAYEV ABBOSXON KAMALITDINOVICH</t>
        </is>
      </c>
      <c r="F208" s="111" t="inlineStr">
        <is>
          <t xml:space="preserve">998977143393 OZI, 998977493808 ONASI, 998998844343 ONASI,</t>
        </is>
      </c>
      <c r="G208" s="111" t="inlineStr">
        <is>
          <t xml:space="preserve">TOSHKENT SHAHAR OLMAZOR TUMANI KICHIK HALQA YO’LI KO’CHASI 5-UY 37-XONADON</t>
        </is>
      </c>
      <c r="H208" s="112">
        <v>94.0</v>
      </c>
      <c r="I208" s="112">
        <v>75496517.52</v>
      </c>
    </row>
    <row r="209">
      <c r="A209" s="111" t="inlineStr">
        <is>
          <t xml:space="preserve">ТОШКЕНТ ШАХРИ</t>
        </is>
      </c>
      <c r="B209" s="111" t="inlineStr">
        <is>
          <t xml:space="preserve">SUPER BRANCH</t>
        </is>
      </c>
      <c r="C209" s="111" t="inlineStr">
        <is>
          <t xml:space="preserve">Обещали</t>
        </is>
      </c>
      <c r="D209" s="111" t="inlineStr">
        <is>
          <t xml:space="preserve">Кр-99054221-1</t>
        </is>
      </c>
      <c r="E209" s="111" t="inlineStr">
        <is>
          <t xml:space="preserve">UMAROV SHERZOD FAYZULLAYEVICH</t>
        </is>
      </c>
      <c r="F209" s="111" t="inlineStr">
        <is>
          <t xml:space="preserve">+998912121780 Primary phone from road24, 998912121780 Primary phone from road24,</t>
        </is>
      </c>
      <c r="G209" s="111" t="inlineStr">
        <is>
          <t xml:space="preserve">Гулобод МФЙ, Гулобод мавзеси, 5-уй, 37-хонадон</t>
        </is>
      </c>
      <c r="H209" s="112">
        <v>66.0</v>
      </c>
      <c r="I209" s="112">
        <v>52394275.41</v>
      </c>
    </row>
    <row r="210">
      <c r="A210" s="111" t="inlineStr">
        <is>
          <t xml:space="preserve">ТОШКЕНТ ШАХРИ</t>
        </is>
      </c>
      <c r="B210" s="111" t="inlineStr">
        <is>
          <t xml:space="preserve">SUPER BRANCH</t>
        </is>
      </c>
      <c r="C210" s="111" t="inlineStr">
        <is>
          <t xml:space="preserve">Обещали</t>
        </is>
      </c>
      <c r="D210" s="111" t="inlineStr">
        <is>
          <t xml:space="preserve">Кр-99054221-2</t>
        </is>
      </c>
      <c r="E210" s="111" t="inlineStr">
        <is>
          <t xml:space="preserve">UMAROV SHERZOD FAYZULLAYEVICH</t>
        </is>
      </c>
      <c r="F210" s="111" t="inlineStr">
        <is>
          <t xml:space="preserve">+998912121780 Primary phone from road24, 998912121780 Primary phone from road24,</t>
        </is>
      </c>
      <c r="G210" s="111" t="inlineStr">
        <is>
          <t xml:space="preserve">Гулобод МФЙ, Гулобод мавзеси, 5-уй, 37-хонадон</t>
        </is>
      </c>
      <c r="H210" s="112">
        <v>66.0</v>
      </c>
      <c r="I210" s="112">
        <v>50210891.15</v>
      </c>
    </row>
    <row r="211">
      <c r="A211" s="111" t="inlineStr">
        <is>
          <t xml:space="preserve">ТОШКЕНТ ШАХРИ</t>
        </is>
      </c>
      <c r="B211" s="111" t="inlineStr">
        <is>
          <t xml:space="preserve">SUPER BRANCH</t>
        </is>
      </c>
      <c r="C211" s="111" t="inlineStr">
        <is>
          <t xml:space="preserve">Обещали</t>
        </is>
      </c>
      <c r="D211" s="111" t="inlineStr">
        <is>
          <t xml:space="preserve">Кр-99062904-1</t>
        </is>
      </c>
      <c r="E211" s="111" t="inlineStr">
        <is>
          <t xml:space="preserve">YULDASHOV ERGASHBOY ADILOVICH</t>
        </is>
      </c>
      <c r="F211" s="111" t="inlineStr">
        <is>
          <t xml:space="preserve">998773789771 SMS ONASI, 998993229751 SMS TOLOVCHI, 998998909751 SMS OZI,</t>
        </is>
      </c>
      <c r="G211" s="111" t="inlineStr">
        <is>
          <t xml:space="preserve">TOSHKENT SHAHAR QO’YLIQ OTA MFY QO’YLIQOTA KO’CASHI 9-UY 40-XONADON</t>
        </is>
      </c>
      <c r="H211" s="112">
        <v>94.0</v>
      </c>
      <c r="I211" s="112">
        <v>43384361.38</v>
      </c>
    </row>
    <row r="212">
      <c r="A212" s="111" t="inlineStr">
        <is>
          <t xml:space="preserve">ТОШКЕНТ ШАХРИ</t>
        </is>
      </c>
      <c r="B212" s="111" t="inlineStr">
        <is>
          <t xml:space="preserve">SUPER BRANCH</t>
        </is>
      </c>
      <c r="C212" s="111" t="inlineStr">
        <is>
          <t xml:space="preserve">Обещали</t>
        </is>
      </c>
      <c r="D212" s="111" t="inlineStr">
        <is>
          <t xml:space="preserve">Кр-99063240-1</t>
        </is>
      </c>
      <c r="E212" s="111" t="inlineStr">
        <is>
          <t xml:space="preserve">BOZOROV FAZLIDDIN JUMAYEVICH</t>
        </is>
      </c>
      <c r="F212" s="111" t="inlineStr">
        <is>
          <t xml:space="preserve">998777923003 SMS DADASI (ISHXONASI), 998908073003 SMS ISHXONMASI, 998936998569 SMS ONASI, 998999162111 SMS OZI,</t>
        </is>
      </c>
      <c r="G212" s="111" t="inlineStr">
        <is>
          <t xml:space="preserve">TOSHKENT SHAHAR YANGIHAYOT TUMANI BINOKOR MFY SANGZOR KOCHASI 24-UY 19-XONADON</t>
        </is>
      </c>
      <c r="H212" s="112">
        <v>36.0</v>
      </c>
      <c r="I212" s="112">
        <v>33591505.06</v>
      </c>
    </row>
    <row r="213">
      <c r="A213" s="111" t="inlineStr">
        <is>
          <t xml:space="preserve">ТОШКЕНТ ШАХРИ</t>
        </is>
      </c>
      <c r="B213" s="111" t="inlineStr">
        <is>
          <t xml:space="preserve">SUPER BRANCH</t>
        </is>
      </c>
      <c r="C213" s="111" t="inlineStr">
        <is>
          <t xml:space="preserve">Обещали</t>
        </is>
      </c>
      <c r="D213" s="111" t="inlineStr">
        <is>
          <t xml:space="preserve">Кр-99058714-1</t>
        </is>
      </c>
      <c r="E213" s="111" t="inlineStr">
        <is>
          <t xml:space="preserve">MAXMATQULOV AKROM ABDIRAXMONOVICH</t>
        </is>
      </c>
      <c r="F213" s="111" t="inlineStr">
        <is>
          <t xml:space="preserve">998909404168 SMS OZI, 998931464168 SMS AYOLI, 998933034168 SMS OGLI, 998983644168 SMS OZI,</t>
        </is>
      </c>
      <c r="G213" s="111" t="inlineStr">
        <is>
          <t xml:space="preserve">TOSHKENT SHAHAR YANGIHAYOT TUMANI YANGIHAYOT MFY TURSUNZODA KOCHASI 10-UY 164-XONODON</t>
        </is>
      </c>
      <c r="H213" s="112">
        <v>34.0</v>
      </c>
      <c r="I213" s="112">
        <v>23243431.69</v>
      </c>
    </row>
    <row r="214">
      <c r="A214" s="111" t="inlineStr">
        <is>
          <t xml:space="preserve">ТОШКЕНТ ШАХРИ</t>
        </is>
      </c>
      <c r="B214" s="111" t="inlineStr">
        <is>
          <t xml:space="preserve">SUPER BRANCH</t>
        </is>
      </c>
      <c r="C214" s="111" t="inlineStr">
        <is>
          <t xml:space="preserve">Обещали</t>
        </is>
      </c>
      <c r="D214" s="111" t="inlineStr">
        <is>
          <t xml:space="preserve">Кр-99064441-1</t>
        </is>
      </c>
      <c r="E214" s="111" t="inlineStr">
        <is>
          <t xml:space="preserve">ASLONOVA VAZIRA O’TKIROVNA</t>
        </is>
      </c>
      <c r="F214" s="111" t="inlineStr">
        <is>
          <t xml:space="preserve">998914411010 SMS ERI, 998941943010 SMS UZI,</t>
        </is>
      </c>
      <c r="G214" s="111" t="inlineStr">
        <is>
          <t xml:space="preserve">1-Чарх Камолон МФЙ, Зухурполвон кучаси, 7а-уй</t>
        </is>
      </c>
      <c r="H214" s="112">
        <v>3.0</v>
      </c>
      <c r="I214" s="112">
        <v>21519765.18</v>
      </c>
      <c r="K214" s="111" t="inlineStr">
        <is>
          <t xml:space="preserve">2323 | Shu xafta xarakat qladi | 250000000 | 16246030.38 | ertaga to'laydi</t>
        </is>
      </c>
    </row>
    <row r="215">
      <c r="A215" s="111" t="inlineStr">
        <is>
          <t xml:space="preserve">ТОШКЕНТ ШАХРИ</t>
        </is>
      </c>
      <c r="B215" s="111" t="inlineStr">
        <is>
          <t xml:space="preserve">SUPER BRANCH</t>
        </is>
      </c>
      <c r="C215" s="111" t="inlineStr">
        <is>
          <t xml:space="preserve">Обещали</t>
        </is>
      </c>
      <c r="D215" s="111" t="inlineStr">
        <is>
          <t xml:space="preserve">Кр-99063555-2</t>
        </is>
      </c>
      <c r="E215" s="111" t="inlineStr">
        <is>
          <t xml:space="preserve">SAIDOV SHOHRUH RAVSHAN O’G’LI</t>
        </is>
      </c>
      <c r="F215" s="111" t="inlineStr">
        <is>
          <t xml:space="preserve">998977441470 SMS Ozi, 998946810330 SMS Ozi, 998908709990 SMS Ukasi,</t>
        </is>
      </c>
      <c r="G215" s="111" t="inlineStr">
        <is>
          <t xml:space="preserve">Toshkent Shahar Uchtepa tumani zulfizar mfy taqachi kochasi 65-uy</t>
        </is>
      </c>
      <c r="H215" s="112">
        <v>34.0</v>
      </c>
      <c r="I215" s="112">
        <v>19735429.46</v>
      </c>
      <c r="K215" s="111" t="inlineStr">
        <is>
          <t xml:space="preserve">2088 | Ertaga kechga | 170000000 | 10654726.79 | yiban qayta tel qilamn deb ko'tarmadi</t>
        </is>
      </c>
    </row>
    <row r="216">
      <c r="A216" s="111" t="inlineStr">
        <is>
          <t xml:space="preserve">ТОШКЕНТ ШАХРИ</t>
        </is>
      </c>
      <c r="B216" s="111" t="inlineStr">
        <is>
          <t xml:space="preserve">SUPER BRANCH</t>
        </is>
      </c>
      <c r="C216" s="111" t="inlineStr">
        <is>
          <t xml:space="preserve">Обещали</t>
        </is>
      </c>
      <c r="D216" s="111" t="inlineStr">
        <is>
          <t xml:space="preserve">Кр-99037022-3</t>
        </is>
      </c>
      <c r="E216" s="111" t="inlineStr">
        <is>
          <t xml:space="preserve">SODIQOV ULUG’BEK ZIYODULLA O’GLI</t>
        </is>
      </c>
      <c r="F216" s="111" t="inlineStr">
        <is>
          <t xml:space="preserve">998935740900 SMS OZI, 998971017799 SMS AKASI, 998900037531 SMS AKASI, 998909707175 SMS AKASI, 998909707571 SMS uzi ulug’bek new, 998971017799 newww,</t>
        </is>
      </c>
      <c r="G216" s="111" t="inlineStr">
        <is>
          <t xml:space="preserve">TOSHKENT SHAHAR YASHNOBOD TUMANI 2-AVIASOZLAR MAVZESI 26-UY 66- XONADON</t>
        </is>
      </c>
      <c r="H216" s="112">
        <v>35.0</v>
      </c>
      <c r="I216" s="112">
        <v>15687083.67</v>
      </c>
      <c r="K216" s="111" t="inlineStr">
        <is>
          <t xml:space="preserve">17,00 datolidi | bugunga to'lov bo'ladi</t>
        </is>
      </c>
    </row>
    <row r="217">
      <c r="A217" s="111" t="inlineStr">
        <is>
          <t xml:space="preserve">ТОШКЕНТ ШАХРИ</t>
        </is>
      </c>
      <c r="B217" s="111" t="inlineStr">
        <is>
          <t xml:space="preserve">SUPER BRANCH</t>
        </is>
      </c>
      <c r="C217" s="111" t="inlineStr">
        <is>
          <t xml:space="preserve">Обещали</t>
        </is>
      </c>
      <c r="D217" s="111" t="inlineStr">
        <is>
          <t xml:space="preserve">Кр-99063555-1</t>
        </is>
      </c>
      <c r="E217" s="111" t="inlineStr">
        <is>
          <t xml:space="preserve">SAIDOV SHOHRUH RAVSHAN O’G’LI</t>
        </is>
      </c>
      <c r="F217" s="111" t="inlineStr">
        <is>
          <t xml:space="preserve">998977441470 SMS Ozi, 998946810330 SMS Ozi, 998908709990 SMS Ukasi,</t>
        </is>
      </c>
      <c r="G217" s="111" t="inlineStr">
        <is>
          <t xml:space="preserve">Toshkent Shahar Uchtepa tumani zulfizar mfy taqachi kochasi 65-uy</t>
        </is>
      </c>
      <c r="H217" s="112">
        <v>3.0</v>
      </c>
      <c r="I217" s="112">
        <v>15328480.71</v>
      </c>
      <c r="K217" s="111" t="inlineStr">
        <is>
          <t xml:space="preserve">2087 | Ertaga kechga | 125000000 | 8701505.42 | yiban qayta tel qilamn deb ko'tarmadi</t>
        </is>
      </c>
    </row>
    <row r="218">
      <c r="A218" s="111" t="inlineStr">
        <is>
          <t xml:space="preserve">ТОШКЕНТ ШАХРИ</t>
        </is>
      </c>
      <c r="B218" s="111" t="inlineStr">
        <is>
          <t xml:space="preserve">SUPER BRANCH</t>
        </is>
      </c>
      <c r="C218" s="111" t="inlineStr">
        <is>
          <t xml:space="preserve">Обещали</t>
        </is>
      </c>
      <c r="D218" s="111" t="inlineStr">
        <is>
          <t xml:space="preserve">Кр-99031250-4</t>
        </is>
      </c>
      <c r="E218" s="111" t="inlineStr">
        <is>
          <t xml:space="preserve">SADIKOVA ZILOLA ANVAROVNA</t>
        </is>
      </c>
      <c r="F218" s="111" t="inlineStr">
        <is>
          <t xml:space="preserve">998977533163 SMS O’ZI, 998957533150 SMS O’ZI2, 998933730140 SMS SHERIK, 998999161133 SMS UKASI, 998909755703 SMS IJARA TURGAN UYINI EGASI,</t>
        </is>
      </c>
      <c r="G218" s="111" t="inlineStr">
        <is>
          <t xml:space="preserve">TOSHKENT SHAHRI MIROBOD TUMANI CHINOR MFY QOYLIQ 1-MAVZESI 4-UY 11-XONADON</t>
        </is>
      </c>
      <c r="H218" s="112">
        <v>3.0</v>
      </c>
      <c r="I218" s="112">
        <v>13570038.87</v>
      </c>
    </row>
    <row r="219">
      <c r="A219" s="111" t="inlineStr">
        <is>
          <t xml:space="preserve">ТОШКЕНТ ШАХРИ</t>
        </is>
      </c>
      <c r="B219" s="111" t="inlineStr">
        <is>
          <t xml:space="preserve">SUPER BRANCH</t>
        </is>
      </c>
      <c r="C219" s="111" t="inlineStr">
        <is>
          <t xml:space="preserve">Обещали</t>
        </is>
      </c>
      <c r="D219" s="111" t="inlineStr">
        <is>
          <t xml:space="preserve">Кр-99063593-1</t>
        </is>
      </c>
      <c r="E219" s="111" t="inlineStr">
        <is>
          <t xml:space="preserve">BOBOXONOVA NASIBA OLIM-QIZI</t>
        </is>
      </c>
      <c r="F219" s="111" t="inlineStr">
        <is>
          <t xml:space="preserve">998958858282 SMS UZI, 998959491404 SMS UZI2, 998997999676 SMS AYOLI,</t>
        </is>
      </c>
      <c r="G219" s="111" t="inlineStr">
        <is>
          <t xml:space="preserve">Dilbuloq MFY, Sh.Rustaveli ko’chasi, 69-uy, 24-xonadon</t>
        </is>
      </c>
      <c r="H219" s="112">
        <v>3.0</v>
      </c>
      <c r="I219" s="112">
        <v>11138325.65</v>
      </c>
      <c r="K219" s="111" t="inlineStr">
        <is>
          <t xml:space="preserve">2097 | Uzogi xaftani oxirigacha debdi | 180000000 | 3775587.42</t>
        </is>
      </c>
    </row>
    <row r="220">
      <c r="A220" s="111" t="inlineStr">
        <is>
          <t xml:space="preserve">ТОШКЕНТ ШАХРИ</t>
        </is>
      </c>
      <c r="B220" s="111" t="inlineStr">
        <is>
          <t xml:space="preserve">SUPER BRANCH</t>
        </is>
      </c>
      <c r="C220" s="111" t="inlineStr">
        <is>
          <t xml:space="preserve">Обещали</t>
        </is>
      </c>
      <c r="D220" s="111" t="inlineStr">
        <is>
          <t xml:space="preserve">Кр-99033616-2</t>
        </is>
      </c>
      <c r="E220" s="111" t="inlineStr">
        <is>
          <t xml:space="preserve">AKBAROV SHAMSHODBEK SANJAR O’G’LI</t>
        </is>
      </c>
      <c r="F220" s="111" t="inlineStr">
        <is>
          <t xml:space="preserve">998992828111 SMS O’ZI , 998200000019 SMS AKASI, 998999986679 SMS AKASI 2, 998019500172 SMS O’ZI 2,</t>
        </is>
      </c>
      <c r="G220" s="111" t="inlineStr">
        <is>
          <t xml:space="preserve">TOSHKENT SHAHAR YUNUSOBOD TUMANI AMIR TEMUR KO'CHASI 2,</t>
        </is>
      </c>
      <c r="H220" s="112">
        <v>3.0</v>
      </c>
      <c r="I220" s="112">
        <v>8983479.07</v>
      </c>
      <c r="K220" s="111" t="inlineStr">
        <is>
          <t xml:space="preserve">25 kun toliod</t>
        </is>
      </c>
    </row>
    <row r="221">
      <c r="A221" s="111" t="inlineStr">
        <is>
          <t xml:space="preserve">ТОШКЕНТ ШАХРИ</t>
        </is>
      </c>
      <c r="B221" s="111" t="inlineStr">
        <is>
          <t xml:space="preserve">SUPER BRANCH</t>
        </is>
      </c>
      <c r="C221" s="111" t="inlineStr">
        <is>
          <t xml:space="preserve">Обещали</t>
        </is>
      </c>
      <c r="D221" s="111" t="inlineStr">
        <is>
          <t xml:space="preserve">Кр-99034856-3</t>
        </is>
      </c>
      <c r="E221" s="111" t="inlineStr">
        <is>
          <t xml:space="preserve">DJUMAYEV IXTIYOR JAMGIROVICH</t>
        </is>
      </c>
      <c r="F221" s="111" t="inlineStr">
        <is>
          <t xml:space="preserve">998900143883 SMS O’ZI, 998909450954 SMS AYOLI, 998953136661 SMS QIZI, 998947575888 SMS O’G’LI, 998935392278 SMS OGLI NEW,</t>
        </is>
      </c>
      <c r="G221" s="111" t="inlineStr">
        <is>
          <t xml:space="preserve">TOSHKENT SHAHAR SIRG’ALI TUMANI MADANIYAT MFY,KUYLYUK 5-MAVZESI, 13-UY, 23-XONADON </t>
        </is>
      </c>
      <c r="H221" s="112">
        <v>3.0</v>
      </c>
      <c r="I221" s="112">
        <v>7302326.11</v>
      </c>
      <c r="K221" s="111" t="inlineStr">
        <is>
          <t xml:space="preserve">1 haftalada tolid</t>
        </is>
      </c>
    </row>
    <row r="222">
      <c r="A222" s="111" t="inlineStr">
        <is>
          <t xml:space="preserve">ТОШКЕНТ ШАХРИ</t>
        </is>
      </c>
      <c r="B222" s="111" t="inlineStr">
        <is>
          <t xml:space="preserve">SUPER BRANCH</t>
        </is>
      </c>
      <c r="C222" s="111" t="inlineStr">
        <is>
          <t xml:space="preserve">Обещали</t>
        </is>
      </c>
      <c r="D222" s="111" t="inlineStr">
        <is>
          <t xml:space="preserve">Кр-99063090-1</t>
        </is>
      </c>
      <c r="E222" s="111" t="inlineStr">
        <is>
          <t xml:space="preserve">RUSTAMOV JASURBEK QIYOMOVICH</t>
        </is>
      </c>
      <c r="F222" s="111" t="inlineStr">
        <is>
          <t xml:space="preserve">998978682627 SMS OZI, 998939697577 SMS JIYANI, 998730003572 SMS JIYANI 2, 998500036005 SMS AKASI,</t>
        </is>
      </c>
      <c r="G222" s="111" t="inlineStr">
        <is>
          <t xml:space="preserve">TOSHKENT SHAHAR SHAYXONTOXUR TUMANI TAXTAPUL MFY ZULFIYAXONIM KO’CHASI 29-UY,19-XONADON</t>
        </is>
      </c>
      <c r="H222" s="112">
        <v>3.0</v>
      </c>
      <c r="I222" s="112">
        <v>7143942.92</v>
      </c>
      <c r="K222" s="111" t="inlineStr">
        <is>
          <t xml:space="preserve">mayda mayda yopad</t>
        </is>
      </c>
    </row>
    <row r="223">
      <c r="A223" s="111" t="inlineStr">
        <is>
          <t xml:space="preserve">ТОШКЕНТ ШАХРИ</t>
        </is>
      </c>
      <c r="B223" s="111" t="inlineStr">
        <is>
          <t xml:space="preserve">SUPER BRANCH</t>
        </is>
      </c>
      <c r="C223" s="111" t="inlineStr">
        <is>
          <t xml:space="preserve">Обещали</t>
        </is>
      </c>
      <c r="D223" s="111" t="inlineStr">
        <is>
          <t xml:space="preserve">Кр-99018233-5</t>
        </is>
      </c>
      <c r="E223" s="111" t="inlineStr">
        <is>
          <t xml:space="preserve">XODJAYEV KAXRAMON ERKINOVICH</t>
        </is>
      </c>
      <c r="F223" s="111" t="inlineStr">
        <is>
          <t xml:space="preserve">93-609-93-00  SMS OZI, 97-707-76-90  SMS OZI 2, 99-326-20-49  SMS O'G'LI, 33-322-11-20  SMS O'G'LI 2 , 97-888-41-01 SMS GAROVCHIS,</t>
        </is>
      </c>
      <c r="G223" s="111" t="inlineStr">
        <is>
          <t xml:space="preserve">TOSHKENT SHAHRI OLMAZOR TUMANI SAG'BON, 30 BERK KO'CHASI 12 - 101- XONADON</t>
        </is>
      </c>
      <c r="H223" s="112">
        <v>3.0</v>
      </c>
      <c r="I223" s="112">
        <v>7016799.45</v>
      </c>
      <c r="K223" s="111" t="inlineStr">
        <is>
          <t xml:space="preserve">25 kun tolid</t>
        </is>
      </c>
    </row>
    <row r="224">
      <c r="A224" s="111" t="inlineStr">
        <is>
          <t xml:space="preserve">ТОШКЕНТ ШАХРИ</t>
        </is>
      </c>
      <c r="B224" s="111" t="inlineStr">
        <is>
          <t xml:space="preserve">SUPER BRANCH</t>
        </is>
      </c>
      <c r="C224" s="111" t="inlineStr">
        <is>
          <t xml:space="preserve">Обещали</t>
        </is>
      </c>
      <c r="D224" s="111" t="inlineStr">
        <is>
          <t xml:space="preserve">Кр-99063113-1</t>
        </is>
      </c>
      <c r="E224" s="111" t="inlineStr">
        <is>
          <t xml:space="preserve">MAXMUDJONOV ZIYO MA’RUFJON O’G’LI</t>
        </is>
      </c>
      <c r="F224" s="111" t="inlineStr">
        <is>
          <t xml:space="preserve">998971851991 OZI, 998938031991 AYOLI, 998940071900 FARRUX QARINDOSHI,</t>
        </is>
      </c>
      <c r="G224" s="111" t="inlineStr">
        <is>
          <t xml:space="preserve">TOSHKENT SHAHAR YAKKASAROY TUMANI QUSHBEGI MFY SOLAR KO’CHASI 10-UY, 93 XONADON</t>
        </is>
      </c>
      <c r="H224" s="112">
        <v>3.0</v>
      </c>
      <c r="I224" s="112">
        <v>6842903.68</v>
      </c>
      <c r="K224" s="111" t="inlineStr">
        <is>
          <t xml:space="preserve">1966 | kechgacha xarakat qlaman | 60000000 | 4444542</t>
        </is>
      </c>
    </row>
    <row r="225">
      <c r="A225" s="111" t="inlineStr">
        <is>
          <t xml:space="preserve">ТОШКЕНТ ШАХРИ</t>
        </is>
      </c>
      <c r="B225" s="111" t="inlineStr">
        <is>
          <t xml:space="preserve">SUPER BRANCH</t>
        </is>
      </c>
      <c r="C225" s="111" t="inlineStr">
        <is>
          <t xml:space="preserve">Обещали</t>
        </is>
      </c>
      <c r="D225" s="111" t="inlineStr">
        <is>
          <t xml:space="preserve">Кр-99004337-2</t>
        </is>
      </c>
      <c r="E225" s="111" t="inlineStr">
        <is>
          <t xml:space="preserve">GULAMOV AVAZBEK IBAYDULLAYEVICH</t>
        </is>
      </c>
      <c r="F225" s="111" t="inlineStr">
        <is>
          <t xml:space="preserve">99-881-87-77 SMS UZI HAR DOIM ISHLAYDI , 99-004-00-07 SMS UZI, 998909636333 SMS OZI 2, 998998816111 SMS AYOLI,</t>
        </is>
      </c>
      <c r="G225" s="111" t="inlineStr">
        <is>
          <t xml:space="preserve">TOSHKENT SHAHAR SIRG’ALI TUMANI SIRG’ALI 5-51-12</t>
        </is>
      </c>
      <c r="H225" s="112">
        <v>6.0</v>
      </c>
      <c r="I225" s="112">
        <v>6674406.37</v>
      </c>
      <c r="K225" s="111" t="inlineStr">
        <is>
          <t xml:space="preserve">10 kun tolab beradi</t>
        </is>
      </c>
    </row>
    <row r="226">
      <c r="A226" s="111" t="inlineStr">
        <is>
          <t xml:space="preserve">ТОШКЕНТ ШАХРИ</t>
        </is>
      </c>
      <c r="B226" s="111" t="inlineStr">
        <is>
          <t xml:space="preserve">SUPER BRANCH</t>
        </is>
      </c>
      <c r="C226" s="111" t="inlineStr">
        <is>
          <t xml:space="preserve">Обещали</t>
        </is>
      </c>
      <c r="D226" s="111" t="inlineStr">
        <is>
          <t xml:space="preserve">Кр-99029253-3</t>
        </is>
      </c>
      <c r="E226" s="111" t="inlineStr">
        <is>
          <t xml:space="preserve">KURBANOV BAXRAM ILXOMOVICH</t>
        </is>
      </c>
      <c r="F226" s="111" t="inlineStr">
        <is>
          <t xml:space="preserve">998910088855 SMS O’ZI new, 998944051414 SMS JIYANI, 998950451414 SMS AKASI, 998994831414 SMS JIYANI 2,</t>
        </is>
      </c>
      <c r="G226" s="111" t="inlineStr">
        <is>
          <t xml:space="preserve">Ийкота МФЙ, Тараккиёт кучаси, 38-уй</t>
        </is>
      </c>
      <c r="H226" s="112">
        <v>3.0</v>
      </c>
      <c r="I226" s="112">
        <v>6386359.33</v>
      </c>
      <c r="K226" s="111" t="inlineStr">
        <is>
          <t xml:space="preserve">ertaga oylik tushadi kartadan tortvolamiz</t>
        </is>
      </c>
    </row>
    <row r="227">
      <c r="A227" s="111" t="inlineStr">
        <is>
          <t xml:space="preserve">ТОШКЕНТ ШАХРИ</t>
        </is>
      </c>
      <c r="B227" s="111" t="inlineStr">
        <is>
          <t xml:space="preserve">SUPER BRANCH</t>
        </is>
      </c>
      <c r="C227" s="111" t="inlineStr">
        <is>
          <t xml:space="preserve">Обещали</t>
        </is>
      </c>
      <c r="D227" s="111" t="inlineStr">
        <is>
          <t xml:space="preserve">Кр-99036508-2</t>
        </is>
      </c>
      <c r="E227" s="111" t="inlineStr">
        <is>
          <t xml:space="preserve">ALAYEVA XILOLA ABDUVALIYEVNA</t>
        </is>
      </c>
      <c r="F227" s="111" t="inlineStr">
        <is>
          <t xml:space="preserve">998770557477 SMS OZI, 998507058393 SMS OPASI, 998504044662 SMS O’G’LI, 998994704544 SMS OTASI, +998770557477 Primary phone from road24,</t>
        </is>
      </c>
      <c r="G227" s="111" t="inlineStr">
        <is>
          <t xml:space="preserve">TOSHKENT VILOYATI TOSHKENT TUMANI KIZGALDOK KFY KELES YULI KO’CHASI 180-UY B-BLOK 3-XONADON</t>
        </is>
      </c>
      <c r="H227" s="112">
        <v>3.0</v>
      </c>
      <c r="I227" s="112">
        <v>6283866.31</v>
      </c>
      <c r="K227" s="111" t="inlineStr">
        <is>
          <t xml:space="preserve">15 kun tolid</t>
        </is>
      </c>
    </row>
    <row r="228">
      <c r="A228" s="111" t="inlineStr">
        <is>
          <t xml:space="preserve">ТОШКЕНТ ШАХРИ</t>
        </is>
      </c>
      <c r="B228" s="111" t="inlineStr">
        <is>
          <t xml:space="preserve">SUPER BRANCH</t>
        </is>
      </c>
      <c r="C228" s="111" t="inlineStr">
        <is>
          <t xml:space="preserve">Обещали</t>
        </is>
      </c>
      <c r="D228" s="111" t="inlineStr">
        <is>
          <t xml:space="preserve">Кр-99064270-3</t>
        </is>
      </c>
      <c r="E228" s="111" t="inlineStr">
        <is>
          <t xml:space="preserve">MAXMADIXANOV SAID-MUXAMMAD MUSTAQIM O’G’LI</t>
        </is>
      </c>
      <c r="F228" s="111" t="inlineStr">
        <is>
          <t xml:space="preserve">998888624884 SMS DOSTI, 998909777825 SMS UZI, 998949772578 SMS DOSTI,</t>
        </is>
      </c>
      <c r="G228" s="111" t="inlineStr">
        <is>
          <t xml:space="preserve">БОШЛИҚ МФЙ, БОШЛИК ДАХАСИ,  uy:1 xonadon:65</t>
        </is>
      </c>
      <c r="H228" s="112">
        <v>3.0</v>
      </c>
      <c r="I228" s="112">
        <v>5616855.0</v>
      </c>
      <c r="K228" s="111" t="inlineStr">
        <is>
          <t xml:space="preserve">2288 | Uzogi dushanbagacha | 60000000 | 3899046.76</t>
        </is>
      </c>
    </row>
    <row r="229">
      <c r="A229" s="111" t="inlineStr">
        <is>
          <t xml:space="preserve">ТОШКЕНТ ШАХРИ</t>
        </is>
      </c>
      <c r="B229" s="111" t="inlineStr">
        <is>
          <t xml:space="preserve">SUPER BRANCH</t>
        </is>
      </c>
      <c r="C229" s="111" t="inlineStr">
        <is>
          <t xml:space="preserve">Обещали</t>
        </is>
      </c>
      <c r="D229" s="111" t="inlineStr">
        <is>
          <t xml:space="preserve">Кр-99063693-1</t>
        </is>
      </c>
      <c r="E229" s="111" t="inlineStr">
        <is>
          <t xml:space="preserve">TURSUNOV TOXIR GAYBULLAYEVICH</t>
        </is>
      </c>
      <c r="F229" s="111" t="inlineStr">
        <is>
          <t xml:space="preserve">998930969696 SMS UZI, 998981234474 SMS DOSTI, 998990000096 SMS AYOLI,</t>
        </is>
      </c>
      <c r="G229" s="111" t="inlineStr">
        <is>
          <t xml:space="preserve">АБДУЛЛА ҚОДИРИЙ МФЙ, ЗАФАРИЙ, 1 ТОР КЎЧАСИ,  uy:1</t>
        </is>
      </c>
      <c r="H229" s="112">
        <v>3.0</v>
      </c>
      <c r="I229" s="112">
        <v>5585875.61</v>
      </c>
      <c r="K229" s="111" t="inlineStr">
        <is>
          <t xml:space="preserve">2123 | Kartaga tashamoqchi | 90000000 | 1889776.56 | xoz officega kevotti</t>
        </is>
      </c>
    </row>
    <row r="230">
      <c r="A230" s="111" t="inlineStr">
        <is>
          <t xml:space="preserve">ТОШКЕНТ ШАХРИ</t>
        </is>
      </c>
      <c r="B230" s="111" t="inlineStr">
        <is>
          <t xml:space="preserve">SUPER BRANCH</t>
        </is>
      </c>
      <c r="C230" s="111" t="inlineStr">
        <is>
          <t xml:space="preserve">Обещали</t>
        </is>
      </c>
      <c r="D230" s="111" t="inlineStr">
        <is>
          <t xml:space="preserve">Кр-99052886-1</t>
        </is>
      </c>
      <c r="E230" s="111" t="inlineStr">
        <is>
          <t xml:space="preserve">MASIMOVA UMIDA MAXAMADOVNA</t>
        </is>
      </c>
      <c r="F230" s="111" t="inlineStr">
        <is>
          <t xml:space="preserve">998903313637 SMS ERI, 998907371414 SMS OGLI, 998909441369 SMS OZI,</t>
        </is>
      </c>
      <c r="G230" s="111" t="inlineStr">
        <is>
          <t xml:space="preserve">KICHIK HALQA YOLI 18-A UY.</t>
        </is>
      </c>
      <c r="H230" s="112">
        <v>2.0</v>
      </c>
      <c r="I230" s="112">
        <v>5019131.35</v>
      </c>
      <c r="K230" s="111" t="inlineStr">
        <is>
          <t xml:space="preserve">1465 | Uyini sotishga bergan ekan puli tushishiga toliq yopadi | 80000000 | 1830334.94</t>
        </is>
      </c>
    </row>
    <row r="231">
      <c r="A231" s="111" t="inlineStr">
        <is>
          <t xml:space="preserve">ТОШКЕНТ ШАХРИ</t>
        </is>
      </c>
      <c r="B231" s="111" t="inlineStr">
        <is>
          <t xml:space="preserve">SUPER BRANCH</t>
        </is>
      </c>
      <c r="C231" s="111" t="inlineStr">
        <is>
          <t xml:space="preserve">Обещали</t>
        </is>
      </c>
      <c r="D231" s="111" t="inlineStr">
        <is>
          <t xml:space="preserve">Кр-99036167-2</t>
        </is>
      </c>
      <c r="E231" s="111" t="inlineStr">
        <is>
          <t xml:space="preserve">AXMEDOV BOTIR YULDASHEVICH</t>
        </is>
      </c>
      <c r="F231" s="111" t="inlineStr">
        <is>
          <t xml:space="preserve">998998200012 SMS O’ZI , 998710500122 SMS O’ZI 2, 998903165191 SMS AYOLI , 998990952222 SMS O’G’LI ,</t>
        </is>
      </c>
      <c r="G231" s="111" t="inlineStr">
        <is>
          <t xml:space="preserve">TOSHKENT SHAHAR SIRG’ALI TUMANI YANGI TURMUSH 5-TOR KO’CHASI 25-UY</t>
        </is>
      </c>
      <c r="H231" s="112">
        <v>6.0</v>
      </c>
      <c r="I231" s="112">
        <v>4543645.58</v>
      </c>
      <c r="K231" s="111" t="inlineStr">
        <is>
          <t xml:space="preserve">25 kun tolov qiladi</t>
        </is>
      </c>
    </row>
    <row r="232">
      <c r="A232" s="111" t="inlineStr">
        <is>
          <t xml:space="preserve">ТОШКЕНТ ШАХРИ</t>
        </is>
      </c>
      <c r="B232" s="111" t="inlineStr">
        <is>
          <t xml:space="preserve">SUPER BRANCH</t>
        </is>
      </c>
      <c r="C232" s="111" t="inlineStr">
        <is>
          <t xml:space="preserve">Обещали</t>
        </is>
      </c>
      <c r="D232" s="111" t="inlineStr">
        <is>
          <t xml:space="preserve">Кр-99064426-1</t>
        </is>
      </c>
      <c r="E232" s="111" t="inlineStr">
        <is>
          <t xml:space="preserve">XOLMUXAMEDOV FAXRIDDIN ABDULLAYEVICH</t>
        </is>
      </c>
      <c r="F232" s="111" t="inlineStr">
        <is>
          <t xml:space="preserve">998935171455 SMS UZI, 998936966976 SMS UGLI, 998946976976 SMS AYOLI,</t>
        </is>
      </c>
      <c r="G232" s="111" t="inlineStr">
        <is>
          <t xml:space="preserve">ШАРАФ МФЙ, КИЗИЛ ШАРК ДАХАСИ,  uy:27 xonadon:131</t>
        </is>
      </c>
      <c r="H232" s="112">
        <v>3.0</v>
      </c>
      <c r="I232" s="112">
        <v>4534355.42</v>
      </c>
      <c r="K232" s="111" t="inlineStr">
        <is>
          <t xml:space="preserve">2319 | Juma kuniga | 120000000 | 2014718.12 | ertaga abetgacha to'lov qiladi</t>
        </is>
      </c>
    </row>
    <row r="233">
      <c r="A233" s="111" t="inlineStr">
        <is>
          <t xml:space="preserve">ТОШКЕНТ ШАХРИ</t>
        </is>
      </c>
      <c r="B233" s="111" t="inlineStr">
        <is>
          <t xml:space="preserve">SUPER BRANCH</t>
        </is>
      </c>
      <c r="C233" s="111" t="inlineStr">
        <is>
          <t xml:space="preserve">Обещали</t>
        </is>
      </c>
      <c r="D233" s="111" t="inlineStr">
        <is>
          <t xml:space="preserve">Кр-99063839-1</t>
        </is>
      </c>
      <c r="E233" s="111" t="inlineStr">
        <is>
          <t xml:space="preserve">A’ZAMOV DONIYORJON AKROMJON O’G’LI</t>
        </is>
      </c>
      <c r="F233" s="111" t="inlineStr">
        <is>
          <t xml:space="preserve">998331405858 SMS UZI, 998909781111 SMS ONASI2, 998999786853 SMS ONASI,</t>
        </is>
      </c>
      <c r="G233" s="111" t="inlineStr">
        <is>
          <t xml:space="preserve">г. Ташкент, Учтепинский район, ул. Мехмондуст, Бекобод МСГ, 17- Дом, -</t>
        </is>
      </c>
      <c r="H233" s="112">
        <v>3.0</v>
      </c>
      <c r="I233" s="112">
        <v>4406008.16</v>
      </c>
      <c r="K233" s="111" t="inlineStr">
        <is>
          <t xml:space="preserve">2164 | Bochkadan kelebdi ekan yaqn qob telefoon qladi | 40000000 | 2825529.4 | sms yozvordim uziga</t>
        </is>
      </c>
    </row>
    <row r="234">
      <c r="A234" s="111" t="inlineStr">
        <is>
          <t xml:space="preserve">ТОШКЕНТ ШАХРИ</t>
        </is>
      </c>
      <c r="B234" s="111" t="inlineStr">
        <is>
          <t xml:space="preserve">SUPER BRANCH</t>
        </is>
      </c>
      <c r="C234" s="111" t="inlineStr">
        <is>
          <t xml:space="preserve">Обещали</t>
        </is>
      </c>
      <c r="D234" s="111" t="inlineStr">
        <is>
          <t xml:space="preserve">Кр-99003301-9</t>
        </is>
      </c>
      <c r="E234" s="111" t="inlineStr">
        <is>
          <t xml:space="preserve">MIRZAYEV MUXAMMADJON IKROMOVICH</t>
        </is>
      </c>
      <c r="F234" s="111" t="inlineStr">
        <is>
          <t xml:space="preserve">998903183433 SMS OZI, 998946067872 SMS AYOLI, 93-510-18-90 SMS UKASI (бегона тел клинмасин), 90-187-51-72  SMS OTASI, 77-079-04-93 20 million  tolovchisi  798-MFL SHUNI TOLOVCHISI,</t>
        </is>
      </c>
      <c r="G234" s="111" t="inlineStr">
        <is>
          <t xml:space="preserve">TOSHKENT VILOYATI ZANGI-OTA TUMANI XONOBOD QFY SOXIBKOR 6 14</t>
        </is>
      </c>
      <c r="H234" s="112">
        <v>3.0</v>
      </c>
      <c r="I234" s="112">
        <v>4366858.78</v>
      </c>
    </row>
    <row r="235">
      <c r="A235" s="111" t="inlineStr">
        <is>
          <t xml:space="preserve">ТОШКЕНТ ШАХРИ</t>
        </is>
      </c>
      <c r="B235" s="111" t="inlineStr">
        <is>
          <t xml:space="preserve">SUPER BRANCH</t>
        </is>
      </c>
      <c r="C235" s="111" t="inlineStr">
        <is>
          <t xml:space="preserve">Обещали</t>
        </is>
      </c>
      <c r="D235" s="111" t="inlineStr">
        <is>
          <t xml:space="preserve">Кр-99059771-1</t>
        </is>
      </c>
      <c r="E235" s="111" t="inlineStr">
        <is>
          <t xml:space="preserve">TOHIROV MUHAMMAD ZAYD SHOKIR O’G’LI</t>
        </is>
      </c>
      <c r="F235" s="111" t="inlineStr">
        <is>
          <t xml:space="preserve">998903452720 SMS OZI, 998946300602 SMS AKASI, 998949180912 SMS AKASI 2,</t>
        </is>
      </c>
      <c r="G235" s="111" t="inlineStr">
        <is>
          <t xml:space="preserve">SAMARBONU KO’CHASI 51-UY</t>
        </is>
      </c>
      <c r="H235" s="112">
        <v>3.0</v>
      </c>
      <c r="I235" s="112">
        <v>3988140.78</v>
      </c>
      <c r="K235" s="111" t="inlineStr">
        <is>
          <t xml:space="preserve">1699 | Bugun 8 9 | 65000000 | 2124591.16 | 7 LARDA TO'LOV QILADI</t>
        </is>
      </c>
    </row>
    <row r="236">
      <c r="A236" s="111" t="inlineStr">
        <is>
          <t xml:space="preserve">ТОШКЕНТ ШАХРИ</t>
        </is>
      </c>
      <c r="B236" s="111" t="inlineStr">
        <is>
          <t xml:space="preserve">SUPER BRANCH</t>
        </is>
      </c>
      <c r="C236" s="111" t="inlineStr">
        <is>
          <t xml:space="preserve">Обещали</t>
        </is>
      </c>
      <c r="D236" s="111" t="inlineStr">
        <is>
          <t xml:space="preserve">Кр-99021371-2</t>
        </is>
      </c>
      <c r="E236" s="111" t="inlineStr">
        <is>
          <t xml:space="preserve">XAMIDXODJAYEV ZUXRUTDIN IKRAMOVICH</t>
        </is>
      </c>
      <c r="F236" s="111" t="inlineStr">
        <is>
          <t xml:space="preserve">90-031-15-65 SMS OZI, 97-131-63-60 SMS ONASI, 90-823-66-00 SMS AKASI, 91-774-01-68 SMS O’G’LI,</t>
        </is>
      </c>
      <c r="G236" s="111" t="inlineStr">
        <is>
          <t xml:space="preserve">TOSHKENT SHAHAHR OLMAZOR TUMANI QIZIL QO’SHIN 95-XONADON</t>
        </is>
      </c>
      <c r="H236" s="112">
        <v>3.0</v>
      </c>
      <c r="I236" s="112">
        <v>3557327.65</v>
      </c>
    </row>
    <row r="237">
      <c r="A237" s="111" t="inlineStr">
        <is>
          <t xml:space="preserve">ТОШКЕНТ ШАХРИ</t>
        </is>
      </c>
      <c r="B237" s="111" t="inlineStr">
        <is>
          <t xml:space="preserve">SUPER BRANCH</t>
        </is>
      </c>
      <c r="C237" s="111" t="inlineStr">
        <is>
          <t xml:space="preserve">Обещали</t>
        </is>
      </c>
      <c r="D237" s="111" t="inlineStr">
        <is>
          <t xml:space="preserve">Кр-99035003-2</t>
        </is>
      </c>
      <c r="E237" s="111" t="inlineStr">
        <is>
          <t xml:space="preserve">ABDULAZIZOV AKBARJON ABDUSALOM O‘G‘LI</t>
        </is>
      </c>
      <c r="F237" s="111" t="inlineStr">
        <is>
          <t xml:space="preserve">998998865038 SMS O’ZI, 998811103432 SMS O’ZI 2, 998994092541 SMS DO’STI, 998998865038 SMS O’ZI 3, +998998865038 Primary phone from road24,</t>
        </is>
      </c>
      <c r="G237" s="111" t="inlineStr">
        <is>
          <t xml:space="preserve">УСТА ШИРИН МФЙ, КЎРГАЗМА КЎЧАСИ,  uy:57</t>
        </is>
      </c>
      <c r="H237" s="112">
        <v>3.0</v>
      </c>
      <c r="I237" s="112">
        <v>3378694.02</v>
      </c>
      <c r="K237" s="111" t="inlineStr">
        <is>
          <t xml:space="preserve">15 kunga</t>
        </is>
      </c>
    </row>
    <row r="238">
      <c r="A238" s="111" t="inlineStr">
        <is>
          <t xml:space="preserve">ТОШКЕНТ ШАХРИ</t>
        </is>
      </c>
      <c r="B238" s="111" t="inlineStr">
        <is>
          <t xml:space="preserve">SUPER BRANCH</t>
        </is>
      </c>
      <c r="C238" s="111" t="inlineStr">
        <is>
          <t xml:space="preserve">Обещали</t>
        </is>
      </c>
      <c r="D238" s="111" t="inlineStr">
        <is>
          <t xml:space="preserve">Кр-99039331-1</t>
        </is>
      </c>
      <c r="E238" s="111" t="inlineStr">
        <is>
          <t xml:space="preserve">BABAYEV MAXAMADJON MUXAMEDOVICH</t>
        </is>
      </c>
      <c r="F238" s="111" t="inlineStr">
        <is>
          <t xml:space="preserve">+998939833002 SMS O’ZI, 998339805349 SMS OPASI, 998935290300 SMS JIYANI, 998977085669 SMS OZI  begona qilinmasin !!!,</t>
        </is>
      </c>
      <c r="G238" s="111" t="inlineStr">
        <is>
          <t xml:space="preserve">TOSHKENT SHAHRI YASHNOBOD TUMANI XILOL MFY YANGI XAYOT 2 TOR KO'CHASI 14-UY</t>
        </is>
      </c>
      <c r="H238" s="112">
        <v>2.0</v>
      </c>
      <c r="I238" s="112">
        <v>3299647.83</v>
      </c>
      <c r="K238" s="111" t="inlineStr">
        <is>
          <t xml:space="preserve">terpila tolash niyati yoq | ertaga to'lov qilamn dedi</t>
        </is>
      </c>
    </row>
    <row r="239">
      <c r="A239" s="111" t="inlineStr">
        <is>
          <t xml:space="preserve">ТОШКЕНТ ШАХРИ</t>
        </is>
      </c>
      <c r="B239" s="111" t="inlineStr">
        <is>
          <t xml:space="preserve">SUPER BRANCH</t>
        </is>
      </c>
      <c r="C239" s="111" t="inlineStr">
        <is>
          <t xml:space="preserve">Обещали</t>
        </is>
      </c>
      <c r="D239" s="111" t="inlineStr">
        <is>
          <t xml:space="preserve">Кр-99052930-1</t>
        </is>
      </c>
      <c r="E239" s="111" t="inlineStr">
        <is>
          <t xml:space="preserve">BOYMIRZAYEV SHAXZOD XOLMIRZA O’G’LI</t>
        </is>
      </c>
      <c r="F239" s="111" t="inlineStr">
        <is>
          <t xml:space="preserve">998998610910 SMS OZI, 998988086680 SMS AKASI, 998770881600 SMS ONASI, 998998839906 SMS OPASI,</t>
        </is>
      </c>
      <c r="G239" s="111" t="inlineStr">
        <is>
          <t xml:space="preserve">TOSHKEN SHAXAR UCHTEPA TUMANI YANGIYO’L MFY QURULISH KO’CHASI 43-UY 171-KVARTIRA</t>
        </is>
      </c>
      <c r="H239" s="112">
        <v>3.0</v>
      </c>
      <c r="I239" s="112">
        <v>3152911.97</v>
      </c>
      <c r="K239" s="111" t="inlineStr">
        <is>
          <t xml:space="preserve">1479 | 10- gacha oylikdan dedi | 24800000 | 2090890.4 | ertaga kechga to'lov qiladi</t>
        </is>
      </c>
    </row>
    <row r="240">
      <c r="A240" s="111" t="inlineStr">
        <is>
          <t xml:space="preserve">ТОШКЕНТ ШАХРИ</t>
        </is>
      </c>
      <c r="B240" s="111" t="inlineStr">
        <is>
          <t xml:space="preserve">SUPER BRANCH</t>
        </is>
      </c>
      <c r="C240" s="111" t="inlineStr">
        <is>
          <t xml:space="preserve">Обещали</t>
        </is>
      </c>
      <c r="D240" s="111" t="inlineStr">
        <is>
          <t xml:space="preserve">Кр-99032062-2</t>
        </is>
      </c>
      <c r="E240" s="111" t="inlineStr">
        <is>
          <t xml:space="preserve">NABIRAXODJAYEVA MUXARRAM DJALALOVNA</t>
        </is>
      </c>
      <c r="F240" s="111" t="inlineStr">
        <is>
          <t xml:space="preserve">998770038119 SMS KELINI, 998903571006 SMS UZI, 998903583237 SMS UGLI,</t>
        </is>
      </c>
      <c r="G240" s="111" t="inlineStr">
        <is>
          <t xml:space="preserve">CHILONZOR TUMANI 20-A.8-UY.37-XONADON</t>
        </is>
      </c>
      <c r="H240" s="112">
        <v>3.0</v>
      </c>
      <c r="I240" s="112">
        <v>3079871.69</v>
      </c>
      <c r="K240" s="111" t="inlineStr">
        <is>
          <t xml:space="preserve">399 | Kechga xarakat qladi | 50000000 | 1049875.96 | xoz to'lov qiladi</t>
        </is>
      </c>
    </row>
    <row r="241">
      <c r="A241" s="111" t="inlineStr">
        <is>
          <t xml:space="preserve">ТОШКЕНТ ШАХРИ</t>
        </is>
      </c>
      <c r="B241" s="111" t="inlineStr">
        <is>
          <t xml:space="preserve">SUPER BRANCH</t>
        </is>
      </c>
      <c r="C241" s="111" t="inlineStr">
        <is>
          <t xml:space="preserve">Обещали</t>
        </is>
      </c>
      <c r="D241" s="111" t="inlineStr">
        <is>
          <t xml:space="preserve">Кр-99027054-3</t>
        </is>
      </c>
      <c r="E241" s="111" t="inlineStr">
        <is>
          <t xml:space="preserve">KASIMOV IBROXIM VAXIDOVICH</t>
        </is>
      </c>
      <c r="F241" s="111" t="inlineStr">
        <is>
          <t xml:space="preserve">998933897299 SMS O’ZI PAXTA SEXDA ISHLIDI , 998935371018 SMS AYOLI, 998953731018 SMS OTASI, 998935341018 SMS O’G’LI,</t>
        </is>
      </c>
      <c r="G241" s="111" t="inlineStr">
        <is>
          <t xml:space="preserve">TOSHKENT SHAHAR OLMAZOR TUMANI SAG’BON MAVZESI OLCHA TOR KO’CAHSI 1-UY 11-XONADON</t>
        </is>
      </c>
      <c r="H241" s="112">
        <v>3.0</v>
      </c>
      <c r="I241" s="112">
        <v>3019732.0</v>
      </c>
      <c r="K241" s="111" t="inlineStr">
        <is>
          <t xml:space="preserve">10 kun tolab beradi</t>
        </is>
      </c>
    </row>
    <row r="242">
      <c r="A242" s="111" t="inlineStr">
        <is>
          <t xml:space="preserve">ТОШКЕНТ ШАХРИ</t>
        </is>
      </c>
      <c r="B242" s="111" t="inlineStr">
        <is>
          <t xml:space="preserve">SUPER BRANCH</t>
        </is>
      </c>
      <c r="C242" s="111" t="inlineStr">
        <is>
          <t xml:space="preserve">Обещали</t>
        </is>
      </c>
      <c r="D242" s="111" t="inlineStr">
        <is>
          <t xml:space="preserve">Кр-99027829-3</t>
        </is>
      </c>
      <c r="E242" s="111" t="inlineStr">
        <is>
          <t xml:space="preserve">MUXAMADJANOVA MUXABBAT FARUXOVNA</t>
        </is>
      </c>
      <c r="F242" s="111" t="inlineStr">
        <is>
          <t xml:space="preserve">+998998550503 SMS OZI, 998998251505 SMS ONASI,</t>
        </is>
      </c>
      <c r="G242" s="111" t="inlineStr">
        <is>
          <t xml:space="preserve">ХОНЧОРБОГ МФЙ, ШИМОЛИЙ ОЛМАЗОР ДАХАСИ,  uy:1 xonadon:12</t>
        </is>
      </c>
      <c r="I242" s="112">
        <v>2999911.63</v>
      </c>
      <c r="K242" s="111" t="inlineStr">
        <is>
          <t xml:space="preserve">15 kun tolov qib ketad</t>
        </is>
      </c>
    </row>
    <row r="243">
      <c r="A243" s="111" t="inlineStr">
        <is>
          <t xml:space="preserve">ТОШКЕНТ ШАХРИ</t>
        </is>
      </c>
      <c r="B243" s="111" t="inlineStr">
        <is>
          <t xml:space="preserve">SUPER BRANCH</t>
        </is>
      </c>
      <c r="C243" s="111" t="inlineStr">
        <is>
          <t xml:space="preserve">Обещали</t>
        </is>
      </c>
      <c r="D243" s="111" t="inlineStr">
        <is>
          <t xml:space="preserve">Кр-99064354-2</t>
        </is>
      </c>
      <c r="E243" s="111" t="inlineStr">
        <is>
          <t xml:space="preserve">RAXIMOVA BARNO RUSTAMOVNA</t>
        </is>
      </c>
      <c r="F243" s="111" t="inlineStr">
        <is>
          <t xml:space="preserve">998778281288 SMS UZI, 998974106636 SMS DOSTI, 998998030916 SMS UZI,</t>
        </is>
      </c>
      <c r="G243" s="111" t="inlineStr">
        <is>
          <t xml:space="preserve">КУШТУТ МФЙ, ФАРОБИЙ, 2 БЕРК КЎЧАСИ,  uy:35</t>
        </is>
      </c>
      <c r="H243" s="112">
        <v>3.0</v>
      </c>
      <c r="I243" s="112">
        <v>2837046.95</v>
      </c>
      <c r="K243" s="111" t="inlineStr">
        <is>
          <t xml:space="preserve">bugun tolab beradi 6 laga habar olish kere</t>
        </is>
      </c>
    </row>
    <row r="244">
      <c r="A244" s="111" t="inlineStr">
        <is>
          <t xml:space="preserve">ТОШКЕНТ ШАХРИ</t>
        </is>
      </c>
      <c r="B244" s="111" t="inlineStr">
        <is>
          <t xml:space="preserve">SUPER BRANCH</t>
        </is>
      </c>
      <c r="C244" s="111" t="inlineStr">
        <is>
          <t xml:space="preserve">Обещали</t>
        </is>
      </c>
      <c r="D244" s="111" t="inlineStr">
        <is>
          <t xml:space="preserve">Кр-99023341-1</t>
        </is>
      </c>
      <c r="E244" s="111" t="inlineStr">
        <is>
          <t xml:space="preserve">RAIMOV FARXOD MAXMUDJANOVICH</t>
        </is>
      </c>
      <c r="F244" s="111" t="inlineStr">
        <is>
          <t xml:space="preserve">998973728008 sms tolovchi, 998996907535 sms ozi,</t>
        </is>
      </c>
      <c r="G244" s="111" t="inlineStr">
        <is>
          <t xml:space="preserve">TOSHKENT SHAHRI UCHTEPA TUMANI IBRAT KO’CHASI 87-UY</t>
        </is>
      </c>
      <c r="H244" s="112">
        <v>5.0</v>
      </c>
      <c r="I244" s="112">
        <v>2801208.69</v>
      </c>
      <c r="K244" s="111" t="inlineStr">
        <is>
          <t xml:space="preserve">158 | Tolovchi ogli ekan 15 sutka krb ketbdi chiqib tolarkan 10 - kuni | 25000000 | 2246671.04 | sms yozvordim</t>
        </is>
      </c>
    </row>
    <row r="245">
      <c r="A245" s="111" t="inlineStr">
        <is>
          <t xml:space="preserve">ТОШКЕНТ ШАХРИ</t>
        </is>
      </c>
      <c r="B245" s="111" t="inlineStr">
        <is>
          <t xml:space="preserve">SUPER BRANCH</t>
        </is>
      </c>
      <c r="C245" s="111" t="inlineStr">
        <is>
          <t xml:space="preserve">Обещали</t>
        </is>
      </c>
      <c r="D245" s="111" t="inlineStr">
        <is>
          <t xml:space="preserve">Кр-99027020-3</t>
        </is>
      </c>
      <c r="E245" s="111" t="inlineStr">
        <is>
          <t xml:space="preserve">NABIYEVA MOHIRA MUHIDDIN QIZI</t>
        </is>
      </c>
      <c r="F245" s="111" t="inlineStr">
        <is>
          <t xml:space="preserve">97-462-40-42  SMS ERI CHASNI FIRMADA TV DA ISHLIDI , 98-880-40-42  SMS UY, 90-900-05-09  SMS AKASI , 97-729-52-54  SMS DADASI, 909000509 SMS AKASI, 974624042 SMS ERI CHASNI FIRMADA TV DA ISHLIDI, 977295254 SMS DADASI, 988804042 SMS UY,</t>
        </is>
      </c>
      <c r="G245" s="111" t="inlineStr">
        <is>
          <t xml:space="preserve">TOSHKENT SHAHAR SERGELI TUMANI QUYI TOLARIQ KO’CHASI QUSH QO’RG’ON MFY 36-UY</t>
        </is>
      </c>
      <c r="H245" s="112">
        <v>3.0</v>
      </c>
      <c r="I245" s="112">
        <v>2800238.0</v>
      </c>
      <c r="K245" s="111" t="inlineStr">
        <is>
          <t xml:space="preserve">10 lada tolov</t>
        </is>
      </c>
    </row>
    <row r="246">
      <c r="A246" s="111" t="inlineStr">
        <is>
          <t xml:space="preserve">ТОШКЕНТ ШАХРИ</t>
        </is>
      </c>
      <c r="B246" s="111" t="inlineStr">
        <is>
          <t xml:space="preserve">SUPER BRANCH</t>
        </is>
      </c>
      <c r="C246" s="111" t="inlineStr">
        <is>
          <t xml:space="preserve">Обещали</t>
        </is>
      </c>
      <c r="D246" s="111" t="inlineStr">
        <is>
          <t xml:space="preserve">Кр-99028987-5</t>
        </is>
      </c>
      <c r="E246" s="111" t="inlineStr">
        <is>
          <t xml:space="preserve">MIRZAYEV BEHRUZ ALISHER O’G’LI</t>
        </is>
      </c>
      <c r="F246" s="111" t="inlineStr">
        <is>
          <t xml:space="preserve">99-890-69-79 SMS, 91-787-70-01 SMS Ozi 2, 71-242-26-28 SMS,</t>
        </is>
      </c>
      <c r="G246" s="111" t="inlineStr">
        <is>
          <t xml:space="preserve">TOSHKENT SHAHAR YANGIHAYOT TUMANI IBRAT 2 TOR KOCHASI 16-UY</t>
        </is>
      </c>
      <c r="H246" s="112">
        <v>6.0</v>
      </c>
      <c r="I246" s="112">
        <v>2792325.83</v>
      </c>
      <c r="K246" s="111" t="inlineStr">
        <is>
          <t xml:space="preserve">bugunga kecha vada bergan</t>
        </is>
      </c>
    </row>
    <row r="247">
      <c r="A247" s="111" t="inlineStr">
        <is>
          <t xml:space="preserve">ТОШКЕНТ ШАХРИ</t>
        </is>
      </c>
      <c r="B247" s="111" t="inlineStr">
        <is>
          <t xml:space="preserve">SUPER BRANCH</t>
        </is>
      </c>
      <c r="C247" s="111" t="inlineStr">
        <is>
          <t xml:space="preserve">Обещали</t>
        </is>
      </c>
      <c r="D247" s="111" t="inlineStr">
        <is>
          <t xml:space="preserve">Кр-99002442-11</t>
        </is>
      </c>
      <c r="E247" s="111" t="inlineStr">
        <is>
          <t xml:space="preserve">FAYZILLAYEV LUTFILLA NARZILLA O’G’LI</t>
        </is>
      </c>
      <c r="F247" s="111" t="inlineStr">
        <is>
          <t xml:space="preserve">93-813-36-36 SMS, 93-813-62-68 SMS XOTINI, 71-220-62-06 sms UY NOMER, 90-126-23-45 SMS SHOHRUX AKA ,</t>
        </is>
      </c>
      <c r="G247" s="111" t="inlineStr">
        <is>
          <t xml:space="preserve">TOSHKENT SHAHAR YUNUSOBOD TUMANI YOSHLIK KUCHASI 26 UY</t>
        </is>
      </c>
      <c r="H247" s="112">
        <v>3.0</v>
      </c>
      <c r="I247" s="112">
        <v>2747633.2</v>
      </c>
      <c r="K247" s="111" t="inlineStr">
        <is>
          <t xml:space="preserve">bugunga kecha vada bergan</t>
        </is>
      </c>
    </row>
    <row r="248">
      <c r="A248" s="111" t="inlineStr">
        <is>
          <t xml:space="preserve">ТОШКЕНТ ШАХРИ</t>
        </is>
      </c>
      <c r="B248" s="111" t="inlineStr">
        <is>
          <t xml:space="preserve">SUPER BRANCH</t>
        </is>
      </c>
      <c r="C248" s="111" t="inlineStr">
        <is>
          <t xml:space="preserve">Обещали</t>
        </is>
      </c>
      <c r="D248" s="111" t="inlineStr">
        <is>
          <t xml:space="preserve">Кр-99035088-4</t>
        </is>
      </c>
      <c r="E248" s="111" t="inlineStr">
        <is>
          <t xml:space="preserve">MAMADALIYEV BAXADIR SATVOLDIYEVICH</t>
        </is>
      </c>
      <c r="F248" s="111" t="inlineStr">
        <is>
          <t xml:space="preserve">998935116436 SMS O’ZI, 998935226436 SMS AYOLI, 998946312014 SMS O’G’LI, 998935126436 SMS NEVARASI,</t>
        </is>
      </c>
      <c r="G248" s="111" t="inlineStr">
        <is>
          <t xml:space="preserve">IIV60003</t>
        </is>
      </c>
      <c r="H248" s="112">
        <v>3.0</v>
      </c>
      <c r="I248" s="112">
        <v>2727395.94</v>
      </c>
      <c r="K248" s="111" t="inlineStr">
        <is>
          <t xml:space="preserve">dushanba oyligi tushadi  tolab beradi</t>
        </is>
      </c>
    </row>
    <row r="249">
      <c r="A249" s="111" t="inlineStr">
        <is>
          <t xml:space="preserve">ТОШКЕНТ ШАХРИ</t>
        </is>
      </c>
      <c r="B249" s="111" t="inlineStr">
        <is>
          <t xml:space="preserve">SUPER BRANCH</t>
        </is>
      </c>
      <c r="C249" s="111" t="inlineStr">
        <is>
          <t xml:space="preserve">Обещали</t>
        </is>
      </c>
      <c r="D249" s="111" t="inlineStr">
        <is>
          <t xml:space="preserve">Кр-99064552-1</t>
        </is>
      </c>
      <c r="E249" s="111" t="inlineStr">
        <is>
          <t xml:space="preserve">KAMILDJANOV OLIMDJON ABIDOVICH</t>
        </is>
      </c>
      <c r="F249" s="111" t="inlineStr">
        <is>
          <t xml:space="preserve">998946501299 SMS DOSTI, 998971878898 SMS AYOLI, 998998431985 SMS UZI,</t>
        </is>
      </c>
      <c r="G249" s="111" t="inlineStr">
        <is>
          <t xml:space="preserve">Янги Белтепа МФЙ, Белтепа мавзеси, 33-уй, 62-хонадон</t>
        </is>
      </c>
      <c r="H249" s="112">
        <v>3.0</v>
      </c>
      <c r="I249" s="112">
        <v>2643543.8</v>
      </c>
      <c r="K249" s="111" t="inlineStr">
        <is>
          <t xml:space="preserve">bugun</t>
        </is>
      </c>
    </row>
    <row r="250">
      <c r="A250" s="111" t="inlineStr">
        <is>
          <t xml:space="preserve">ТОШКЕНТ ШАХРИ</t>
        </is>
      </c>
      <c r="B250" s="111" t="inlineStr">
        <is>
          <t xml:space="preserve">SUPER BRANCH</t>
        </is>
      </c>
      <c r="C250" s="111" t="inlineStr">
        <is>
          <t xml:space="preserve">Обещали</t>
        </is>
      </c>
      <c r="D250" s="111" t="inlineStr">
        <is>
          <t xml:space="preserve">Кр-99063537-3</t>
        </is>
      </c>
      <c r="E250" s="111" t="inlineStr">
        <is>
          <t xml:space="preserve">RUSTAMOV ABDULLOH SHOXAKIM O’G’LI</t>
        </is>
      </c>
      <c r="F250" s="111" t="inlineStr">
        <is>
          <t xml:space="preserve">998200071717 SMS ORTOGI, 998982001212 SMS UKALAARI, 998996069036 SMS OZI, 998998889878 SMS AKASI,</t>
        </is>
      </c>
      <c r="G250" s="111" t="inlineStr">
        <is>
          <t xml:space="preserve">TOSHKENT SHAHAR CHILONZOR TUMANI 1-QATORTOL MFY KATOROL 1 TOR  KOCHASI 47-UY</t>
        </is>
      </c>
      <c r="H250" s="112">
        <v>3.0</v>
      </c>
      <c r="I250" s="112">
        <v>2562621.0</v>
      </c>
      <c r="K250" s="111" t="inlineStr">
        <is>
          <t xml:space="preserve">2078 | 4 5 gacham qberarkan | 65000000 | 1583168.9 | kechga to'lov qiladi shuxrat aka bn gaplashgan</t>
        </is>
      </c>
    </row>
    <row r="251">
      <c r="A251" s="111" t="inlineStr">
        <is>
          <t xml:space="preserve">ТОШКЕНТ ШАХРИ</t>
        </is>
      </c>
      <c r="B251" s="111" t="inlineStr">
        <is>
          <t xml:space="preserve">SUPER BRANCH</t>
        </is>
      </c>
      <c r="C251" s="111" t="inlineStr">
        <is>
          <t xml:space="preserve">Обещали</t>
        </is>
      </c>
      <c r="D251" s="111" t="inlineStr">
        <is>
          <t xml:space="preserve">Кр-99063615-1</t>
        </is>
      </c>
      <c r="E251" s="111" t="inlineStr">
        <is>
          <t xml:space="preserve">MULLADJANOV ZIYODJON MURATOVICH</t>
        </is>
      </c>
      <c r="F251" s="111" t="inlineStr">
        <is>
          <t xml:space="preserve">998917957878 SMS JIYANI, 998956592777 SMS AYOLI, 998956594777 SMS OZI,</t>
        </is>
      </c>
      <c r="G251" s="111" t="inlineStr">
        <is>
          <t xml:space="preserve">11-мавзе 12-уй 33-хонадон</t>
        </is>
      </c>
      <c r="H251" s="112">
        <v>3.0</v>
      </c>
      <c r="I251" s="112">
        <v>2516867.35</v>
      </c>
      <c r="K251" s="111" t="inlineStr">
        <is>
          <t xml:space="preserve">2104 | Uzogi oddixgacha qisman qisman yopadi | 42000000 | 854396.36 | ertalaga pulim boladi to'lavoramn dedi</t>
        </is>
      </c>
    </row>
    <row r="252">
      <c r="A252" s="111" t="inlineStr">
        <is>
          <t xml:space="preserve">ТОШКЕНТ ШАХРИ</t>
        </is>
      </c>
      <c r="B252" s="111" t="inlineStr">
        <is>
          <t xml:space="preserve">SUPER BRANCH</t>
        </is>
      </c>
      <c r="C252" s="111" t="inlineStr">
        <is>
          <t xml:space="preserve">Обещали</t>
        </is>
      </c>
      <c r="D252" s="111" t="inlineStr">
        <is>
          <t xml:space="preserve">Кр-99027055-5</t>
        </is>
      </c>
      <c r="E252" s="111" t="inlineStr">
        <is>
          <t xml:space="preserve">KASIMOVA DILORAM ISMAILOVNA</t>
        </is>
      </c>
      <c r="F252" s="111" t="inlineStr">
        <is>
          <t xml:space="preserve">93-389-72-99  SMS O’GLI, 93-537-10-18  SMS KELINI, 95-373-10-18 SMS ERI, 95-837-10-18 SMS O’GLI,</t>
        </is>
      </c>
      <c r="G252" s="111" t="inlineStr">
        <is>
          <t xml:space="preserve">TOSHKENT SHAHAR OLMAZOR TUMANI SAGBON OLCHA TOR 1-BERK 11-XONADON</t>
        </is>
      </c>
      <c r="H252" s="112">
        <v>3.0</v>
      </c>
      <c r="I252" s="112">
        <v>2311703.27</v>
      </c>
      <c r="K252" s="111" t="inlineStr">
        <is>
          <t xml:space="preserve">10 kujnga tolid</t>
        </is>
      </c>
    </row>
    <row r="253">
      <c r="A253" s="111" t="inlineStr">
        <is>
          <t xml:space="preserve">ТОШКЕНТ ШАХРИ</t>
        </is>
      </c>
      <c r="B253" s="111" t="inlineStr">
        <is>
          <t xml:space="preserve">SUPER BRANCH</t>
        </is>
      </c>
      <c r="C253" s="111" t="inlineStr">
        <is>
          <t xml:space="preserve">Обещали</t>
        </is>
      </c>
      <c r="D253" s="111" t="inlineStr">
        <is>
          <t xml:space="preserve">Кр-99036264-2</t>
        </is>
      </c>
      <c r="E253" s="111" t="inlineStr">
        <is>
          <t xml:space="preserve">XOLDOROV BAXROMJON ABDUXAKIMOVICH</t>
        </is>
      </c>
      <c r="F253" s="111" t="inlineStr">
        <is>
          <t xml:space="preserve">998909631886 SMS OZI, 998909631886 SMS AYOLI, 998958434020 SMS UY,</t>
        </is>
      </c>
      <c r="G253" s="111" t="inlineStr">
        <is>
          <t xml:space="preserve">Маърифат МФЙ, Ахсикат кучаси, 50-уй</t>
        </is>
      </c>
      <c r="H253" s="112">
        <v>3.0</v>
      </c>
      <c r="I253" s="112">
        <v>2264725.69</v>
      </c>
    </row>
    <row r="254">
      <c r="A254" s="111" t="inlineStr">
        <is>
          <t xml:space="preserve">ТОШКЕНТ ШАХРИ</t>
        </is>
      </c>
      <c r="B254" s="111" t="inlineStr">
        <is>
          <t xml:space="preserve">SUPER BRANCH</t>
        </is>
      </c>
      <c r="C254" s="111" t="inlineStr">
        <is>
          <t xml:space="preserve">Обещали</t>
        </is>
      </c>
      <c r="D254" s="111" t="inlineStr">
        <is>
          <t xml:space="preserve">Кр-99023949-4</t>
        </is>
      </c>
      <c r="E254" s="111" t="inlineStr">
        <is>
          <t xml:space="preserve">XAYRULLAYEV ABDULLO SHUKURULLO O’G’LI</t>
        </is>
      </c>
      <c r="F254" s="111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254" s="111" t="inlineStr">
        <is>
          <t xml:space="preserve">MUNAVVARQORI MFY 2-PILLA KO’CHASI 53-UY</t>
        </is>
      </c>
      <c r="H254" s="112">
        <v>3.0</v>
      </c>
      <c r="I254" s="112">
        <v>2248988.69</v>
      </c>
      <c r="K254" s="111" t="inlineStr">
        <is>
          <t xml:space="preserve">2 ku8nda tolid</t>
        </is>
      </c>
    </row>
    <row r="255">
      <c r="A255" s="111" t="inlineStr">
        <is>
          <t xml:space="preserve">ТОШКЕНТ ШАХРИ</t>
        </is>
      </c>
      <c r="B255" s="111" t="inlineStr">
        <is>
          <t xml:space="preserve">SUPER BRANCH</t>
        </is>
      </c>
      <c r="C255" s="111" t="inlineStr">
        <is>
          <t xml:space="preserve">Обещали</t>
        </is>
      </c>
      <c r="D255" s="111" t="inlineStr">
        <is>
          <t xml:space="preserve">Кр-99020581-6</t>
        </is>
      </c>
      <c r="E255" s="111" t="inlineStr">
        <is>
          <t xml:space="preserve">ASKAROV SHOAKBAR SHOADILOVICH</t>
        </is>
      </c>
      <c r="F255" s="111" t="inlineStr">
        <is>
          <t xml:space="preserve">99-617-00-59  SMS OZI, 94-696-76-67  SMS AYOLI, 71-298-45-74  SMS UY, 71-248-08-03  SMS UY 2,</t>
        </is>
      </c>
      <c r="G255" s="111" t="inlineStr">
        <is>
          <t xml:space="preserve">TOSHKENT SHAHAR OLMAZOR TUMANI X.RAXMONOV 10-XONADON</t>
        </is>
      </c>
      <c r="H255" s="112">
        <v>3.0</v>
      </c>
      <c r="I255" s="112">
        <v>2243940.59</v>
      </c>
      <c r="K255" s="111" t="inlineStr">
        <is>
          <t xml:space="preserve">15 kun tolab berad</t>
        </is>
      </c>
    </row>
    <row r="256">
      <c r="A256" s="111" t="inlineStr">
        <is>
          <t xml:space="preserve">ТОШКЕНТ ШАХРИ</t>
        </is>
      </c>
      <c r="B256" s="111" t="inlineStr">
        <is>
          <t xml:space="preserve">SUPER BRANCH</t>
        </is>
      </c>
      <c r="C256" s="111" t="inlineStr">
        <is>
          <t xml:space="preserve">Обещали</t>
        </is>
      </c>
      <c r="D256" s="111" t="inlineStr">
        <is>
          <t xml:space="preserve">Кр-99063464-1</t>
        </is>
      </c>
      <c r="E256" s="111" t="inlineStr">
        <is>
          <t xml:space="preserve">AZIMOVA ZEBOXON TOXIROVNA</t>
        </is>
      </c>
      <c r="F256" s="111" t="inlineStr">
        <is>
          <t xml:space="preserve">998998562803 Ozi, 998909774699 Eri, 998935854699 Mul egasi dodasi,</t>
        </is>
      </c>
      <c r="G256" s="111" t="inlineStr">
        <is>
          <t xml:space="preserve">OLMAZOR TUMANI</t>
        </is>
      </c>
      <c r="H256" s="112">
        <v>3.0</v>
      </c>
      <c r="I256" s="112">
        <v>2063829.21</v>
      </c>
      <c r="K256" s="111" t="inlineStr">
        <is>
          <t xml:space="preserve">9 kun tolid</t>
        </is>
      </c>
    </row>
    <row r="257">
      <c r="A257" s="111" t="inlineStr">
        <is>
          <t xml:space="preserve">ТОШКЕНТ ШАХРИ</t>
        </is>
      </c>
      <c r="B257" s="111" t="inlineStr">
        <is>
          <t xml:space="preserve">SUPER BRANCH</t>
        </is>
      </c>
      <c r="C257" s="111" t="inlineStr">
        <is>
          <t xml:space="preserve">Обещали</t>
        </is>
      </c>
      <c r="D257" s="111" t="inlineStr">
        <is>
          <t xml:space="preserve">Кр-99041059-1</t>
        </is>
      </c>
      <c r="E257" s="111" t="inlineStr">
        <is>
          <t xml:space="preserve">ABBOSOV NOZIMJON XOJIAKBAR O’G’LI</t>
        </is>
      </c>
      <c r="F257" s="111" t="inlineStr">
        <is>
          <t xml:space="preserve">+998774889944 SMS O’ZI, 998950227769 SMS ONASI, 998991445334 SMS ADASI, 998977579418 sms ukasi ,</t>
        </is>
      </c>
      <c r="G257" s="111" t="inlineStr">
        <is>
          <t xml:space="preserve">YANGIHAYOT TUMANI YANGI SERGELI 2-UY</t>
        </is>
      </c>
      <c r="H257" s="112">
        <v>3.0</v>
      </c>
      <c r="I257" s="112">
        <v>1984525.14</v>
      </c>
      <c r="K257" s="111" t="inlineStr">
        <is>
          <t xml:space="preserve">qarzi bor kotarmayuapti</t>
        </is>
      </c>
    </row>
    <row r="258">
      <c r="A258" s="111" t="inlineStr">
        <is>
          <t xml:space="preserve">ТОШКЕНТ ШАХРИ</t>
        </is>
      </c>
      <c r="B258" s="111" t="inlineStr">
        <is>
          <t xml:space="preserve">SUPER BRANCH</t>
        </is>
      </c>
      <c r="C258" s="111" t="inlineStr">
        <is>
          <t xml:space="preserve">Обещали</t>
        </is>
      </c>
      <c r="D258" s="111" t="inlineStr">
        <is>
          <t xml:space="preserve">Кр-99036235-2</t>
        </is>
      </c>
      <c r="E258" s="111" t="inlineStr">
        <is>
          <t xml:space="preserve">KIRGIZBAYEV JAMSHID VALIJANOVICH</t>
        </is>
      </c>
      <c r="F258" s="111" t="inlineStr">
        <is>
          <t xml:space="preserve">998988000703 SMS O’ZI, 998998615414 SMS O’ZI 2, 998909005414 SMS AYOLI,</t>
        </is>
      </c>
      <c r="G258" s="111" t="inlineStr">
        <is>
          <t xml:space="preserve">мас. Узгариш, дом 1, кв. 213</t>
        </is>
      </c>
      <c r="H258" s="112">
        <v>3.0</v>
      </c>
      <c r="I258" s="112">
        <v>1897364.32</v>
      </c>
      <c r="K258" s="111" t="inlineStr">
        <is>
          <t xml:space="preserve">25 kuni oyligi tushadi</t>
        </is>
      </c>
    </row>
    <row r="259">
      <c r="A259" s="111" t="inlineStr">
        <is>
          <t xml:space="preserve">ТОШКЕНТ ШАХРИ</t>
        </is>
      </c>
      <c r="B259" s="111" t="inlineStr">
        <is>
          <t xml:space="preserve">SUPER BRANCH</t>
        </is>
      </c>
      <c r="C259" s="111" t="inlineStr">
        <is>
          <t xml:space="preserve">Обещали</t>
        </is>
      </c>
      <c r="D259" s="111" t="inlineStr">
        <is>
          <t xml:space="preserve">Кр-99057343-3</t>
        </is>
      </c>
      <c r="E259" s="111" t="inlineStr">
        <is>
          <t xml:space="preserve">BOYMURODOV AZIZ XUSAN O’G’LI</t>
        </is>
      </c>
      <c r="F259" s="111" t="inlineStr">
        <is>
          <t xml:space="preserve">998915380630 SMS UZI, 998995036022 SMS DOSTI,</t>
        </is>
      </c>
      <c r="G259" s="111" t="inlineStr">
        <is>
          <t xml:space="preserve">TOSHKENT SHAHAR CHILONZOR TUAMNI NAFOSAT MFY 8-MAVZE 13-UY 10-XONODON</t>
        </is>
      </c>
      <c r="H259" s="112">
        <v>3.0</v>
      </c>
      <c r="I259" s="112">
        <v>1894259.99</v>
      </c>
      <c r="K259" s="111" t="inlineStr">
        <is>
          <t xml:space="preserve">1588 | ertaga 10 | 50000000 | 839465.42 | bugun to'lov qiladi 8 gacha</t>
        </is>
      </c>
    </row>
    <row r="260">
      <c r="A260" s="111" t="inlineStr">
        <is>
          <t xml:space="preserve">ТОШКЕНТ ШАХРИ</t>
        </is>
      </c>
      <c r="B260" s="111" t="inlineStr">
        <is>
          <t xml:space="preserve">SUPER BRANCH</t>
        </is>
      </c>
      <c r="C260" s="111" t="inlineStr">
        <is>
          <t xml:space="preserve">Обещали</t>
        </is>
      </c>
      <c r="D260" s="111" t="inlineStr">
        <is>
          <t xml:space="preserve">Кр-99029372-2</t>
        </is>
      </c>
      <c r="E260" s="111" t="inlineStr">
        <is>
          <t xml:space="preserve">BADALOV MIRISLOM MIRBOXODIR O’G’LI</t>
        </is>
      </c>
      <c r="F260" s="111" t="inlineStr">
        <is>
          <t xml:space="preserve">90-901-68-38 SMS OZI, 33-901-68-38 SMS OKASI,</t>
        </is>
      </c>
      <c r="G260" s="111" t="inlineStr">
        <is>
          <t xml:space="preserve">БОҒОБОД МФЙ, 15 МАВЗЕ,  uy:22 xonadon:25</t>
        </is>
      </c>
      <c r="H260" s="112">
        <v>3.0</v>
      </c>
      <c r="I260" s="112">
        <v>1875910.53</v>
      </c>
      <c r="K260" s="111" t="inlineStr">
        <is>
          <t xml:space="preserve">310 | Bugun oylikdan | 30000000 | 909090.72 | to'lovdan oldin tel qiladi</t>
        </is>
      </c>
    </row>
    <row r="261">
      <c r="A261" s="111" t="inlineStr">
        <is>
          <t xml:space="preserve">ТОШКЕНТ ШАХРИ</t>
        </is>
      </c>
      <c r="B261" s="111" t="inlineStr">
        <is>
          <t xml:space="preserve">SUPER BRANCH</t>
        </is>
      </c>
      <c r="C261" s="111" t="inlineStr">
        <is>
          <t xml:space="preserve">Обещали</t>
        </is>
      </c>
      <c r="D261" s="111" t="inlineStr">
        <is>
          <t xml:space="preserve">Кр-99018467-2</t>
        </is>
      </c>
      <c r="E261" s="111" t="inlineStr">
        <is>
          <t xml:space="preserve">RAXMATULLAYEV XASAN ZAXIDOVICH</t>
        </is>
      </c>
      <c r="F261" s="111" t="inlineStr">
        <is>
          <t xml:space="preserve">998998404562 SMS O’ZI, 998912007010 SMS HAMKASBI, 998994349899 SMS HAMKASBI2, 998998409009 SMS UKASI,</t>
        </is>
      </c>
      <c r="G261" s="111" t="inlineStr">
        <is>
          <t xml:space="preserve">8-строительная территория, дом 43, кв. 35</t>
        </is>
      </c>
      <c r="H261" s="112">
        <v>3.0</v>
      </c>
      <c r="I261" s="112">
        <v>1855120.0</v>
      </c>
      <c r="K261" s="111" t="inlineStr">
        <is>
          <t xml:space="preserve">5lada qolida puli bor</t>
        </is>
      </c>
    </row>
    <row r="262">
      <c r="A262" s="111" t="inlineStr">
        <is>
          <t xml:space="preserve">ТОШКЕНТ ШАХРИ</t>
        </is>
      </c>
      <c r="B262" s="111" t="inlineStr">
        <is>
          <t xml:space="preserve">SUPER BRANCH</t>
        </is>
      </c>
      <c r="C262" s="111" t="inlineStr">
        <is>
          <t xml:space="preserve">Обещали</t>
        </is>
      </c>
      <c r="D262" s="111" t="inlineStr">
        <is>
          <t xml:space="preserve">Кр-99021933-1</t>
        </is>
      </c>
      <c r="E262" s="111" t="inlineStr">
        <is>
          <t xml:space="preserve">MAXAMADALIYEV ABDURAXIM ABDUXAMIDOVICH</t>
        </is>
      </c>
      <c r="F262" s="111" t="inlineStr">
        <is>
          <t xml:space="preserve">998990908118 SMS AYOLI, 998997273438 SMS OZI 2, 998998806697 SMS OZI, 998998808118 SMS ONASI,</t>
        </is>
      </c>
      <c r="G262" s="111" t="inlineStr">
        <is>
          <t xml:space="preserve">TOSHKENT SHAHAR OLMAZOR TUMANI XO’JALIK TOR KO’CHASI 1-UY</t>
        </is>
      </c>
      <c r="H262" s="112">
        <v>3.0</v>
      </c>
      <c r="I262" s="112">
        <v>1785249.84</v>
      </c>
    </row>
    <row r="263">
      <c r="A263" s="111" t="inlineStr">
        <is>
          <t xml:space="preserve">ТОШКЕНТ ШАХРИ</t>
        </is>
      </c>
      <c r="B263" s="111" t="inlineStr">
        <is>
          <t xml:space="preserve">SUPER BRANCH</t>
        </is>
      </c>
      <c r="C263" s="111" t="inlineStr">
        <is>
          <t xml:space="preserve">Обещали</t>
        </is>
      </c>
      <c r="D263" s="111" t="inlineStr">
        <is>
          <t xml:space="preserve">Кр-99063412-2</t>
        </is>
      </c>
      <c r="E263" s="111" t="inlineStr">
        <is>
          <t xml:space="preserve">ESANOVA NOZIGULXON ISROILJON  QIZI</t>
        </is>
      </c>
      <c r="F263" s="111" t="inlineStr">
        <is>
          <t xml:space="preserve">998504557389 SMS OZI, 998946300100 SMS ERI, 998946712822 SMS OZI,</t>
        </is>
      </c>
      <c r="G263" s="111" t="inlineStr">
        <is>
          <t xml:space="preserve">TOSHKENT SHAHAR UCHTEPA TUMANI KO’KCHA OQTEPA MFY KOSHG’ARIY KOCHASI 18-UY</t>
        </is>
      </c>
      <c r="H263" s="112">
        <v>3.0</v>
      </c>
      <c r="I263" s="112">
        <v>1625640.44</v>
      </c>
      <c r="K263" s="111" t="inlineStr">
        <is>
          <t xml:space="preserve">2041 | Bugun kechga | 17000000 | 1138544.69 | xoz to'lavoradi</t>
        </is>
      </c>
    </row>
    <row r="264">
      <c r="A264" s="111" t="inlineStr">
        <is>
          <t xml:space="preserve">ТОШКЕНТ ШАХРИ</t>
        </is>
      </c>
      <c r="B264" s="111" t="inlineStr">
        <is>
          <t xml:space="preserve">SUPER BRANCH</t>
        </is>
      </c>
      <c r="C264" s="111" t="inlineStr">
        <is>
          <t xml:space="preserve">Обещали</t>
        </is>
      </c>
      <c r="D264" s="111" t="inlineStr">
        <is>
          <t xml:space="preserve">Кр-99039317-1</t>
        </is>
      </c>
      <c r="E264" s="111" t="inlineStr">
        <is>
          <t xml:space="preserve">ERGASHBOYEVA MALOXAT BAXTIYOR QIZI</t>
        </is>
      </c>
      <c r="F264" s="111" t="inlineStr">
        <is>
          <t xml:space="preserve">998998767634 SMS OZI , 998931035553 SMS ONASI , 998990311101 SMS ERI , 998931767634 SMS ERI , 998935393359 SMS ERI YANGI,</t>
        </is>
      </c>
      <c r="G264" s="111" t="inlineStr">
        <is>
          <t xml:space="preserve">TOSHKENT SHAHAR CHILONZOR TUMANI TIRSAKOBOD MFY  SHOSH KO’CHASI 37-UY</t>
        </is>
      </c>
      <c r="H264" s="112">
        <v>3.0</v>
      </c>
      <c r="I264" s="112">
        <v>1582690.82</v>
      </c>
      <c r="K264" s="111" t="inlineStr">
        <is>
          <t xml:space="preserve">820 | bugun kechgacha qisman qoganini ertaga | 13500000 | 1567212.1 | 15 da to'liman dedi</t>
        </is>
      </c>
    </row>
    <row r="265">
      <c r="A265" s="111" t="inlineStr">
        <is>
          <t xml:space="preserve">ТОШКЕНТ ШАХРИ</t>
        </is>
      </c>
      <c r="B265" s="111" t="inlineStr">
        <is>
          <t xml:space="preserve">SUPER BRANCH</t>
        </is>
      </c>
      <c r="C265" s="111" t="inlineStr">
        <is>
          <t xml:space="preserve">Обещали</t>
        </is>
      </c>
      <c r="D265" s="111" t="inlineStr">
        <is>
          <t xml:space="preserve">Кр-99045800-1</t>
        </is>
      </c>
      <c r="E265" s="111" t="inlineStr">
        <is>
          <t xml:space="preserve">XOSHIMOV MIRAGZAM MIRGANIYEVICH</t>
        </is>
      </c>
      <c r="F265" s="111" t="inlineStr">
        <is>
          <t xml:space="preserve">+998998660109 SMS OZI, 998334320109 SMS AYOLI, 998779712617 SMS QIZI, 998909751959 SMS ONASI,</t>
        </is>
      </c>
      <c r="G265" s="111" t="inlineStr">
        <is>
          <t xml:space="preserve">5-строительная территория, дом 3, кв. 41</t>
        </is>
      </c>
      <c r="H265" s="112">
        <v>3.0</v>
      </c>
      <c r="I265" s="112">
        <v>1549364.07</v>
      </c>
      <c r="K265" s="111" t="inlineStr">
        <is>
          <t xml:space="preserve">15 kun tolab beradi</t>
        </is>
      </c>
    </row>
    <row r="266">
      <c r="A266" s="111" t="inlineStr">
        <is>
          <t xml:space="preserve">ТОШКЕНТ ШАХРИ</t>
        </is>
      </c>
      <c r="B266" s="111" t="inlineStr">
        <is>
          <t xml:space="preserve">SUPER BRANCH</t>
        </is>
      </c>
      <c r="C266" s="111" t="inlineStr">
        <is>
          <t xml:space="preserve">Обещали</t>
        </is>
      </c>
      <c r="D266" s="111" t="inlineStr">
        <is>
          <t xml:space="preserve">Кр-99062678-1</t>
        </is>
      </c>
      <c r="E266" s="111" t="inlineStr">
        <is>
          <t xml:space="preserve">IBAYDULLAYEV DILSHODBEK ULUG’EK O’G’LI</t>
        </is>
      </c>
      <c r="F266" s="111" t="inlineStr">
        <is>
          <t xml:space="preserve">998934905320 SMS OZI, 998944975105 SMS DOSTI, 998930670329 SMS DOSTI 2,</t>
        </is>
      </c>
      <c r="G266" s="111" t="inlineStr">
        <is>
          <t xml:space="preserve">TOSHKENT SHAHAR YANGIHAYOT TUMANI YANGI UMID MFY 37-UY</t>
        </is>
      </c>
      <c r="H266" s="112">
        <v>3.0</v>
      </c>
      <c r="I266" s="112">
        <v>1312606.09</v>
      </c>
      <c r="K266" s="111" t="inlineStr">
        <is>
          <t xml:space="preserve">10 kuni tolab beradi</t>
        </is>
      </c>
    </row>
    <row r="267">
      <c r="A267" s="111" t="inlineStr">
        <is>
          <t xml:space="preserve">ТОШКЕНТ ШАХРИ</t>
        </is>
      </c>
      <c r="B267" s="111" t="inlineStr">
        <is>
          <t xml:space="preserve">SUPER BRANCH</t>
        </is>
      </c>
      <c r="C267" s="111" t="inlineStr">
        <is>
          <t xml:space="preserve">Обещали</t>
        </is>
      </c>
      <c r="D267" s="111" t="inlineStr">
        <is>
          <t xml:space="preserve">Кр-99034806-3</t>
        </is>
      </c>
      <c r="E267" s="111" t="inlineStr">
        <is>
          <t xml:space="preserve">KAMALOV DILSHODBEK KAMOLJON O‘G‘LI</t>
        </is>
      </c>
      <c r="F267" s="111" t="inlineStr">
        <is>
          <t xml:space="preserve">998900005357 SMS OZI, 998977444083 SMS OPASI, 998909118730 SMS POCHCHASI, 998991478646 SMS OTASI,</t>
        </is>
      </c>
      <c r="G267" s="111" t="inlineStr">
        <is>
          <t xml:space="preserve">TOSHKENT SHAHAR UCHTEPA TUMANI VATAN MFY 24-MAVZE 8-UY 32-XONADON</t>
        </is>
      </c>
      <c r="H267" s="112">
        <v>3.0</v>
      </c>
      <c r="I267" s="112">
        <v>1252056.04</v>
      </c>
      <c r="K267" s="111" t="inlineStr">
        <is>
          <t xml:space="preserve">531 | Ertaga kechga | 40000000 | 548982.06 | ertga kechgacha to'laydi</t>
        </is>
      </c>
    </row>
    <row r="268">
      <c r="A268" s="111" t="inlineStr">
        <is>
          <t xml:space="preserve">ТОШКЕНТ ШАХРИ</t>
        </is>
      </c>
      <c r="B268" s="111" t="inlineStr">
        <is>
          <t xml:space="preserve">SUPER BRANCH</t>
        </is>
      </c>
      <c r="C268" s="111" t="inlineStr">
        <is>
          <t xml:space="preserve">Обещали</t>
        </is>
      </c>
      <c r="D268" s="111" t="inlineStr">
        <is>
          <t xml:space="preserve">Кр-99032143-4</t>
        </is>
      </c>
      <c r="E268" s="111" t="inlineStr">
        <is>
          <t xml:space="preserve">TO’XTASINOV NODIRBEK JAMSHID O’G’LI</t>
        </is>
      </c>
      <c r="F268" s="111" t="inlineStr">
        <is>
          <t xml:space="preserve">998771295256 SMS O’ZI, 998901920404 SMS O’ZI 2, 998931225795 SMS O’RTOG’I JASUR, 998974704120 SMS O’RTOG’I QODIR,</t>
        </is>
      </c>
      <c r="G268" s="111" t="inlineStr">
        <is>
          <t xml:space="preserve">TOSHKENT SHAHARI YASHNAOBOD TUMANI BOYQO’RGON 11-3UY</t>
        </is>
      </c>
      <c r="H268" s="112">
        <v>3.0</v>
      </c>
      <c r="I268" s="112">
        <v>1162100.0</v>
      </c>
      <c r="K268" s="111" t="inlineStr">
        <is>
          <t xml:space="preserve">bugun korishib bervorishim kere dvotti | bugun to'lov bo'ladi</t>
        </is>
      </c>
    </row>
    <row r="269">
      <c r="A269" s="111" t="inlineStr">
        <is>
          <t xml:space="preserve">ТОШКЕНТ ШАХРИ</t>
        </is>
      </c>
      <c r="B269" s="111" t="inlineStr">
        <is>
          <t xml:space="preserve">SUPER BRANCH</t>
        </is>
      </c>
      <c r="C269" s="111" t="inlineStr">
        <is>
          <t xml:space="preserve">Обещали</t>
        </is>
      </c>
      <c r="D269" s="111" t="inlineStr">
        <is>
          <t xml:space="preserve">Кр-99003228-3</t>
        </is>
      </c>
      <c r="E269" s="111" t="inlineStr">
        <is>
          <t xml:space="preserve">KAMOLOV FARRUHJON FURQAT O’G’LI</t>
        </is>
      </c>
      <c r="F269" s="111" t="inlineStr">
        <is>
          <t xml:space="preserve">998977080734 SMS OZI TOLOVCHI , 99-030-34-64 SMS , 93-135-70-20 SMS UKASI, 93-551-91-31  SMS DRUG,</t>
        </is>
      </c>
      <c r="G269" s="111" t="inlineStr">
        <is>
          <t xml:space="preserve">TOSHKENT SHAHAR OLMAZOR TUMANI GULSAROY MFY QORA-QAMISH 1/4 MAVZESI 23-UY 21-XONADON </t>
        </is>
      </c>
      <c r="H269" s="112">
        <v>3.0</v>
      </c>
      <c r="I269" s="112">
        <v>1108415.64</v>
      </c>
      <c r="K269" s="111" t="inlineStr">
        <is>
          <t xml:space="preserve">ertag a</t>
        </is>
      </c>
    </row>
    <row r="270">
      <c r="A270" s="111" t="inlineStr">
        <is>
          <t xml:space="preserve">ТОШКЕНТ ШАХРИ</t>
        </is>
      </c>
      <c r="B270" s="111" t="inlineStr">
        <is>
          <t xml:space="preserve">SUPER BRANCH</t>
        </is>
      </c>
      <c r="C270" s="111" t="inlineStr">
        <is>
          <t xml:space="preserve">Обещали</t>
        </is>
      </c>
      <c r="D270" s="111" t="inlineStr">
        <is>
          <t xml:space="preserve">Кр-99064353-1</t>
        </is>
      </c>
      <c r="E270" s="111" t="inlineStr">
        <is>
          <t xml:space="preserve">NIYOZALIYEV QOBILJON BAXROMJON O’G’LI</t>
        </is>
      </c>
      <c r="F270" s="111" t="inlineStr">
        <is>
          <t xml:space="preserve">998935484774 смс айоли, 998941733930 смс отаси, 998946246339 смс узи,</t>
        </is>
      </c>
      <c r="G270" s="111" t="inlineStr">
        <is>
          <t xml:space="preserve">Beshqoʻrgʻon MFY, Karvonsaroy ko’chasi, 5 tor ko’chasi, 19-uy</t>
        </is>
      </c>
      <c r="H270" s="112">
        <v>3.0</v>
      </c>
      <c r="I270" s="112">
        <v>730736.36</v>
      </c>
      <c r="K270" s="111" t="inlineStr">
        <is>
          <t xml:space="preserve">2302 | Ertaga kechga | 25000000 | 261443.03 | bugun pul tushsa bugun to'lavoradi</t>
        </is>
      </c>
    </row>
    <row r="271">
      <c r="A271" s="111" t="inlineStr">
        <is>
          <t xml:space="preserve">ТОШКЕНТ ШАХРИ</t>
        </is>
      </c>
      <c r="B271" s="111" t="inlineStr">
        <is>
          <t xml:space="preserve">SUPER BRANCH</t>
        </is>
      </c>
      <c r="C271" s="111" t="inlineStr">
        <is>
          <t xml:space="preserve">Обещали</t>
        </is>
      </c>
      <c r="D271" s="111" t="inlineStr">
        <is>
          <t xml:space="preserve">Кр-99033926-2</t>
        </is>
      </c>
      <c r="E271" s="111" t="inlineStr">
        <is>
          <t xml:space="preserve">SAIPOV ABDUKODIR ALIDJONOVICH</t>
        </is>
      </c>
      <c r="F271" s="111" t="inlineStr">
        <is>
          <t xml:space="preserve">998977521987 SMS O’ZI, 998971821914 SMS OGLI, 998977494315 SMS AYOLI, 998909333492 SMS ONASI,</t>
        </is>
      </c>
      <c r="G271" s="111" t="inlineStr">
        <is>
          <t xml:space="preserve">TOSHKENT SHAHAR YAKKASAROY TUMANI AKADEMIK SIROJIDDINOV 26A-UY XONADON</t>
        </is>
      </c>
      <c r="H271" s="112">
        <v>3.0</v>
      </c>
      <c r="I271" s="112">
        <v>667770.08</v>
      </c>
      <c r="K271" s="111" t="inlineStr">
        <is>
          <t xml:space="preserve">500 | Qisman yopadi qoganini ertaga | 40000000 | 373120.61</t>
        </is>
      </c>
    </row>
    <row r="272">
      <c r="A272" s="111" t="inlineStr">
        <is>
          <t xml:space="preserve">ТОШКЕНТ ШАХРИ</t>
        </is>
      </c>
      <c r="B272" s="111" t="inlineStr">
        <is>
          <t xml:space="preserve">SUPER BRANCH</t>
        </is>
      </c>
      <c r="C272" s="111" t="inlineStr">
        <is>
          <t xml:space="preserve">Обещали</t>
        </is>
      </c>
      <c r="D272" s="111" t="inlineStr">
        <is>
          <t xml:space="preserve">Кр-99028267-2</t>
        </is>
      </c>
      <c r="E272" s="111" t="inlineStr">
        <is>
          <t xml:space="preserve">KADIROV MUZAFFAR AKRAMJANOVICH</t>
        </is>
      </c>
      <c r="F272" s="111" t="inlineStr">
        <is>
          <t xml:space="preserve">98-307-15-84  SMS OZI , 97-703-15-84 SMS AYOLI, 71-283-25-69 SMS UY , 91-002-78-22 SMS OGLI,</t>
        </is>
      </c>
      <c r="G272" s="111" t="inlineStr">
        <is>
          <t xml:space="preserve">TOSHKENT SHAHAR YASHNOBOD TUMANI MUXTOR ASHRAFIY 1-BERK 128A-UY</t>
        </is>
      </c>
      <c r="H272" s="112">
        <v>3.0</v>
      </c>
      <c r="I272" s="112">
        <v>623114.65</v>
      </c>
      <c r="K272" s="111" t="inlineStr">
        <is>
          <t xml:space="preserve">xoz tolavoradi | bugun tolaydi</t>
        </is>
      </c>
    </row>
    <row r="273">
      <c r="A273" s="111" t="inlineStr">
        <is>
          <t xml:space="preserve">ТОШКЕНТ ШАХРИ</t>
        </is>
      </c>
      <c r="B273" s="111" t="inlineStr">
        <is>
          <t xml:space="preserve">SUPER BRANCH</t>
        </is>
      </c>
      <c r="C273" s="111" t="inlineStr">
        <is>
          <t xml:space="preserve">Обещали</t>
        </is>
      </c>
      <c r="D273" s="111" t="inlineStr">
        <is>
          <t xml:space="preserve">Кр-99064062-1</t>
        </is>
      </c>
      <c r="E273" s="111" t="inlineStr">
        <is>
          <t xml:space="preserve">BAXRAMOV FARRUX MUXTAROVICH</t>
        </is>
      </c>
      <c r="F273" s="111" t="inlineStr">
        <is>
          <t xml:space="preserve">998954352018 SMS QIZI, 998990081816 SMS UZI, 998998243426 SMS AYOLI,</t>
        </is>
      </c>
      <c r="G273" s="111" t="inlineStr">
        <is>
          <t xml:space="preserve">Икбол МФЙ, Водник мавзеси, 78-уй, 67-хонадон</t>
        </is>
      </c>
      <c r="H273" s="112">
        <v>3.0</v>
      </c>
      <c r="I273" s="112">
        <v>586399.32</v>
      </c>
      <c r="K273" s="111" t="inlineStr">
        <is>
          <t xml:space="preserve">bugun tolab beradi 6 laga habar olish kere</t>
        </is>
      </c>
    </row>
    <row r="274">
      <c r="A274" s="111" t="inlineStr">
        <is>
          <t xml:space="preserve">ТОШКЕНТ ШАХРИ</t>
        </is>
      </c>
      <c r="B274" s="111" t="inlineStr">
        <is>
          <t xml:space="preserve">SUPER BRANCH</t>
        </is>
      </c>
      <c r="C274" s="111" t="inlineStr">
        <is>
          <t xml:space="preserve">Обещали</t>
        </is>
      </c>
      <c r="D274" s="111" t="inlineStr">
        <is>
          <t xml:space="preserve">Кр-99027295-4</t>
        </is>
      </c>
      <c r="E274" s="111" t="inlineStr">
        <is>
          <t xml:space="preserve">GULOMOV JAMOLIDDIN DJURAYEVICH</t>
        </is>
      </c>
      <c r="F274" s="111" t="inlineStr">
        <is>
          <t xml:space="preserve">99-882-49-24 SMS, 99-888-49-24 SMS Ogli Jamshid TOLOVCHI, 99-070-77-51 SMS Ayoli, 93-377-62-20 SMS UY,</t>
        </is>
      </c>
      <c r="G274" s="111" t="inlineStr">
        <is>
          <t xml:space="preserve">Тошкент шахар Олмазор тумани Хислат МФЙ Шифокорлар Шахарчаси 30Г Даха</t>
        </is>
      </c>
      <c r="I274" s="112">
        <v>531389.11</v>
      </c>
    </row>
    <row r="275">
      <c r="A275" s="113" t="inlineStr">
        <is>
          <t xml:space="preserve">ТОШКЕНТ ШАХРИ</t>
        </is>
      </c>
      <c r="B275" s="113" t="inlineStr">
        <is>
          <t xml:space="preserve">Денов филиали</t>
        </is>
      </c>
      <c r="C275" s="113" t="inlineStr">
        <is>
          <t xml:space="preserve">Обещали</t>
        </is>
      </c>
      <c r="D275" s="113" t="inlineStr">
        <is>
          <t xml:space="preserve">Кр-99009917-2</t>
        </is>
      </c>
      <c r="E275" s="113" t="inlineStr">
        <is>
          <t xml:space="preserve">ABDURAHMANOV ABDUMUTAL ABDUJABBOROVICH</t>
        </is>
      </c>
      <c r="F275" s="113" t="inlineStr">
        <is>
          <t xml:space="preserve">90-961-00-97 SMS, 97-755-00-08 SMS, 93-033-38-82 SMS ONASI, 71-225-66-95 UY, 998712256695 SMS ISHXONA, 998909150104 SMS UY,</t>
        </is>
      </c>
      <c r="G275" s="113" t="inlineStr">
        <is>
          <t xml:space="preserve">TOSHKENT SHAHAR YUNUSOBOD TUMANI  11-MAVZE  BOG'ISHAMOL MFY 8- UY 70-XONADON</t>
        </is>
      </c>
      <c r="H275" s="114">
        <v>3.0</v>
      </c>
      <c r="I275" s="114">
        <v>4311064.56</v>
      </c>
      <c r="K275" s="113" t="inlineStr">
        <is>
          <t xml:space="preserve">9 kun tolab beradi</t>
        </is>
      </c>
    </row>
    <row r="276">
      <c r="A276" s="115" t="inlineStr">
        <is>
          <t xml:space="preserve">ТОШКЕНТ ШАХРИ</t>
        </is>
      </c>
      <c r="B276" s="115" t="inlineStr">
        <is>
          <t xml:space="preserve">Самарқанд филиали</t>
        </is>
      </c>
      <c r="C276" s="115" t="inlineStr">
        <is>
          <t xml:space="preserve">Обещали</t>
        </is>
      </c>
      <c r="D276" s="115" t="inlineStr">
        <is>
          <t xml:space="preserve">Кр-99037581-3</t>
        </is>
      </c>
      <c r="E276" s="115" t="inlineStr">
        <is>
          <t xml:space="preserve">TEMUROV FARRUX MURODULLAYEVICH</t>
        </is>
      </c>
      <c r="F276" s="115" t="inlineStr">
        <is>
          <t xml:space="preserve">998904680273 SMS OZI, 998915360000 SMS OZI 2, 998904543333 SMS UKASI, 998772608877 SMS AKASI,</t>
        </is>
      </c>
      <c r="G276" s="115" t="inlineStr">
        <is>
          <t xml:space="preserve">TOSHKENT VILOYATI TOSHKENT SHAHAR YAKKASAROY TUMANI KUSHBEGI KUXHAS 12 B DOM 12-UY</t>
        </is>
      </c>
      <c r="H276" s="116">
        <v>3.0</v>
      </c>
      <c r="I276" s="116">
        <v>9756207.0</v>
      </c>
      <c r="K276" s="115" t="inlineStr">
        <is>
          <t xml:space="preserve">709 | 6 gacha | 150000000 | 3653467.2</t>
        </is>
      </c>
    </row>
    <row r="277">
      <c r="A277" s="117" t="inlineStr">
        <is>
          <t xml:space="preserve">ФАРГОНА ВИЛОЯТИ</t>
        </is>
      </c>
      <c r="B277" s="117" t="inlineStr">
        <is>
          <t xml:space="preserve">SUPER BRANCH</t>
        </is>
      </c>
      <c r="C277" s="117" t="inlineStr">
        <is>
          <t xml:space="preserve">Обещали</t>
        </is>
      </c>
      <c r="D277" s="117" t="inlineStr">
        <is>
          <t xml:space="preserve">Кр-99036825-1</t>
        </is>
      </c>
      <c r="E277" s="117" t="inlineStr">
        <is>
          <t xml:space="preserve">RAXMANKULOVA RANO EMINOVNA</t>
        </is>
      </c>
      <c r="F277" s="117" t="inlineStr">
        <is>
          <t xml:space="preserve">998916619568 SMS OZI, 998916667777 SMS OGLI BEGONA, 998992041119 SMS OGLI 2, 998902741221 SMS UYI BEGONA, 998972711111 SMS ,</t>
        </is>
      </c>
      <c r="G277" s="117" t="inlineStr">
        <is>
          <t xml:space="preserve">FARG’ONA VILOYATI FARG’ONA SHAHAR OQARIQ MFY OQARIQ KO’CHASI 350-A UY </t>
        </is>
      </c>
      <c r="H277" s="118">
        <v>143.0</v>
      </c>
      <c r="I277" s="118">
        <v>71650307.58</v>
      </c>
      <c r="K277" s="117" t="inlineStr">
        <is>
          <t xml:space="preserve">673</t>
        </is>
      </c>
    </row>
    <row r="278">
      <c r="A278" s="117" t="inlineStr">
        <is>
          <t xml:space="preserve">ФАРГОНА ВИЛОЯТИ</t>
        </is>
      </c>
      <c r="B278" s="117" t="inlineStr">
        <is>
          <t xml:space="preserve">SUPER BRANCH</t>
        </is>
      </c>
      <c r="C278" s="117" t="inlineStr">
        <is>
          <t xml:space="preserve">Обещали</t>
        </is>
      </c>
      <c r="D278" s="117" t="inlineStr">
        <is>
          <t xml:space="preserve">Кр-99041102-2</t>
        </is>
      </c>
      <c r="E278" s="117" t="inlineStr">
        <is>
          <t xml:space="preserve">KADIROVA MAVLUDA ANVAROVNA</t>
        </is>
      </c>
      <c r="F278" s="117" t="inlineStr">
        <is>
          <t xml:space="preserve">998916508656 SMS OZI , 998910478741 SMS O’G’LI, 998916540408 SMS OPASI,</t>
        </is>
      </c>
      <c r="G278" s="117" t="inlineStr">
        <is>
          <t xml:space="preserve">FARG’ONA VILOYATI FARG’ONA SHAHAR TO’QIMACHILAR MFY AFROSIYOB KO’CHASI 2-UY 17-XONADON</t>
        </is>
      </c>
      <c r="H278" s="118">
        <v>125.0</v>
      </c>
      <c r="I278" s="118">
        <v>59374854.1</v>
      </c>
      <c r="K278" s="117" t="inlineStr">
        <is>
          <t xml:space="preserve">1111</t>
        </is>
      </c>
    </row>
    <row r="279">
      <c r="A279" s="117" t="inlineStr">
        <is>
          <t xml:space="preserve">ФАРГОНА ВИЛОЯТИ</t>
        </is>
      </c>
      <c r="B279" s="117" t="inlineStr">
        <is>
          <t xml:space="preserve">SUPER BRANCH</t>
        </is>
      </c>
      <c r="C279" s="117" t="inlineStr">
        <is>
          <t xml:space="preserve">Обещали</t>
        </is>
      </c>
      <c r="D279" s="117" t="inlineStr">
        <is>
          <t xml:space="preserve">Кр-99039832-1</t>
        </is>
      </c>
      <c r="E279" s="117" t="inlineStr">
        <is>
          <t xml:space="preserve">USMANOV MUZAFFAR MUXAMEDOVICH</t>
        </is>
      </c>
      <c r="F279" s="117" t="inlineStr">
        <is>
          <t xml:space="preserve">998900552185 SMS OZI, 998910593282 SMS AYOLI, 998913241110 SMS UKASI, 998910596232 SMS OGLI,</t>
        </is>
      </c>
      <c r="G279" s="117" t="inlineStr">
        <is>
          <t xml:space="preserve">FARG’ONA VILOYATI QO’QON SHAHAR ISTIQBOL MFY ALISHER NAVOIY KO’CHASI 68-UY 15-XONADON</t>
        </is>
      </c>
      <c r="H279" s="118">
        <v>3.0</v>
      </c>
      <c r="I279" s="118">
        <v>6969143.09</v>
      </c>
      <c r="K279" s="117" t="inlineStr">
        <is>
          <t xml:space="preserve">бугун ерта йопиб беради ишончли мижозимиз | 895</t>
        </is>
      </c>
    </row>
    <row r="280">
      <c r="A280" s="117" t="inlineStr">
        <is>
          <t xml:space="preserve">ФАРГОНА ВИЛОЯТИ</t>
        </is>
      </c>
      <c r="B280" s="117" t="inlineStr">
        <is>
          <t xml:space="preserve">SUPER BRANCH</t>
        </is>
      </c>
      <c r="C280" s="117" t="inlineStr">
        <is>
          <t xml:space="preserve">Обещали</t>
        </is>
      </c>
      <c r="D280" s="117" t="inlineStr">
        <is>
          <t xml:space="preserve">Кр-99040353-1</t>
        </is>
      </c>
      <c r="E280" s="117" t="inlineStr">
        <is>
          <t xml:space="preserve">MIRZAYEV MUXAMMAD YUSUPOVICH</t>
        </is>
      </c>
      <c r="F280" s="117" t="inlineStr">
        <is>
          <t xml:space="preserve">998916651008 SMS OZI, 998501706333 SMS AYOLI, 998935716562 SMS ONASI, 998905331919 SMS JIYANI,</t>
        </is>
      </c>
      <c r="G280" s="117" t="inlineStr">
        <is>
          <t xml:space="preserve">FARG’ONA VILOYATI TOSHLOQ TUMANI KONIZAR MFY MIROBOD KO’CHASI 180-UY</t>
        </is>
      </c>
      <c r="H280" s="118">
        <v>3.0</v>
      </c>
      <c r="I280" s="118">
        <v>5679891.96</v>
      </c>
      <c r="K280" s="117" t="inlineStr">
        <is>
          <t xml:space="preserve">997</t>
        </is>
      </c>
    </row>
    <row r="281">
      <c r="A281" s="117" t="inlineStr">
        <is>
          <t xml:space="preserve">ФАРГОНА ВИЛОЯТИ</t>
        </is>
      </c>
      <c r="B281" s="117" t="inlineStr">
        <is>
          <t xml:space="preserve">SUPER BRANCH</t>
        </is>
      </c>
      <c r="C281" s="117" t="inlineStr">
        <is>
          <t xml:space="preserve">Обещали</t>
        </is>
      </c>
      <c r="D281" s="117" t="inlineStr">
        <is>
          <t xml:space="preserve">Кр-99053631-1</t>
        </is>
      </c>
      <c r="E281" s="117" t="inlineStr">
        <is>
          <t xml:space="preserve">ABDUKARIMOV AKMALJON TO’XTASINOVICH</t>
        </is>
      </c>
      <c r="F281" s="117" t="inlineStr">
        <is>
          <t xml:space="preserve">998916720698 SMS OZI, 998505752669 SMS UKASI, 998943940527 SMKS AYOLI, 998939806766 SMS AKASI, 998941360809 hamkasbi tolovchi,</t>
        </is>
      </c>
      <c r="G281" s="117" t="inlineStr">
        <is>
          <t xml:space="preserve">FARG’ONA VILOYATI FARG’ONA TUMANI GULSHAN MFY BARKAMOL KO’CHASI 93-XONADON</t>
        </is>
      </c>
      <c r="H281" s="118">
        <v>3.0</v>
      </c>
      <c r="I281" s="118">
        <v>5348588.75</v>
      </c>
      <c r="K281" s="117" t="inlineStr">
        <is>
          <t xml:space="preserve">15 куни толов кберади анник | 1540</t>
        </is>
      </c>
    </row>
    <row r="282">
      <c r="A282" s="117" t="inlineStr">
        <is>
          <t xml:space="preserve">ФАРГОНА ВИЛОЯТИ</t>
        </is>
      </c>
      <c r="B282" s="117" t="inlineStr">
        <is>
          <t xml:space="preserve">SUPER BRANCH</t>
        </is>
      </c>
      <c r="C282" s="117" t="inlineStr">
        <is>
          <t xml:space="preserve">Обещали</t>
        </is>
      </c>
      <c r="D282" s="117" t="inlineStr">
        <is>
          <t xml:space="preserve">Кр-99037178-1</t>
        </is>
      </c>
      <c r="E282" s="117" t="inlineStr">
        <is>
          <t xml:space="preserve">NURULLAYEV XOKIMJON OBIDDINOVICH</t>
        </is>
      </c>
      <c r="F282" s="117" t="inlineStr">
        <is>
          <t xml:space="preserve">998972141971 SMS OZI, 998888141973 SMS AYOLI, 998903020279 SMS OGLI ABDULXAFIZ O'G'LI, 998905371938 SMS KELINI,</t>
        </is>
      </c>
      <c r="G282" s="117" t="inlineStr">
        <is>
          <t xml:space="preserve">FARG’ONA VILOYATI FARG’ONA SHAHAR NAFOSAT MFY XAZINA QASHAKAR KO’CHASI 224-UY</t>
        </is>
      </c>
      <c r="H282" s="118">
        <v>3.0</v>
      </c>
      <c r="I282" s="118">
        <v>5114976.5</v>
      </c>
      <c r="K282" s="117" t="inlineStr">
        <is>
          <t xml:space="preserve">хар ой 20 чида толов клади пенялари блан | 702</t>
        </is>
      </c>
    </row>
    <row r="283">
      <c r="A283" s="117" t="inlineStr">
        <is>
          <t xml:space="preserve">ФАРГОНА ВИЛОЯТИ</t>
        </is>
      </c>
      <c r="B283" s="117" t="inlineStr">
        <is>
          <t xml:space="preserve">SUPER BRANCH</t>
        </is>
      </c>
      <c r="C283" s="117" t="inlineStr">
        <is>
          <t xml:space="preserve">Обещали</t>
        </is>
      </c>
      <c r="D283" s="117" t="inlineStr">
        <is>
          <t xml:space="preserve">Кр-99040371-1</t>
        </is>
      </c>
      <c r="E283" s="117" t="inlineStr">
        <is>
          <t xml:space="preserve">FAYZULLAYEVA MUYASSARXON SAYDUMAROVNA</t>
        </is>
      </c>
      <c r="F283" s="117" t="inlineStr">
        <is>
          <t xml:space="preserve">998507161002 SMS OZI, 998945120202 SMS UY, 998330802006 SMS NEVARASI, 998936402057 SMS OGLI,</t>
        </is>
      </c>
      <c r="G283" s="117" t="inlineStr">
        <is>
          <t xml:space="preserve">FARG’ONA VILOYATI BUVAYDA TUMANI BACHQIR MFY GUZAR KO’CHASI 33-XONADON</t>
        </is>
      </c>
      <c r="H283" s="118">
        <v>3.0</v>
      </c>
      <c r="I283" s="118">
        <v>5044694.59</v>
      </c>
      <c r="K283" s="117" t="inlineStr">
        <is>
          <t xml:space="preserve">бугун ерта килиб йопиб беради | 1004</t>
        </is>
      </c>
    </row>
    <row r="284">
      <c r="A284" s="117" t="inlineStr">
        <is>
          <t xml:space="preserve">ФАРГОНА ВИЛОЯТИ</t>
        </is>
      </c>
      <c r="B284" s="117" t="inlineStr">
        <is>
          <t xml:space="preserve">SUPER BRANCH</t>
        </is>
      </c>
      <c r="C284" s="117" t="inlineStr">
        <is>
          <t xml:space="preserve">Обещали</t>
        </is>
      </c>
      <c r="D284" s="117" t="inlineStr">
        <is>
          <t xml:space="preserve">Кр-99035898-1</t>
        </is>
      </c>
      <c r="E284" s="117" t="inlineStr">
        <is>
          <t xml:space="preserve">SIROJIDDINOV IBROXIMJON YOKUBOVICH</t>
        </is>
      </c>
      <c r="F284" s="117" t="inlineStr">
        <is>
          <t xml:space="preserve">998911592058  SMS O’ZI, 998905842034 SMS AYOLI , 998906317262 SMS O’G’LI, 998913290611 SMS ONASI , 998916701978 жияни туловчи ,</t>
        </is>
      </c>
      <c r="G284" s="117" t="inlineStr">
        <is>
          <t xml:space="preserve">FARG’ONA VILOYATI FARG’ONA TUMANI YORMOZOR MFY IPAK YO’LI KO’CHASI 131-ONADON</t>
        </is>
      </c>
      <c r="H284" s="118">
        <v>1.0</v>
      </c>
      <c r="I284" s="118">
        <v>4491149.07</v>
      </c>
      <c r="K284" s="117" t="inlineStr">
        <is>
          <t xml:space="preserve">вада берди душанба кун шотига пул тушади толов кберади | 627</t>
        </is>
      </c>
    </row>
    <row r="285">
      <c r="A285" s="117" t="inlineStr">
        <is>
          <t xml:space="preserve">ФАРГОНА ВИЛОЯТИ</t>
        </is>
      </c>
      <c r="B285" s="117" t="inlineStr">
        <is>
          <t xml:space="preserve">SUPER BRANCH</t>
        </is>
      </c>
      <c r="C285" s="117" t="inlineStr">
        <is>
          <t xml:space="preserve">Обещали</t>
        </is>
      </c>
      <c r="D285" s="117" t="inlineStr">
        <is>
          <t xml:space="preserve">Кр-99040890-1</t>
        </is>
      </c>
      <c r="E285" s="117" t="inlineStr">
        <is>
          <t xml:space="preserve">JAMOLOV ASILBEK XOLIQJON O’GLI</t>
        </is>
      </c>
      <c r="F285" s="117" t="inlineStr">
        <is>
          <t xml:space="preserve">998946588800 SMS OZI, 998990099303 SMS DOSTI, 998786494942 SMS DOSTI 2, 998706094543 SMS DOSTI 3, 998770043045 DOST TOLOVCHI ,</t>
        </is>
      </c>
      <c r="G285" s="117" t="inlineStr">
        <is>
          <t xml:space="preserve">TOSHKENT SHAHAR YASHNABOD TUMANI JARBOSHI MFY, A.SERIKBAEV (BUSH) KO’CHASI 20-UY,39-XONADON</t>
        </is>
      </c>
      <c r="H285" s="118">
        <v>6.0</v>
      </c>
      <c r="I285" s="118">
        <v>4418545.74</v>
      </c>
      <c r="K285" s="117" t="inlineStr">
        <is>
          <t xml:space="preserve">бошка мошинасини койиб залогга пул оляпти озимиздан толов кберади | 1086</t>
        </is>
      </c>
    </row>
    <row r="286">
      <c r="A286" s="117" t="inlineStr">
        <is>
          <t xml:space="preserve">ФАРГОНА ВИЛОЯТИ</t>
        </is>
      </c>
      <c r="B286" s="117" t="inlineStr">
        <is>
          <t xml:space="preserve">SUPER BRANCH</t>
        </is>
      </c>
      <c r="C286" s="117" t="inlineStr">
        <is>
          <t xml:space="preserve">Обещали</t>
        </is>
      </c>
      <c r="D286" s="117" t="inlineStr">
        <is>
          <t xml:space="preserve">Кр-99039992-1</t>
        </is>
      </c>
      <c r="E286" s="117" t="inlineStr">
        <is>
          <t xml:space="preserve">JO’RAYEVA MARXAMATOY TURG’UNOVNA</t>
        </is>
      </c>
      <c r="F286" s="117" t="inlineStr">
        <is>
          <t xml:space="preserve">998996905719 uzi, 998996029191 jiyani tolovchi , 998936979191 ugli,</t>
        </is>
      </c>
      <c r="G286" s="117" t="inlineStr">
        <is>
          <t xml:space="preserve">FARG’ONA VILOYATI UCHKO’PRIK TUMANI</t>
        </is>
      </c>
      <c r="H286" s="118">
        <v>3.0</v>
      </c>
      <c r="I286" s="118">
        <v>4020711.36</v>
      </c>
      <c r="K286" s="117" t="inlineStr">
        <is>
          <t xml:space="preserve">20 числогача йопиб беради арендатирларидан пул йигиши кере | 931</t>
        </is>
      </c>
    </row>
    <row r="287">
      <c r="A287" s="117" t="inlineStr">
        <is>
          <t xml:space="preserve">ФАРГОНА ВИЛОЯТИ</t>
        </is>
      </c>
      <c r="B287" s="117" t="inlineStr">
        <is>
          <t xml:space="preserve">SUPER BRANCH</t>
        </is>
      </c>
      <c r="C287" s="117" t="inlineStr">
        <is>
          <t xml:space="preserve">Обещали</t>
        </is>
      </c>
      <c r="D287" s="117" t="inlineStr">
        <is>
          <t xml:space="preserve">Кр-99037171-1</t>
        </is>
      </c>
      <c r="E287" s="117" t="inlineStr">
        <is>
          <t xml:space="preserve">SHARABIDINOVA NUSRATXON ISMOILOVNA</t>
        </is>
      </c>
      <c r="F287" s="117" t="inlineStr">
        <is>
          <t xml:space="preserve">998911303102 SMS OZI, 998999810228 SMS O’G’LI, 998335755717 SMS  QIZI, 998335555717 SMS NEVARASI, 998889270228 OGLI TOLOVCHI ,</t>
        </is>
      </c>
      <c r="G287" s="117" t="inlineStr">
        <is>
          <t xml:space="preserve">FARG’ONA VILOYATI FARG’ONA SHAHAR KIMYOGARLAR MFY SO’LIM KO’CHASI 11/2-UY 18-XONADON</t>
        </is>
      </c>
      <c r="H287" s="118">
        <v>1.0</v>
      </c>
      <c r="I287" s="118">
        <v>3802891.88</v>
      </c>
      <c r="K287" s="117" t="inlineStr">
        <is>
          <t xml:space="preserve">ертага узоги толов кберади кредит оляпти | 699</t>
        </is>
      </c>
    </row>
    <row r="288">
      <c r="A288" s="117" t="inlineStr">
        <is>
          <t xml:space="preserve">ФАРГОНА ВИЛОЯТИ</t>
        </is>
      </c>
      <c r="B288" s="117" t="inlineStr">
        <is>
          <t xml:space="preserve">SUPER BRANCH</t>
        </is>
      </c>
      <c r="C288" s="117" t="inlineStr">
        <is>
          <t xml:space="preserve">Обещали</t>
        </is>
      </c>
      <c r="D288" s="117" t="inlineStr">
        <is>
          <t xml:space="preserve">Кр-99035863-1</t>
        </is>
      </c>
      <c r="E288" s="117" t="inlineStr">
        <is>
          <t xml:space="preserve">ERGASHEV ILXOMJON XAKIMOVICH</t>
        </is>
      </c>
      <c r="F288" s="117" t="inlineStr">
        <is>
          <t xml:space="preserve">998916767655 SMS OZI, 998907831068 SMS AYOLI, 998916584356 SMS OGLI, 998907814645 SMS SHERIGI begona, 998949767655 OZI NEW ,</t>
        </is>
      </c>
      <c r="G288" s="117" t="inlineStr">
        <is>
          <t xml:space="preserve">FARG’ONA VILOYATI MARG’ILON SHAHAR YANGI XAYOT MFY S-OLLOYOR KO’CHASI 288-UY</t>
        </is>
      </c>
      <c r="H288" s="118">
        <v>2.0</v>
      </c>
      <c r="I288" s="118">
        <v>2724648.38</v>
      </c>
      <c r="K288" s="117" t="inlineStr">
        <is>
          <t xml:space="preserve">бугун йопиб беради 2 ла анкетасиниям | 619</t>
        </is>
      </c>
    </row>
    <row r="289">
      <c r="A289" s="117" t="inlineStr">
        <is>
          <t xml:space="preserve">ФАРГОНА ВИЛОЯТИ</t>
        </is>
      </c>
      <c r="B289" s="117" t="inlineStr">
        <is>
          <t xml:space="preserve">SUPER BRANCH</t>
        </is>
      </c>
      <c r="C289" s="117" t="inlineStr">
        <is>
          <t xml:space="preserve">Обещали</t>
        </is>
      </c>
      <c r="D289" s="117" t="inlineStr">
        <is>
          <t xml:space="preserve">Кр-99038932-2</t>
        </is>
      </c>
      <c r="E289" s="117" t="inlineStr">
        <is>
          <t xml:space="preserve">ABDUMO’MINOV MUHAMMADYOSIN  ZOHIDJON O’G’LI</t>
        </is>
      </c>
      <c r="F289" s="117" t="inlineStr">
        <is>
          <t xml:space="preserve">998951622377 SMS OZI, 998901622377 SMS UKASI, 998938882104 SMS AYOLI, 998904062741 SMS ONASI,</t>
        </is>
      </c>
      <c r="G289" s="117" t="inlineStr">
        <is>
          <t xml:space="preserve">FARG’ONA VILOYATI RISHTON TUMANI BUSTON MFY GULISTON KO’CHASI 65-A XONADON</t>
        </is>
      </c>
      <c r="H289" s="118">
        <v>3.0</v>
      </c>
      <c r="I289" s="118">
        <v>2481745.55</v>
      </c>
      <c r="K289" s="117" t="inlineStr">
        <is>
          <t xml:space="preserve">шанба куни толов кберади курилиш ташкилотида сотув болимида ишлиди | 806</t>
        </is>
      </c>
    </row>
    <row r="290">
      <c r="A290" s="117" t="inlineStr">
        <is>
          <t xml:space="preserve">ФАРГОНА ВИЛОЯТИ</t>
        </is>
      </c>
      <c r="B290" s="117" t="inlineStr">
        <is>
          <t xml:space="preserve">SUPER BRANCH</t>
        </is>
      </c>
      <c r="C290" s="117" t="inlineStr">
        <is>
          <t xml:space="preserve">Обещали</t>
        </is>
      </c>
      <c r="D290" s="117" t="inlineStr">
        <is>
          <t xml:space="preserve">Кр-99036269-1</t>
        </is>
      </c>
      <c r="E290" s="117" t="inlineStr">
        <is>
          <t xml:space="preserve">TASHPULATOV AVAZJON AKRAMOVICH</t>
        </is>
      </c>
      <c r="F290" s="117" t="inlineStr">
        <is>
          <t xml:space="preserve">998911256909 SMS OZI, 998916797220 SMS OTASI, 998901792328 SMS AYOLI TOLOVCHI , 998911296260 SMS ONASI, +998911256909 Primary phone from road24,</t>
        </is>
      </c>
      <c r="G290" s="117" t="inlineStr">
        <is>
          <t xml:space="preserve">FARG’ONA VILOYATI TOSHLOQ TUMANI FURKAT MFY HUNARMANTLAR KO’CHASI 26-XONADON</t>
        </is>
      </c>
      <c r="I290" s="118">
        <v>2071308.03</v>
      </c>
      <c r="K290" s="117" t="inlineStr">
        <is>
          <t xml:space="preserve">бугун битта анкетасини йопиб беради ертага 2 чисини йопиб беради | 639</t>
        </is>
      </c>
    </row>
    <row r="291">
      <c r="A291" s="117" t="inlineStr">
        <is>
          <t xml:space="preserve">ФАРГОНА ВИЛОЯТИ</t>
        </is>
      </c>
      <c r="B291" s="117" t="inlineStr">
        <is>
          <t xml:space="preserve">SUPER BRANCH</t>
        </is>
      </c>
      <c r="C291" s="117" t="inlineStr">
        <is>
          <t xml:space="preserve">Обещали</t>
        </is>
      </c>
      <c r="D291" s="117" t="inlineStr">
        <is>
          <t xml:space="preserve">Кр-99060305-1</t>
        </is>
      </c>
      <c r="E291" s="117" t="inlineStr">
        <is>
          <t xml:space="preserve">IBRAGIMOV XAYOTILLO AMRULLOXONOVICH</t>
        </is>
      </c>
      <c r="F291" s="117" t="inlineStr">
        <is>
          <t xml:space="preserve">998995826214 SMS OIZI, 998905826214 SMS AKASI, 998993956214 SMS AYOLI, 998905096010 SMS JIYANI,</t>
        </is>
      </c>
      <c r="G291" s="117" t="inlineStr">
        <is>
          <t xml:space="preserve">FARG’ONA VILOYATI TOSHLOQ TUMANI XO’JJARIQ MFY A-NAVOIY KO’CHASI 153-XONADON</t>
        </is>
      </c>
      <c r="H291" s="118">
        <v>3.0</v>
      </c>
      <c r="I291" s="118">
        <v>1261900.93</v>
      </c>
      <c r="K291" s="117" t="inlineStr">
        <is>
          <t xml:space="preserve">1739</t>
        </is>
      </c>
    </row>
    <row r="292">
      <c r="A292" s="117" t="inlineStr">
        <is>
          <t xml:space="preserve">ФАРГОНА ВИЛОЯТИ</t>
        </is>
      </c>
      <c r="B292" s="117" t="inlineStr">
        <is>
          <t xml:space="preserve">SUPER BRANCH</t>
        </is>
      </c>
      <c r="C292" s="117" t="inlineStr">
        <is>
          <t xml:space="preserve">Обещали</t>
        </is>
      </c>
      <c r="D292" s="117" t="inlineStr">
        <is>
          <t xml:space="preserve">Кр-99018324-2</t>
        </is>
      </c>
      <c r="E292" s="117" t="inlineStr">
        <is>
          <t xml:space="preserve">O’KTAMOV ABDUSALOMBEK ABDIRASHIT O’G’LI</t>
        </is>
      </c>
      <c r="F292" s="117" t="inlineStr">
        <is>
          <t xml:space="preserve">998990095139 SMS OZI buvayda xokimyatida ishlid  mutaxassis, 998994729902 SMS OMAKISI, 998770171998 SMS UKASI, 998993641727 SMS TOGASI,</t>
        </is>
      </c>
      <c r="G292" s="117" t="inlineStr">
        <is>
          <t xml:space="preserve">FARG’ONA VILOYATI BUVAYDA TUMANI QORAQUM MFY, QORAQUM QISHLOG’I 56-UY</t>
        </is>
      </c>
      <c r="H292" s="118">
        <v>3.0</v>
      </c>
      <c r="I292" s="118">
        <v>883001.11</v>
      </c>
      <c r="K292" s="117" t="inlineStr">
        <is>
          <t xml:space="preserve">бугун кечгача йопиб беради | 92</t>
        </is>
      </c>
    </row>
    <row r="293">
      <c r="A293" s="117" t="inlineStr">
        <is>
          <t xml:space="preserve">ФАРГОНА ВИЛОЯТИ</t>
        </is>
      </c>
      <c r="B293" s="117" t="inlineStr">
        <is>
          <t xml:space="preserve">SUPER BRANCH</t>
        </is>
      </c>
      <c r="C293" s="117" t="inlineStr">
        <is>
          <t xml:space="preserve">Обещали</t>
        </is>
      </c>
      <c r="D293" s="117" t="inlineStr">
        <is>
          <t xml:space="preserve">Кр-99028581-4</t>
        </is>
      </c>
      <c r="E293" s="117" t="inlineStr">
        <is>
          <t xml:space="preserve">RUSTAMOVA CHINARA ABDRAXMANOVNA</t>
        </is>
      </c>
      <c r="F293" s="117" t="inlineStr">
        <is>
          <t xml:space="preserve">93-443-38-30  SMS O'ZI, 91-396-85-25  SMS ERI , 95-110-82-02  SMS OPASI , 50-772-85-87  SMS SINGLISI ,</t>
        </is>
      </c>
      <c r="G293" s="117" t="inlineStr">
        <is>
          <t xml:space="preserve">FARG’ONA VILOYATI FARG’ONA SHAHAR KIMYOGARLAR MFY, SO’LIM KO’CHASI 11/4-UY 18-XONADON</t>
        </is>
      </c>
      <c r="H293" s="118">
        <v>3.0</v>
      </c>
      <c r="I293" s="118">
        <v>801461.06</v>
      </c>
      <c r="K293" s="117" t="inlineStr">
        <is>
          <t xml:space="preserve">276</t>
        </is>
      </c>
    </row>
    <row r="294">
      <c r="A294" s="117" t="inlineStr">
        <is>
          <t xml:space="preserve">ФАРГОНА ВИЛОЯТИ</t>
        </is>
      </c>
      <c r="B294" s="117" t="inlineStr">
        <is>
          <t xml:space="preserve">SUPER BRANCH</t>
        </is>
      </c>
      <c r="C294" s="117" t="inlineStr">
        <is>
          <t xml:space="preserve">Обещали</t>
        </is>
      </c>
      <c r="D294" s="117" t="inlineStr">
        <is>
          <t xml:space="preserve">Кр-99057360-1</t>
        </is>
      </c>
      <c r="E294" s="117" t="inlineStr">
        <is>
          <t xml:space="preserve">EGAMOVA ZULFIYAXON XUDOYBERDIYEVNA</t>
        </is>
      </c>
      <c r="F294" s="117" t="inlineStr">
        <is>
          <t xml:space="preserve">998902737386 SMS UZI, 998913259406 SMS ERI, 998997501224 SMS UY, 998905838379 SMS UKASI,</t>
        </is>
      </c>
      <c r="G294" s="117" t="inlineStr">
        <is>
          <t xml:space="preserve">FARG’ONA VILOYATI FARG’ONA TUMANI SHIFOKOR MFY SHIFOKOR KO’CHASI 1-UY 20-XONADON</t>
        </is>
      </c>
      <c r="H294" s="118">
        <v>3.0</v>
      </c>
      <c r="I294" s="118">
        <v>776298.81</v>
      </c>
      <c r="K294" s="117" t="inlineStr">
        <is>
          <t xml:space="preserve">ертага толов кберади абетлага толов кберади | 1620</t>
        </is>
      </c>
    </row>
    <row r="295">
      <c r="A295" s="99" t="inlineStr">
        <is>
          <t xml:space="preserve">ФАРГОНА ВИЛОЯТИ</t>
        </is>
      </c>
      <c r="B295" s="99" t="inlineStr">
        <is>
          <t xml:space="preserve">Самарқанд филиали</t>
        </is>
      </c>
      <c r="C295" s="99" t="inlineStr">
        <is>
          <t xml:space="preserve">Обещали</t>
        </is>
      </c>
      <c r="D295" s="99" t="inlineStr">
        <is>
          <t xml:space="preserve">Кр-99018198-6</t>
        </is>
      </c>
      <c r="E295" s="99" t="inlineStr">
        <is>
          <t xml:space="preserve">MIRZAMAXMUDOV BUNYODJON MIRSULTON-O’G’LI</t>
        </is>
      </c>
      <c r="F295" s="99" t="inlineStr">
        <is>
          <t xml:space="preserve">90-725-11-33  sms UZI , 98-276-11-33  sms UZI , 97-337-11-33  sms UY, 99-312-11-68  sms AYOLI,</t>
        </is>
      </c>
      <c r="G295" s="99" t="inlineStr">
        <is>
          <t xml:space="preserve">FARG’ONA VILOYATI DANG’ARA TUMANI TAPTIQ SAROY QISHLOG’I ISTIQBOL MAHALLASI 1-UY</t>
        </is>
      </c>
      <c r="H295" s="100">
        <v>3.0</v>
      </c>
      <c r="I295" s="100">
        <v>1839667.92</v>
      </c>
      <c r="K295" s="99" t="inlineStr">
        <is>
          <t xml:space="preserve">ертага йопилади ойлик олади | 89</t>
        </is>
      </c>
    </row>
    <row r="296">
      <c r="A296" s="101" t="inlineStr">
        <is>
          <t xml:space="preserve">ФАРГОНА ВИЛОЯТИ</t>
        </is>
      </c>
      <c r="B296" s="101" t="inlineStr">
        <is>
          <t xml:space="preserve">Фарғона филиали</t>
        </is>
      </c>
      <c r="C296" s="101" t="inlineStr">
        <is>
          <t xml:space="preserve">Обещали</t>
        </is>
      </c>
      <c r="D296" s="101" t="inlineStr">
        <is>
          <t xml:space="preserve">Кр-99062910-2</t>
        </is>
      </c>
      <c r="E296" s="101" t="inlineStr">
        <is>
          <t xml:space="preserve">USMANOV TULKUN TOLIPOVICH</t>
        </is>
      </c>
      <c r="F296" s="101" t="inlineStr">
        <is>
          <t xml:space="preserve">998900409693 O’G’LI, 998902725478 JIYANI, 998916813005 SMS O’ZI, 998998090602 O’G’LI,</t>
        </is>
      </c>
      <c r="G296" s="101" t="inlineStr">
        <is>
          <t xml:space="preserve">FARG’ONA VILOYATI QO’SHTEPA TUMANI BALANDMASJID MFY NAVRO’Z KO’CHASI 454-UY</t>
        </is>
      </c>
      <c r="H296" s="102">
        <v>3.0</v>
      </c>
      <c r="I296" s="102">
        <v>9694311.04</v>
      </c>
      <c r="K296" s="101" t="inlineStr">
        <is>
          <t xml:space="preserve">1942</t>
        </is>
      </c>
    </row>
    <row r="297">
      <c r="A297" s="101" t="inlineStr">
        <is>
          <t xml:space="preserve">ФАРГОНА ВИЛОЯТИ</t>
        </is>
      </c>
      <c r="B297" s="101" t="inlineStr">
        <is>
          <t xml:space="preserve">Фарғона филиали</t>
        </is>
      </c>
      <c r="C297" s="101" t="inlineStr">
        <is>
          <t xml:space="preserve">Обещали</t>
        </is>
      </c>
      <c r="D297" s="101" t="inlineStr">
        <is>
          <t xml:space="preserve">Кр-99040707-1</t>
        </is>
      </c>
      <c r="E297" s="101" t="inlineStr">
        <is>
          <t xml:space="preserve">KABILOVA DILOBA XAKIMOVNA</t>
        </is>
      </c>
      <c r="F297" s="101" t="inlineStr">
        <is>
          <t xml:space="preserve">+998999902233 SMS O’ZI, 998916716784 ERI, 998978828881 O’G’LI 2, 998988887881 O’G’LI,</t>
        </is>
      </c>
      <c r="G297" s="101" t="inlineStr">
        <is>
          <t xml:space="preserve">FARG’ONA VILOYATI FARG’ONA SHAHAR OYBEK MFY P.MAXMUD KO’CHASI 63-XONADON</t>
        </is>
      </c>
      <c r="H297" s="102">
        <v>3.0</v>
      </c>
      <c r="I297" s="102">
        <v>7832706.55</v>
      </c>
      <c r="K297" s="101" t="inlineStr">
        <is>
          <t xml:space="preserve">1065</t>
        </is>
      </c>
    </row>
    <row r="298">
      <c r="A298" s="101" t="inlineStr">
        <is>
          <t xml:space="preserve">ФАРГОНА ВИЛОЯТИ</t>
        </is>
      </c>
      <c r="B298" s="101" t="inlineStr">
        <is>
          <t xml:space="preserve">Фарғона филиали</t>
        </is>
      </c>
      <c r="C298" s="101" t="inlineStr">
        <is>
          <t xml:space="preserve">Обещали</t>
        </is>
      </c>
      <c r="D298" s="101" t="inlineStr">
        <is>
          <t xml:space="preserve">Кр-99038770-2</t>
        </is>
      </c>
      <c r="E298" s="101" t="inlineStr">
        <is>
          <t xml:space="preserve">XAYITOV MUXIDDIN DILSHODJONOVICH</t>
        </is>
      </c>
      <c r="F298" s="101" t="inlineStr">
        <is>
          <t xml:space="preserve">998949934000 SMS OZI, 998945688683 SMS OZI 2, 998505767908 SMS OGLI, 998950288992 UKASI TOLOVCHI , +998949934000 SMS O’ZI,</t>
        </is>
      </c>
      <c r="G298" s="101" t="inlineStr">
        <is>
          <t xml:space="preserve">FARG’ONA VILOYATI O’ZBEKISTON TUMANI KICHIK TAGOB MFY YOSHLAR KO’CHASI 112-XONADON</t>
        </is>
      </c>
      <c r="H298" s="102">
        <v>3.0</v>
      </c>
      <c r="I298" s="102">
        <v>5728627.36</v>
      </c>
      <c r="K298" s="101" t="inlineStr">
        <is>
          <t xml:space="preserve">797</t>
        </is>
      </c>
    </row>
    <row r="299">
      <c r="A299" s="101" t="inlineStr">
        <is>
          <t xml:space="preserve">ФАРГОНА ВИЛОЯТИ</t>
        </is>
      </c>
      <c r="B299" s="101" t="inlineStr">
        <is>
          <t xml:space="preserve">Фарғона филиали</t>
        </is>
      </c>
      <c r="C299" s="101" t="inlineStr">
        <is>
          <t xml:space="preserve">Обещали</t>
        </is>
      </c>
      <c r="D299" s="101" t="inlineStr">
        <is>
          <t xml:space="preserve">Кр-99042673-1</t>
        </is>
      </c>
      <c r="E299" s="101" t="inlineStr">
        <is>
          <t xml:space="preserve">UMURZAKOVA MUNIRA BAXTIYAROVNA</t>
        </is>
      </c>
      <c r="F299" s="101" t="inlineStr">
        <is>
          <t xml:space="preserve">+998951500250 SMS O’ZI, 998916501497 O’G’LI 2, 998936499485 O’G’LI, 998972050027 UY,</t>
        </is>
      </c>
      <c r="G299" s="101" t="inlineStr">
        <is>
          <t xml:space="preserve">FARG’ONA VILOYATI QO’SHTEPA TUMANI QAMISHTEPA MFY SERQO’YOSH KO’CHASI 90-XONADON</t>
        </is>
      </c>
      <c r="H299" s="102">
        <v>3.0</v>
      </c>
      <c r="I299" s="102">
        <v>5644893.44</v>
      </c>
      <c r="K299" s="101" t="inlineStr">
        <is>
          <t xml:space="preserve">1258</t>
        </is>
      </c>
    </row>
    <row r="300">
      <c r="A300" s="101" t="inlineStr">
        <is>
          <t xml:space="preserve">ФАРГОНА ВИЛОЯТИ</t>
        </is>
      </c>
      <c r="B300" s="101" t="inlineStr">
        <is>
          <t xml:space="preserve">Фарғона филиали</t>
        </is>
      </c>
      <c r="C300" s="101" t="inlineStr">
        <is>
          <t xml:space="preserve">Обещали</t>
        </is>
      </c>
      <c r="D300" s="101" t="inlineStr">
        <is>
          <t xml:space="preserve">Кр-99063971-1</t>
        </is>
      </c>
      <c r="E300" s="101" t="inlineStr">
        <is>
          <t xml:space="preserve">ISMOILOV DAVLATJON GAYBILLAJONOVICH</t>
        </is>
      </c>
      <c r="F300" s="101" t="inlineStr">
        <is>
          <t xml:space="preserve">+998916693159 SMS O’ZI, 998905820147 AYOLI, 998906693159 UY, 998911171378 ONASI,</t>
        </is>
      </c>
      <c r="G300" s="101" t="inlineStr">
        <is>
          <t xml:space="preserve">FARG’ONA VILOYATI FARG’ONA TUMANI SHOHIMARDONOBOD MFY NURONIYLAR KO’CHASI 9-UY</t>
        </is>
      </c>
      <c r="H300" s="102">
        <v>3.0</v>
      </c>
      <c r="I300" s="102">
        <v>5004875.63</v>
      </c>
      <c r="K300" s="101" t="inlineStr">
        <is>
          <t xml:space="preserve">2250</t>
        </is>
      </c>
    </row>
    <row r="301">
      <c r="A301" s="101" t="inlineStr">
        <is>
          <t xml:space="preserve">ФАРГОНА ВИЛОЯТИ</t>
        </is>
      </c>
      <c r="B301" s="101" t="inlineStr">
        <is>
          <t xml:space="preserve">Фарғона филиали</t>
        </is>
      </c>
      <c r="C301" s="101" t="inlineStr">
        <is>
          <t xml:space="preserve">Обещали</t>
        </is>
      </c>
      <c r="D301" s="101" t="inlineStr">
        <is>
          <t xml:space="preserve">Кр-99028113-4</t>
        </is>
      </c>
      <c r="E301" s="101" t="inlineStr">
        <is>
          <t xml:space="preserve">KARABAYEV ADXAMJON GULAMJONOVICH</t>
        </is>
      </c>
      <c r="F301" s="101" t="inlineStr">
        <is>
          <t xml:space="preserve">90-776-81-71 SMS OZI , 90-776-81-71  SMS ONASI , 97-475-99-40 SMS UKASI (БЕГОНА), 93-970-00-31 SMS XOLASI ,</t>
        </is>
      </c>
      <c r="G301" s="101" t="inlineStr">
        <is>
          <t xml:space="preserve">FARG’ONA VILOYATI FARG’ONA SHAHAR DO’SLIK MFY ALISHER NAVOIY SHOX KO’CHASI 47 B-UY 42-XONADON</t>
        </is>
      </c>
      <c r="H301" s="102">
        <v>3.0</v>
      </c>
      <c r="I301" s="102">
        <v>5002584.29</v>
      </c>
      <c r="K301" s="101" t="inlineStr">
        <is>
          <t xml:space="preserve">261</t>
        </is>
      </c>
    </row>
    <row r="302">
      <c r="A302" s="101" t="inlineStr">
        <is>
          <t xml:space="preserve">ФАРГОНА ВИЛОЯТИ</t>
        </is>
      </c>
      <c r="B302" s="101" t="inlineStr">
        <is>
          <t xml:space="preserve">Фарғона филиали</t>
        </is>
      </c>
      <c r="C302" s="101" t="inlineStr">
        <is>
          <t xml:space="preserve">Обещали</t>
        </is>
      </c>
      <c r="D302" s="101" t="inlineStr">
        <is>
          <t xml:space="preserve">Кр-99034161-1</t>
        </is>
      </c>
      <c r="E302" s="101" t="inlineStr">
        <is>
          <t xml:space="preserve">G’OFUROV KOMILJON TOLIBJONOVICH</t>
        </is>
      </c>
      <c r="F302" s="101" t="inlineStr">
        <is>
          <t xml:space="preserve">998902912907 SMS Ozi, 998937248207 SMS Ayoli , 998937278207 SMS Ayoli , 998507770652  qizi tolovchi , 998947963335 UZI NEWWW,</t>
        </is>
      </c>
      <c r="G302" s="101" t="inlineStr">
        <is>
          <t xml:space="preserve">FARG’ONA VILOYATI BOG’DOD TUMANI BEKOBOD MFY XUMO KO’CHASI 118-XONADON</t>
        </is>
      </c>
      <c r="H302" s="102">
        <v>3.0</v>
      </c>
      <c r="I302" s="102">
        <v>4934894.95</v>
      </c>
      <c r="K302" s="101" t="inlineStr">
        <is>
          <t xml:space="preserve">кисман кисман киилб толов кберади | 520</t>
        </is>
      </c>
    </row>
    <row r="303">
      <c r="A303" s="101" t="inlineStr">
        <is>
          <t xml:space="preserve">ФАРГОНА ВИЛОЯТИ</t>
        </is>
      </c>
      <c r="B303" s="101" t="inlineStr">
        <is>
          <t xml:space="preserve">Фарғона филиали</t>
        </is>
      </c>
      <c r="C303" s="101" t="inlineStr">
        <is>
          <t xml:space="preserve">Обещали</t>
        </is>
      </c>
      <c r="D303" s="101" t="inlineStr">
        <is>
          <t xml:space="preserve">Кр-99064162-1</t>
        </is>
      </c>
      <c r="E303" s="101" t="inlineStr">
        <is>
          <t xml:space="preserve">SHAROBIDINOVA GULBAXOR TURSINBOYEVNA</t>
        </is>
      </c>
      <c r="F303" s="101" t="inlineStr">
        <is>
          <t xml:space="preserve">998705123939 UY, 998901137766 UKASI, 998995593553 SMS O’ZI,</t>
        </is>
      </c>
      <c r="G303" s="101" t="inlineStr">
        <is>
          <t xml:space="preserve">FARG’ONA VILOYATI FARG’ONA SHAHAR ISTIQBOL MFY SO’LIM KO’CHASI 23/2-UY 15-XONADON</t>
        </is>
      </c>
      <c r="H303" s="102">
        <v>3.0</v>
      </c>
      <c r="I303" s="102">
        <v>4728196.0</v>
      </c>
      <c r="K303" s="101" t="inlineStr">
        <is>
          <t xml:space="preserve">ертага толов кберади бич пулларини йигяпти бозордан | 2301</t>
        </is>
      </c>
    </row>
    <row r="304">
      <c r="A304" s="101" t="inlineStr">
        <is>
          <t xml:space="preserve">ФАРГОНА ВИЛОЯТИ</t>
        </is>
      </c>
      <c r="B304" s="101" t="inlineStr">
        <is>
          <t xml:space="preserve">Фарғона филиали</t>
        </is>
      </c>
      <c r="C304" s="101" t="inlineStr">
        <is>
          <t xml:space="preserve">Обещали</t>
        </is>
      </c>
      <c r="D304" s="101" t="inlineStr">
        <is>
          <t xml:space="preserve">Кр-99033385-2</t>
        </is>
      </c>
      <c r="E304" s="101" t="inlineStr">
        <is>
          <t xml:space="preserve">TOSHTEMIROV ULUG’JON NEMATJONOVICH</t>
        </is>
      </c>
      <c r="F304" s="101" t="inlineStr">
        <is>
          <t xml:space="preserve">998773017761 SMS O’ZI, 998907862235 SMS AYOLI, 998773072180 SMS O’G’LI, 998916537761 SMS AKASI, 998910429049 кизи,</t>
        </is>
      </c>
      <c r="G304" s="101" t="inlineStr">
        <is>
          <t xml:space="preserve">FARG'ONA VILOYATI FARG'ONA SHAXAR XO'JAMAG'IZ MFY ULUG'VOR KO'CHASI 528-UY</t>
        </is>
      </c>
      <c r="H304" s="102">
        <v>3.0</v>
      </c>
      <c r="I304" s="102">
        <v>4409351.72</v>
      </c>
      <c r="K304" s="101" t="inlineStr">
        <is>
          <t xml:space="preserve">488</t>
        </is>
      </c>
    </row>
    <row r="305">
      <c r="A305" s="101" t="inlineStr">
        <is>
          <t xml:space="preserve">ФАРГОНА ВИЛОЯТИ</t>
        </is>
      </c>
      <c r="B305" s="101" t="inlineStr">
        <is>
          <t xml:space="preserve">Фарғона филиали</t>
        </is>
      </c>
      <c r="C305" s="101" t="inlineStr">
        <is>
          <t xml:space="preserve">Обещали</t>
        </is>
      </c>
      <c r="D305" s="101" t="inlineStr">
        <is>
          <t xml:space="preserve">Кр-99064355-2</t>
        </is>
      </c>
      <c r="E305" s="101" t="inlineStr">
        <is>
          <t xml:space="preserve">ORTIKOV JAXONGIR ORIPJONOVICH</t>
        </is>
      </c>
      <c r="F305" s="101" t="inlineStr">
        <is>
          <t xml:space="preserve">998905807722 UY, 998911297987 ONASI, 998941457464 SMS O’ZI, 998947257722 AYOLI,</t>
        </is>
      </c>
      <c r="G305" s="101" t="inlineStr">
        <is>
          <t xml:space="preserve">FARG’ONA VILOYATI QUVA TUMANI NAMUNA MFY PAXTAOBOD KO’CHASI 78-UY</t>
        </is>
      </c>
      <c r="H305" s="102">
        <v>3.0</v>
      </c>
      <c r="I305" s="102">
        <v>3638013.0</v>
      </c>
      <c r="K305" s="101" t="inlineStr">
        <is>
          <t xml:space="preserve">ертага абетга йопиб беради молини сотган пулини олади | 2347</t>
        </is>
      </c>
    </row>
    <row r="306">
      <c r="A306" s="101" t="inlineStr">
        <is>
          <t xml:space="preserve">ФАРГОНА ВИЛОЯТИ</t>
        </is>
      </c>
      <c r="B306" s="101" t="inlineStr">
        <is>
          <t xml:space="preserve">Фарғона филиали</t>
        </is>
      </c>
      <c r="C306" s="101" t="inlineStr">
        <is>
          <t xml:space="preserve">Обещали</t>
        </is>
      </c>
      <c r="D306" s="101" t="inlineStr">
        <is>
          <t xml:space="preserve">Кр-99039366-1</t>
        </is>
      </c>
      <c r="E306" s="101" t="inlineStr">
        <is>
          <t xml:space="preserve">JURAYEV INOMJON G’ULOMOVICH</t>
        </is>
      </c>
      <c r="F306" s="101" t="inlineStr">
        <is>
          <t xml:space="preserve">998912080108 QIZI, 998940740752 SMS O’ZI, 998949202737 QIZI 2, 998997546688 NABIRASI,</t>
        </is>
      </c>
      <c r="G306" s="101" t="inlineStr">
        <is>
          <t xml:space="preserve">FARG’ONA VILOYATI BUVAYDA TUMANI POSHSHOPIRIM MFY MUSTAQILLIK KO’CHASI 72-UY</t>
        </is>
      </c>
      <c r="H306" s="102">
        <v>3.0</v>
      </c>
      <c r="I306" s="102">
        <v>3149029.69</v>
      </c>
      <c r="K306" s="101" t="inlineStr">
        <is>
          <t xml:space="preserve">ертага йопиб беради | 851</t>
        </is>
      </c>
    </row>
    <row r="307">
      <c r="A307" s="101" t="inlineStr">
        <is>
          <t xml:space="preserve">ФАРГОНА ВИЛОЯТИ</t>
        </is>
      </c>
      <c r="B307" s="101" t="inlineStr">
        <is>
          <t xml:space="preserve">Фарғона филиали</t>
        </is>
      </c>
      <c r="C307" s="101" t="inlineStr">
        <is>
          <t xml:space="preserve">Обещали</t>
        </is>
      </c>
      <c r="D307" s="101" t="inlineStr">
        <is>
          <t xml:space="preserve">Кр-99064166-1</t>
        </is>
      </c>
      <c r="E307" s="101" t="inlineStr">
        <is>
          <t xml:space="preserve">QADIROV XATAMTOY AZIMOVICH</t>
        </is>
      </c>
      <c r="F307" s="101" t="inlineStr">
        <is>
          <t xml:space="preserve">998902903697 QIZI, 998906312893 AYOLI, 998911090860 SMS O’ZI, 998946122900 O’G’LI,</t>
        </is>
      </c>
      <c r="G307" s="101" t="inlineStr">
        <is>
          <t xml:space="preserve">FARG’ONA VILOYATI FARG’ONA TUMANI TOSHQO’RG’ONI MFY HAMKORLIK KO’CHASI 16-UY</t>
        </is>
      </c>
      <c r="H307" s="102">
        <v>3.0</v>
      </c>
      <c r="I307" s="102">
        <v>3134116.8</v>
      </c>
      <c r="K307" s="101" t="inlineStr">
        <is>
          <t xml:space="preserve">2303</t>
        </is>
      </c>
    </row>
    <row r="308">
      <c r="A308" s="101" t="inlineStr">
        <is>
          <t xml:space="preserve">ФАРГОНА ВИЛОЯТИ</t>
        </is>
      </c>
      <c r="B308" s="101" t="inlineStr">
        <is>
          <t xml:space="preserve">Фарғона филиали</t>
        </is>
      </c>
      <c r="C308" s="101" t="inlineStr">
        <is>
          <t xml:space="preserve">Обещали</t>
        </is>
      </c>
      <c r="D308" s="101" t="inlineStr">
        <is>
          <t xml:space="preserve">Кр-99029636-6</t>
        </is>
      </c>
      <c r="E308" s="101" t="inlineStr">
        <is>
          <t xml:space="preserve">ABDULLAJONOV SHOKIRJON OBIDJON O’G’LI</t>
        </is>
      </c>
      <c r="F308" s="101" t="inlineStr">
        <is>
          <t xml:space="preserve">94-812-92-22 SMS O'ZI, 95-970-92-93 SMS AYOLI, 93-588-70-60 SMS DADASI, 94-788-70-60 SMS ONASI, 935887060 SMS DADASI, 947887060 SMS ONASI, 948129222 SMS O’ZI, 959709293 SMS AYOLI,</t>
        </is>
      </c>
      <c r="G308" s="101" t="inlineStr">
        <is>
          <t xml:space="preserve">FARG’ONA  VILOYATI FARG’ONA TUMANI MINDONOBOD  MFY, MADADKOR KO’CHASI 111-UY</t>
        </is>
      </c>
      <c r="H308" s="102">
        <v>3.0</v>
      </c>
      <c r="I308" s="102">
        <v>2763980.0</v>
      </c>
      <c r="K308" s="101" t="inlineStr">
        <is>
          <t xml:space="preserve">327</t>
        </is>
      </c>
    </row>
    <row r="309">
      <c r="A309" s="101" t="inlineStr">
        <is>
          <t xml:space="preserve">ФАРГОНА ВИЛОЯТИ</t>
        </is>
      </c>
      <c r="B309" s="101" t="inlineStr">
        <is>
          <t xml:space="preserve">Фарғона филиали</t>
        </is>
      </c>
      <c r="C309" s="101" t="inlineStr">
        <is>
          <t xml:space="preserve">Обещали</t>
        </is>
      </c>
      <c r="D309" s="101" t="inlineStr">
        <is>
          <t xml:space="preserve">Кр-99036269-2</t>
        </is>
      </c>
      <c r="E309" s="101" t="inlineStr">
        <is>
          <t xml:space="preserve">TASHPULATOV AVAZJON AKRAMOVICH</t>
        </is>
      </c>
      <c r="F309" s="101" t="inlineStr">
        <is>
          <t xml:space="preserve">998911256909 SMS OZI, 998916797220 SMS OTASI, 998901792328 SMS AYOLI TOLOVCHI , 998911296260 SMS ONASI, +998911256909 Primary phone from road24,</t>
        </is>
      </c>
      <c r="G309" s="101" t="inlineStr">
        <is>
          <t xml:space="preserve">FARG’ONA VILOYATI TOSHLOQ TUMANI FURKAT MFY HUNARMANTLAR KO’CHASI 26-XONADON</t>
        </is>
      </c>
      <c r="H309" s="102">
        <v>3.0</v>
      </c>
      <c r="I309" s="102">
        <v>2112546.23</v>
      </c>
      <c r="K309" s="101" t="inlineStr">
        <is>
          <t xml:space="preserve">бугун битта анкетасини йопиб беради ертага 2 чисини йопиб беради | 640</t>
        </is>
      </c>
    </row>
    <row r="310">
      <c r="A310" s="101" t="inlineStr">
        <is>
          <t xml:space="preserve">ФАРГОНА ВИЛОЯТИ</t>
        </is>
      </c>
      <c r="B310" s="101" t="inlineStr">
        <is>
          <t xml:space="preserve">Фарғона филиали</t>
        </is>
      </c>
      <c r="C310" s="101" t="inlineStr">
        <is>
          <t xml:space="preserve">Обещали</t>
        </is>
      </c>
      <c r="D310" s="101" t="inlineStr">
        <is>
          <t xml:space="preserve">Кр-99041835-1</t>
        </is>
      </c>
      <c r="E310" s="101" t="inlineStr">
        <is>
          <t xml:space="preserve">BOLTABOYEV SHOHRUXBEK BEGALI O’G’LI</t>
        </is>
      </c>
      <c r="F310" s="101" t="inlineStr">
        <is>
          <t xml:space="preserve">+998500170756 SMS O’ZI, 998335636300 DADASI, 998955416171 UY, 998999723515 AMAKISI,</t>
        </is>
      </c>
      <c r="G310" s="101" t="inlineStr">
        <is>
          <t xml:space="preserve">FARG’ONA VILOYATI TOSHLOQ TUMANI ZARKENT MFY QASHQARI KO’CHASI 33-XONADON</t>
        </is>
      </c>
      <c r="H310" s="102">
        <v>3.0</v>
      </c>
      <c r="I310" s="102">
        <v>1568374.29</v>
      </c>
      <c r="K310" s="101" t="inlineStr">
        <is>
          <t xml:space="preserve">1212</t>
        </is>
      </c>
    </row>
    <row r="311">
      <c r="A311" s="101" t="inlineStr">
        <is>
          <t xml:space="preserve">ФАРГОНА ВИЛОЯТИ</t>
        </is>
      </c>
      <c r="B311" s="101" t="inlineStr">
        <is>
          <t xml:space="preserve">Фарғона филиали</t>
        </is>
      </c>
      <c r="C311" s="101" t="inlineStr">
        <is>
          <t xml:space="preserve">Обещали</t>
        </is>
      </c>
      <c r="D311" s="101" t="inlineStr">
        <is>
          <t xml:space="preserve">Кр-99030462-1</t>
        </is>
      </c>
      <c r="E311" s="101" t="inlineStr">
        <is>
          <t xml:space="preserve">YIGITALIYEV TO’LQIN ERKINJONOVICH</t>
        </is>
      </c>
      <c r="F311" s="101" t="inlineStr">
        <is>
          <t xml:space="preserve">93-979-38-07 SMS  O'ZI, 93-973-50-05 SMS  UKASI, 93-535-84-40 SMS DADASI, 94-205-31-01  SMS AYOLI, 998932068870 sms ozi new, 998958784224 OZI NEW,</t>
        </is>
      </c>
      <c r="G311" s="101" t="inlineStr">
        <is>
          <t xml:space="preserve">FARG’ONA VILOYATI FARG’ONA TUMANI LANGAR MFY, TEPALIK KO’CHASI 55-UY</t>
        </is>
      </c>
      <c r="H311" s="102">
        <v>2.0</v>
      </c>
      <c r="I311" s="102">
        <v>1445544.03</v>
      </c>
      <c r="K311" s="101" t="inlineStr">
        <is>
          <t xml:space="preserve">ертага узоги толов кберади кредит оляпти | 350</t>
        </is>
      </c>
    </row>
    <row r="312">
      <c r="A312" s="101" t="inlineStr">
        <is>
          <t xml:space="preserve">ФАРГОНА ВИЛОЯТИ</t>
        </is>
      </c>
      <c r="B312" s="101" t="inlineStr">
        <is>
          <t xml:space="preserve">Фарғона филиали</t>
        </is>
      </c>
      <c r="C312" s="101" t="inlineStr">
        <is>
          <t xml:space="preserve">Обещали</t>
        </is>
      </c>
      <c r="D312" s="101" t="inlineStr">
        <is>
          <t xml:space="preserve">Кр-99030462-3</t>
        </is>
      </c>
      <c r="E312" s="101" t="inlineStr">
        <is>
          <t xml:space="preserve">YIGITALIYEV TO’LQIN ERKINJONOVICH</t>
        </is>
      </c>
      <c r="F312" s="101" t="inlineStr">
        <is>
          <t xml:space="preserve">93-979-38-07 SMS  O'ZI, 93-973-50-05 SMS  UKASI, 93-535-84-40 SMS DADASI, 94-205-31-01  SMS AYOLI, 998932068870 sms ozi new, 998958784224 OZI NEW,</t>
        </is>
      </c>
      <c r="G312" s="101" t="inlineStr">
        <is>
          <t xml:space="preserve">FARG’ONA VILOYATI FARG’ONA TUMANI LANGAR MFY, TEPALIK KO’CHASI 55-UY</t>
        </is>
      </c>
      <c r="H312" s="102">
        <v>3.0</v>
      </c>
      <c r="I312" s="102">
        <v>1305765.06</v>
      </c>
      <c r="K312" s="101" t="inlineStr">
        <is>
          <t xml:space="preserve">ертага узоги толов кберади кредит оляпти | 351</t>
        </is>
      </c>
    </row>
    <row r="313">
      <c r="A313" s="101" t="inlineStr">
        <is>
          <t xml:space="preserve">ФАРГОНА ВИЛОЯТИ</t>
        </is>
      </c>
      <c r="B313" s="101" t="inlineStr">
        <is>
          <t xml:space="preserve">Фарғона филиали</t>
        </is>
      </c>
      <c r="C313" s="101" t="inlineStr">
        <is>
          <t xml:space="preserve">Обещали</t>
        </is>
      </c>
      <c r="D313" s="101" t="inlineStr">
        <is>
          <t xml:space="preserve">Кр-99013236-3</t>
        </is>
      </c>
      <c r="E313" s="101" t="inlineStr">
        <is>
          <t xml:space="preserve">SULTONOV MUXSINJON MUXTOROVICH</t>
        </is>
      </c>
      <c r="F313" s="101" t="inlineStr">
        <is>
          <t xml:space="preserve">998901516164 SMS O’ZI, 998900571609 SMS AYOLI, 998886290123 SMS O’G’LI, 998977535228 SMS UYI, 998970821012 SMS UZI NEW,</t>
        </is>
      </c>
      <c r="G313" s="101" t="inlineStr">
        <is>
          <t xml:space="preserve">FARG’ONA VILOYATI UCHKO’PRIK TUMANI BEGOBOD MFY MUSTAQILIK KO’CHASI 86-XONADON</t>
        </is>
      </c>
      <c r="H313" s="102">
        <v>3.0</v>
      </c>
      <c r="I313" s="102">
        <v>1191159.8</v>
      </c>
      <c r="K313" s="101" t="inlineStr">
        <is>
          <t xml:space="preserve">бугун ерта харакат килиб йопиб беради | 69</t>
        </is>
      </c>
    </row>
    <row r="314">
      <c r="A314" s="101" t="inlineStr">
        <is>
          <t xml:space="preserve">ФАРГОНА ВИЛОЯТИ</t>
        </is>
      </c>
      <c r="B314" s="101" t="inlineStr">
        <is>
          <t xml:space="preserve">Фарғона филиали</t>
        </is>
      </c>
      <c r="C314" s="101" t="inlineStr">
        <is>
          <t xml:space="preserve">Обещали</t>
        </is>
      </c>
      <c r="D314" s="101" t="inlineStr">
        <is>
          <t xml:space="preserve">Кр-99034454-2</t>
        </is>
      </c>
      <c r="E314" s="101" t="inlineStr">
        <is>
          <t xml:space="preserve">MAMASAIDOV G’ANI ABDUXAMEDOVICH</t>
        </is>
      </c>
      <c r="F314" s="101" t="inlineStr">
        <is>
          <t xml:space="preserve">998887595115 SMS O’ZI, 998931360099 SMS JIYANI, 998951126168 SMS KELINI, 998999998218 SMS JIYANI, 998959626766 oybek tolovchi,</t>
        </is>
      </c>
      <c r="G314" s="101" t="inlineStr">
        <is>
          <t xml:space="preserve">FARG’ONA VOLIYATI FARG’ONA SHAHAR ILG’OR MFY FAROVON TURMUSH-1 KO’CHASI 369-XONADON</t>
        </is>
      </c>
      <c r="H314" s="102">
        <v>3.0</v>
      </c>
      <c r="I314" s="102">
        <v>1146888.0</v>
      </c>
      <c r="K314" s="101" t="inlineStr">
        <is>
          <t xml:space="preserve">538</t>
        </is>
      </c>
    </row>
    <row r="315">
      <c r="A315" s="101" t="inlineStr">
        <is>
          <t xml:space="preserve">ФАРГОНА ВИЛОЯТИ</t>
        </is>
      </c>
      <c r="B315" s="101" t="inlineStr">
        <is>
          <t xml:space="preserve">Фарғона филиали</t>
        </is>
      </c>
      <c r="C315" s="101" t="inlineStr">
        <is>
          <t xml:space="preserve">Обещали</t>
        </is>
      </c>
      <c r="D315" s="101" t="inlineStr">
        <is>
          <t xml:space="preserve">Кр-99034589-2</t>
        </is>
      </c>
      <c r="E315" s="101" t="inlineStr">
        <is>
          <t xml:space="preserve">USMANOV RUSTAM YUSUPOVICH</t>
        </is>
      </c>
      <c r="F315" s="101" t="inlineStr">
        <is>
          <t xml:space="preserve">998916667110 SMS O’ZI, 998942827313 SMS O’G’LI, 998398449442 SMS O’G’LI, 998916790196 SMS UY, 998777810098 SMS OGLI , 998777810098 OGLI NEW,</t>
        </is>
      </c>
      <c r="G315" s="101" t="inlineStr">
        <is>
          <t xml:space="preserve">FARG’ONA VILOYATI MARG’ILON SHAHAR SHOLDIRAMA MFY MUQUMIY KO’CHASI 64 A-UY</t>
        </is>
      </c>
      <c r="H315" s="102">
        <v>3.0</v>
      </c>
      <c r="I315" s="102">
        <v>1040099.0</v>
      </c>
      <c r="K315" s="101" t="inlineStr">
        <is>
          <t xml:space="preserve">541</t>
        </is>
      </c>
    </row>
    <row r="316">
      <c r="A316" s="101" t="inlineStr">
        <is>
          <t xml:space="preserve">ФАРГОНА ВИЛОЯТИ</t>
        </is>
      </c>
      <c r="B316" s="101" t="inlineStr">
        <is>
          <t xml:space="preserve">Фарғона филиали</t>
        </is>
      </c>
      <c r="C316" s="101" t="inlineStr">
        <is>
          <t xml:space="preserve">Обещали</t>
        </is>
      </c>
      <c r="D316" s="101" t="inlineStr">
        <is>
          <t xml:space="preserve">Кр-99040371-2</t>
        </is>
      </c>
      <c r="E316" s="101" t="inlineStr">
        <is>
          <t xml:space="preserve">FAYZULLAYEVA MUYASSARXON SAYDUMAROVNA</t>
        </is>
      </c>
      <c r="F316" s="101" t="inlineStr">
        <is>
          <t xml:space="preserve">998507161002 SMS OZI, 998945120202 SMS UY, 998330802006 SMS NEVARASI, 998936402057 SMS OGLI,</t>
        </is>
      </c>
      <c r="G316" s="101" t="inlineStr">
        <is>
          <t xml:space="preserve">FARG’ONA VILOYATI BUVAYDA TUMANI BACHQIR MFY GUZAR KO’CHASI 33-XONADON</t>
        </is>
      </c>
      <c r="H316" s="102">
        <v>3.0</v>
      </c>
      <c r="I316" s="102">
        <v>889292.0</v>
      </c>
      <c r="K316" s="101" t="inlineStr">
        <is>
          <t xml:space="preserve">бугун ерта килиб йопиб беради | 1005</t>
        </is>
      </c>
    </row>
    <row r="317">
      <c r="A317" s="101" t="inlineStr">
        <is>
          <t xml:space="preserve">ФАРГОНА ВИЛОЯТИ</t>
        </is>
      </c>
      <c r="B317" s="101" t="inlineStr">
        <is>
          <t xml:space="preserve">Фарғона филиали</t>
        </is>
      </c>
      <c r="C317" s="101" t="inlineStr">
        <is>
          <t xml:space="preserve">Обещали</t>
        </is>
      </c>
      <c r="D317" s="101" t="inlineStr">
        <is>
          <t xml:space="preserve">Кр-99064355-3</t>
        </is>
      </c>
      <c r="E317" s="101" t="inlineStr">
        <is>
          <t xml:space="preserve">ORTIKOV JAXONGIR ORIPJONOVICH</t>
        </is>
      </c>
      <c r="F317" s="101" t="inlineStr">
        <is>
          <t xml:space="preserve">998905807722 UY, 998911297987 ONASI, 998941457464 SMS O’ZI, 998947257722 AYOLI,</t>
        </is>
      </c>
      <c r="G317" s="101" t="inlineStr">
        <is>
          <t xml:space="preserve">FARG’ONA VILOYATI QUVA TUMANI NAMUNA MFY PAXTAOBOD KO’CHASI 78-UY</t>
        </is>
      </c>
      <c r="H317" s="102">
        <v>3.0</v>
      </c>
      <c r="I317" s="102">
        <v>780499.41</v>
      </c>
      <c r="K317" s="101" t="inlineStr">
        <is>
          <t xml:space="preserve">ертага абетга йопиб беради молини сотган пулини олади | 2348</t>
        </is>
      </c>
    </row>
    <row r="318">
      <c r="A318" s="101" t="inlineStr">
        <is>
          <t xml:space="preserve">ФАРГОНА ВИЛОЯТИ</t>
        </is>
      </c>
      <c r="B318" s="101" t="inlineStr">
        <is>
          <t xml:space="preserve">Фарғона филиали</t>
        </is>
      </c>
      <c r="C318" s="101" t="inlineStr">
        <is>
          <t xml:space="preserve">Обещали</t>
        </is>
      </c>
      <c r="D318" s="101" t="inlineStr">
        <is>
          <t xml:space="preserve">Кр-99035863-3</t>
        </is>
      </c>
      <c r="E318" s="101" t="inlineStr">
        <is>
          <t xml:space="preserve">ERGASHEV ILXOMJON XAKIMOVICH</t>
        </is>
      </c>
      <c r="F318" s="101" t="inlineStr">
        <is>
          <t xml:space="preserve">998916767655 SMS OZI, 998907831068 SMS AYOLI, 998916584356 SMS OGLI, 998907814645 SMS SHERIGI begona, 998949767655 OZI NEW ,</t>
        </is>
      </c>
      <c r="G318" s="101" t="inlineStr">
        <is>
          <t xml:space="preserve">FARG’ONA VILOYATI MARG’ILON SHAHAR YANGI XAYOT MFY S-OLLOYOR KO’CHASI 288-UY</t>
        </is>
      </c>
      <c r="H318" s="102">
        <v>3.0</v>
      </c>
      <c r="I318" s="102">
        <v>697479.44</v>
      </c>
      <c r="K318" s="101" t="inlineStr">
        <is>
          <t xml:space="preserve">2 болиб йопиб беради бозорда савдо клади | 620</t>
        </is>
      </c>
    </row>
    <row r="319">
      <c r="A319" s="103" t="inlineStr">
        <is>
          <t xml:space="preserve">ХОРАЗМ ВИЛОЯТИ</t>
        </is>
      </c>
      <c r="B319" s="103" t="inlineStr">
        <is>
          <t xml:space="preserve">BOSH OFIS</t>
        </is>
      </c>
      <c r="C319" s="103" t="inlineStr">
        <is>
          <t xml:space="preserve">Обещали</t>
        </is>
      </c>
      <c r="D319" s="103" t="inlineStr">
        <is>
          <t xml:space="preserve">Кр-99022977-4</t>
        </is>
      </c>
      <c r="E319" s="103" t="inlineStr">
        <is>
          <t xml:space="preserve">BABAYEV OTAJON ABDULLAYEVICH</t>
        </is>
      </c>
      <c r="F319" s="103" t="inlineStr">
        <is>
          <t xml:space="preserve">99-123-85-64  SMS UZI, 99-562-96-90  SMS OGLI, 99-744-13-23 SMS KELINI, 998993778564 sms ozi , +998993778564 SMS UZI, 998991238564 SMS UKASI, 998995629690 SMS O’G’LI, 998997441323 SMS KELINI,</t>
        </is>
      </c>
      <c r="G319" s="103" t="inlineStr">
        <is>
          <t xml:space="preserve">ХОРАЗМ ВИЛОЯТИ ШОВОТ ТУМАНИ КАТКАЛЪА ҚФЙ, ХУНАРМАНД МФЙ, БИЛЛУР КЎЧАСИ,  uy:90</t>
        </is>
      </c>
      <c r="H319" s="104">
        <v>3.0</v>
      </c>
      <c r="I319" s="104">
        <v>3496264.34</v>
      </c>
      <c r="K319" s="103" t="inlineStr">
        <is>
          <t xml:space="preserve">bugun kechga yoki ertaga abetgacha yopad | 159</t>
        </is>
      </c>
    </row>
    <row r="320">
      <c r="A320" s="105" t="inlineStr">
        <is>
          <t xml:space="preserve">ХОРАЗМ ВИЛОЯТИ</t>
        </is>
      </c>
      <c r="B320" s="105" t="inlineStr">
        <is>
          <t xml:space="preserve">SUPER BRANCH</t>
        </is>
      </c>
      <c r="C320" s="105" t="inlineStr">
        <is>
          <t xml:space="preserve">Обещали</t>
        </is>
      </c>
      <c r="D320" s="105" t="inlineStr">
        <is>
          <t xml:space="preserve">Кр-99018792-4</t>
        </is>
      </c>
      <c r="E320" s="105" t="inlineStr">
        <is>
          <t xml:space="preserve">QALANDAROV RUSLAN KADAMBAYEVICH</t>
        </is>
      </c>
      <c r="F320" s="105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320" s="105" t="inlineStr">
        <is>
          <t xml:space="preserve">XORAZM VILOYATI YANGIBOZOR TUMANI OYOQDO`RMAN QISHLOG`I YANGIOBOD MAXALLASI 92 UY</t>
        </is>
      </c>
      <c r="H320" s="106">
        <v>3.0</v>
      </c>
      <c r="I320" s="106">
        <v>7541250.72</v>
      </c>
      <c r="K320" s="105" t="inlineStr">
        <is>
          <t xml:space="preserve">fer 15 sanalaga yopad | 96</t>
        </is>
      </c>
    </row>
    <row r="321">
      <c r="A321" s="105" t="inlineStr">
        <is>
          <t xml:space="preserve">ХОРАЗМ ВИЛОЯТИ</t>
        </is>
      </c>
      <c r="B321" s="105" t="inlineStr">
        <is>
          <t xml:space="preserve">SUPER BRANCH</t>
        </is>
      </c>
      <c r="C321" s="105" t="inlineStr">
        <is>
          <t xml:space="preserve">Обещали</t>
        </is>
      </c>
      <c r="D321" s="105" t="inlineStr">
        <is>
          <t xml:space="preserve">Кр-99026626-1</t>
        </is>
      </c>
      <c r="E321" s="105" t="inlineStr">
        <is>
          <t xml:space="preserve">MATYAKUBOVA OLIYA SULTANOVNA</t>
        </is>
      </c>
      <c r="F321" s="105" t="inlineStr">
        <is>
          <t xml:space="preserve">998974569970 SMS O'ZI, 998976078717 SMS DILSHODA HAMKASBI, 998505722508 SMS O'G'LI, 998999692091 SMS QIZI,</t>
        </is>
      </c>
      <c r="G321" s="105" t="inlineStr">
        <is>
          <t xml:space="preserve">XORAZM VILOYATI QO’SHKO’PIR TUMANI XAYROBOD QFY XAYROBOD MFY MADANIYAT KO’CHASI 48-UY</t>
        </is>
      </c>
      <c r="H321" s="106">
        <v>3.0</v>
      </c>
      <c r="I321" s="106">
        <v>6826807.75</v>
      </c>
      <c r="K321" s="105" t="inlineStr">
        <is>
          <t xml:space="preserve">bugun yopad ortogi | 209</t>
        </is>
      </c>
    </row>
    <row r="322">
      <c r="A322" s="105" t="inlineStr">
        <is>
          <t xml:space="preserve">ХОРАЗМ ВИЛОЯТИ</t>
        </is>
      </c>
      <c r="B322" s="105" t="inlineStr">
        <is>
          <t xml:space="preserve">SUPER BRANCH</t>
        </is>
      </c>
      <c r="C322" s="105" t="inlineStr">
        <is>
          <t xml:space="preserve">Обещали</t>
        </is>
      </c>
      <c r="D322" s="105" t="inlineStr">
        <is>
          <t xml:space="preserve">Кр-99040398-2</t>
        </is>
      </c>
      <c r="E322" s="105" t="inlineStr">
        <is>
          <t xml:space="preserve">BOLTAYEV MUSA QURONBOYEVICH</t>
        </is>
      </c>
      <c r="F322" s="105" t="inlineStr">
        <is>
          <t xml:space="preserve">998500971976 SMS OZI, 998996853272 SMS OZI 2, 998992673111 SMS QIZI,</t>
        </is>
      </c>
      <c r="G322" s="105" t="inlineStr">
        <is>
          <t xml:space="preserve">XORAZM VILOYATI XONQA TUMANI G’AYRAT MFY G’AYRAT KUCHASI 46-UY</t>
        </is>
      </c>
      <c r="H322" s="106">
        <v>3.0</v>
      </c>
      <c r="I322" s="106">
        <v>5789624.47</v>
      </c>
      <c r="K322" s="105" t="inlineStr">
        <is>
          <t xml:space="preserve">ozi rassiyada qizi bilan gaplashdim oylik olsa tashavorad | 1012</t>
        </is>
      </c>
    </row>
    <row r="323">
      <c r="A323" s="105" t="inlineStr">
        <is>
          <t xml:space="preserve">ХОРАЗМ ВИЛОЯТИ</t>
        </is>
      </c>
      <c r="B323" s="105" t="inlineStr">
        <is>
          <t xml:space="preserve">SUPER BRANCH</t>
        </is>
      </c>
      <c r="C323" s="105" t="inlineStr">
        <is>
          <t xml:space="preserve">Обещали</t>
        </is>
      </c>
      <c r="D323" s="105" t="inlineStr">
        <is>
          <t xml:space="preserve">Кр-99046672-1</t>
        </is>
      </c>
      <c r="E323" s="105" t="inlineStr">
        <is>
          <t xml:space="preserve">BOBOYEVA UMIDA EGAMBERDIYEVNA</t>
        </is>
      </c>
      <c r="F323" s="105" t="inlineStr">
        <is>
          <t xml:space="preserve">998972118547 SMS OZI, 998914266400 SMS O’G’LI, 998998184642 SMS OGLI 2,</t>
        </is>
      </c>
      <c r="G323" s="105" t="inlineStr">
        <is>
          <t xml:space="preserve">XORAZM VILOYATI XAZORASP TUMANI SANOAT MFY POKIZA KO’CHASI 93-UY</t>
        </is>
      </c>
      <c r="H323" s="106">
        <v>3.0</v>
      </c>
      <c r="I323" s="106">
        <v>5359230.64</v>
      </c>
      <c r="K323" s="105" t="inlineStr">
        <is>
          <t xml:space="preserve">ertaga filialga borib tolid | 1369</t>
        </is>
      </c>
    </row>
    <row r="324">
      <c r="A324" s="105" t="inlineStr">
        <is>
          <t xml:space="preserve">ХОРАЗМ ВИЛОЯТИ</t>
        </is>
      </c>
      <c r="B324" s="105" t="inlineStr">
        <is>
          <t xml:space="preserve">SUPER BRANCH</t>
        </is>
      </c>
      <c r="C324" s="105" t="inlineStr">
        <is>
          <t xml:space="preserve">Обещали</t>
        </is>
      </c>
      <c r="D324" s="105" t="inlineStr">
        <is>
          <t xml:space="preserve">Кр-99040349-1</t>
        </is>
      </c>
      <c r="E324" s="105" t="inlineStr">
        <is>
          <t xml:space="preserve">KARIMOV JAHONGIR SHAROFADDIN O’G’LI</t>
        </is>
      </c>
      <c r="F324" s="105" t="inlineStr">
        <is>
          <t xml:space="preserve">998507157955 SMS OZI, 998952298584 SMS AKASI, 998774088961 SMS OPASI,</t>
        </is>
      </c>
      <c r="G324" s="105" t="inlineStr">
        <is>
          <t xml:space="preserve">XORAZM VILOYATI BOG’OT TUMANI TONG YOG’DU KUCHASI 2 UY </t>
        </is>
      </c>
      <c r="H324" s="106">
        <v>3.0</v>
      </c>
      <c r="I324" s="106">
        <v>3487924.17</v>
      </c>
      <c r="K324" s="105" t="inlineStr">
        <is>
          <t xml:space="preserve">15-sanaga oylik olad opasi tolid | 996</t>
        </is>
      </c>
    </row>
    <row r="325">
      <c r="A325" s="105" t="inlineStr">
        <is>
          <t xml:space="preserve">ХОРАЗМ ВИЛОЯТИ</t>
        </is>
      </c>
      <c r="B325" s="105" t="inlineStr">
        <is>
          <t xml:space="preserve">SUPER BRANCH</t>
        </is>
      </c>
      <c r="C325" s="105" t="inlineStr">
        <is>
          <t xml:space="preserve">Обещали</t>
        </is>
      </c>
      <c r="D325" s="105" t="inlineStr">
        <is>
          <t xml:space="preserve">Кр-99041894-2</t>
        </is>
      </c>
      <c r="E325" s="105" t="inlineStr">
        <is>
          <t xml:space="preserve">SAIDOV ALISHER BOG’BEKOVICH</t>
        </is>
      </c>
      <c r="F325" s="105" t="inlineStr">
        <is>
          <t xml:space="preserve">+998942564444 SMS UZI, 998903344044 SMS UZI 2, 998904517757 SMS AYOLI,</t>
        </is>
      </c>
      <c r="G325" s="105" t="inlineStr">
        <is>
          <t xml:space="preserve">ХОРАЗМ ВИЛОЯТИ ХАЗОРАСП ТУМАНИ ЖАЛОЛАДДИН МАНГУБЕРДИ МФЙ ШАРОФ РАШИДОВ КУЧАСИ 79 УЙ</t>
        </is>
      </c>
      <c r="H325" s="106">
        <v>3.0</v>
      </c>
      <c r="I325" s="106">
        <v>3449945.02</v>
      </c>
      <c r="K325" s="105" t="inlineStr">
        <is>
          <t xml:space="preserve">bugn yo erta id dan urvorad | 1221</t>
        </is>
      </c>
    </row>
    <row r="326">
      <c r="A326" s="105" t="inlineStr">
        <is>
          <t xml:space="preserve">ХОРАЗМ ВИЛОЯТИ</t>
        </is>
      </c>
      <c r="B326" s="105" t="inlineStr">
        <is>
          <t xml:space="preserve">SUPER BRANCH</t>
        </is>
      </c>
      <c r="C326" s="105" t="inlineStr">
        <is>
          <t xml:space="preserve">Обещали</t>
        </is>
      </c>
      <c r="D326" s="105" t="inlineStr">
        <is>
          <t xml:space="preserve">Кр-99040131-1</t>
        </is>
      </c>
      <c r="E326" s="105" t="inlineStr">
        <is>
          <t xml:space="preserve">YUSUPOV SHORIFJON ROMONBERGAN O’G’LI</t>
        </is>
      </c>
      <c r="F326" s="105" t="inlineStr">
        <is>
          <t xml:space="preserve">998999664447 SMS OZI, 998827744472 SMS AYOLI, 998956099999 SMS ISH,</t>
        </is>
      </c>
      <c r="G326" s="105" t="inlineStr">
        <is>
          <t xml:space="preserve">XORAZM VILOYATI URGANCH TUMANI BO’STON MFY MUQUMIY KUCHASI 113</t>
        </is>
      </c>
      <c r="H326" s="106">
        <v>3.0</v>
      </c>
      <c r="I326" s="106">
        <v>3187686.0</v>
      </c>
      <c r="K326" s="105" t="inlineStr">
        <is>
          <t xml:space="preserve">1-2 kunda yopad | 957</t>
        </is>
      </c>
    </row>
    <row r="327">
      <c r="A327" s="105" t="inlineStr">
        <is>
          <t xml:space="preserve">ХОРАЗМ ВИЛОЯТИ</t>
        </is>
      </c>
      <c r="B327" s="105" t="inlineStr">
        <is>
          <t xml:space="preserve">SUPER BRANCH</t>
        </is>
      </c>
      <c r="C327" s="105" t="inlineStr">
        <is>
          <t xml:space="preserve">Обещали</t>
        </is>
      </c>
      <c r="D327" s="105" t="inlineStr">
        <is>
          <t xml:space="preserve">Кр-99040078-1</t>
        </is>
      </c>
      <c r="E327" s="105" t="inlineStr">
        <is>
          <t xml:space="preserve">ISMAILOVA  LAYLO  PAVLVANNAZAROVNA</t>
        </is>
      </c>
      <c r="F327" s="105" t="inlineStr">
        <is>
          <t xml:space="preserve">998507970380 SMS ERI, 998904330302 SMS AYOLI, 998919192020 SMS OGLI,</t>
        </is>
      </c>
      <c r="G327" s="105" t="inlineStr">
        <is>
          <t xml:space="preserve">URGANCH SHAHRI</t>
        </is>
      </c>
      <c r="H327" s="106">
        <v>3.0</v>
      </c>
      <c r="I327" s="106">
        <v>2993977.24</v>
      </c>
      <c r="K327" s="105" t="inlineStr">
        <is>
          <t xml:space="preserve">eri bugn kechga yopibn berarkan | 945</t>
        </is>
      </c>
    </row>
    <row r="328">
      <c r="A328" s="105" t="inlineStr">
        <is>
          <t xml:space="preserve">ХОРАЗМ ВИЛОЯТИ</t>
        </is>
      </c>
      <c r="B328" s="105" t="inlineStr">
        <is>
          <t xml:space="preserve">SUPER BRANCH</t>
        </is>
      </c>
      <c r="C328" s="105" t="inlineStr">
        <is>
          <t xml:space="preserve">Обещали</t>
        </is>
      </c>
      <c r="D328" s="105" t="inlineStr">
        <is>
          <t xml:space="preserve">Кр-99039789-1</t>
        </is>
      </c>
      <c r="E328" s="105" t="inlineStr">
        <is>
          <t xml:space="preserve">SAMANDAROV XAMIDJON OTAXONOVICH</t>
        </is>
      </c>
      <c r="F328" s="105" t="inlineStr">
        <is>
          <t xml:space="preserve">998992020025 SMS OGLI, 998991327264 SMS KELINI, 999893103800 SMS OOZI, 998991468050 SMS AYOLI,</t>
        </is>
      </c>
      <c r="G328" s="105" t="inlineStr">
        <is>
          <t xml:space="preserve">XORAZM VILOYATI YANGIARIQ TUMANI KATTABOG’ QFY KATTABOG’ MFY EZOZ KO’CHASI 21-UY</t>
        </is>
      </c>
      <c r="H328" s="106">
        <v>3.0</v>
      </c>
      <c r="I328" s="106">
        <v>2578993.95</v>
      </c>
      <c r="K328" s="105" t="inlineStr">
        <is>
          <t xml:space="preserve">kengi hafta yopad boshqa bankdan kredit ovotti | 890</t>
        </is>
      </c>
    </row>
    <row r="329">
      <c r="A329" s="105" t="inlineStr">
        <is>
          <t xml:space="preserve">ХОРАЗМ ВИЛОЯТИ</t>
        </is>
      </c>
      <c r="B329" s="105" t="inlineStr">
        <is>
          <t xml:space="preserve">SUPER BRANCH</t>
        </is>
      </c>
      <c r="C329" s="105" t="inlineStr">
        <is>
          <t xml:space="preserve">Обещали</t>
        </is>
      </c>
      <c r="D329" s="105" t="inlineStr">
        <is>
          <t xml:space="preserve">Кр-99039439-2</t>
        </is>
      </c>
      <c r="E329" s="105" t="inlineStr">
        <is>
          <t xml:space="preserve">YUSUPOV UMRBEK ISMAILOVICH</t>
        </is>
      </c>
      <c r="F329" s="105" t="inlineStr">
        <is>
          <t xml:space="preserve">998957097606 SMS OZI, 998937113111 SMS OZI begona, 998994256205 SMS OGLI 2, 998958772474 SMS AYOLI,</t>
        </is>
      </c>
      <c r="G329" s="105" t="inlineStr">
        <is>
          <t xml:space="preserve">XORAZM VILOYATI URGANCH SHAHRI NAVRUZ MFY FIDOKORLAR KO’CHASI 59-UY</t>
        </is>
      </c>
      <c r="H329" s="106">
        <v>3.0</v>
      </c>
      <c r="I329" s="106">
        <v>2512512.13</v>
      </c>
      <c r="K329" s="105" t="inlineStr">
        <is>
          <t xml:space="preserve">1-2 kunda xarakat qilib yopib berad | 864</t>
        </is>
      </c>
    </row>
    <row r="330">
      <c r="A330" s="105" t="inlineStr">
        <is>
          <t xml:space="preserve">ХОРАЗМ ВИЛОЯТИ</t>
        </is>
      </c>
      <c r="B330" s="105" t="inlineStr">
        <is>
          <t xml:space="preserve">SUPER BRANCH</t>
        </is>
      </c>
      <c r="C330" s="105" t="inlineStr">
        <is>
          <t xml:space="preserve">Обещали</t>
        </is>
      </c>
      <c r="D330" s="105" t="inlineStr">
        <is>
          <t xml:space="preserve">Кр-99040505-1</t>
        </is>
      </c>
      <c r="E330" s="105" t="inlineStr">
        <is>
          <t xml:space="preserve">EGAMOVA XOLISXON ALLABERGANOVNA</t>
        </is>
      </c>
      <c r="F330" s="105" t="inlineStr">
        <is>
          <t xml:space="preserve">998934531982 SMS ERI, 998934268290 SMS OZI, 998997464344 SMS AKASI, 998991167127 SMS UKASI,</t>
        </is>
      </c>
      <c r="G330" s="105" t="inlineStr">
        <is>
          <t xml:space="preserve">XORAZM VILOYATI URGANCH SHAHAR MASHAL MFY XIVA 2-YULAK 3-UY</t>
        </is>
      </c>
      <c r="H330" s="106">
        <v>3.0</v>
      </c>
      <c r="I330" s="106">
        <v>1866604.64</v>
      </c>
      <c r="K330" s="105" t="inlineStr">
        <is>
          <t xml:space="preserve">akasi tolaberad bugun | 1036</t>
        </is>
      </c>
    </row>
    <row r="331">
      <c r="A331" s="105" t="inlineStr">
        <is>
          <t xml:space="preserve">ХОРАЗМ ВИЛОЯТИ</t>
        </is>
      </c>
      <c r="B331" s="105" t="inlineStr">
        <is>
          <t xml:space="preserve">SUPER BRANCH</t>
        </is>
      </c>
      <c r="C331" s="105" t="inlineStr">
        <is>
          <t xml:space="preserve">Обещали</t>
        </is>
      </c>
      <c r="D331" s="105" t="inlineStr">
        <is>
          <t xml:space="preserve">Кр-99036516-4</t>
        </is>
      </c>
      <c r="E331" s="105" t="inlineStr">
        <is>
          <t xml:space="preserve">XUDAYBERGANOV RAVSHANBEK SOTIMBOYEVICH</t>
        </is>
      </c>
      <c r="F331" s="105" t="inlineStr">
        <is>
          <t xml:space="preserve">998972117602 SMS OZI, 998976067602 SMS AYOLI,</t>
        </is>
      </c>
      <c r="G331" s="105" t="inlineStr">
        <is>
          <t xml:space="preserve">XORAZM VILOYATI URGANCH TUMANI YUQORIBOG’ QISHLOG’I BOG’DORCHI MAXALLASI</t>
        </is>
      </c>
      <c r="H331" s="106">
        <v>3.0</v>
      </c>
      <c r="I331" s="106">
        <v>1107982.17</v>
      </c>
      <c r="K331" s="105" t="inlineStr">
        <is>
          <t xml:space="preserve">bugn yopad | 662</t>
        </is>
      </c>
    </row>
    <row r="332">
      <c r="A332" s="105" t="inlineStr">
        <is>
          <t xml:space="preserve">ХОРАЗМ ВИЛОЯТИ</t>
        </is>
      </c>
      <c r="B332" s="105" t="inlineStr">
        <is>
          <t xml:space="preserve">SUPER BRANCH</t>
        </is>
      </c>
      <c r="C332" s="105" t="inlineStr">
        <is>
          <t xml:space="preserve">Обещали</t>
        </is>
      </c>
      <c r="D332" s="105" t="inlineStr">
        <is>
          <t xml:space="preserve">Кр-99043227-3</t>
        </is>
      </c>
      <c r="E332" s="105" t="inlineStr">
        <is>
          <t xml:space="preserve">JUMABOYEV IBROXIM ADAMBOYEVICH</t>
        </is>
      </c>
      <c r="F332" s="105" t="inlineStr">
        <is>
          <t xml:space="preserve">+998994293399 SMS UZI, 998938487479 SMS AYOLI, 998974580470 SMS OTASI,</t>
        </is>
      </c>
      <c r="G332" s="105" t="inlineStr">
        <is>
          <t xml:space="preserve">ХОРАЗМ ВИЛОЯТИ УРГАНЧ ШАХРИ Истиқлол МФЙ, Узбекистон кучаси, 31-уй</t>
        </is>
      </c>
      <c r="H332" s="106">
        <v>3.0</v>
      </c>
      <c r="I332" s="106">
        <v>1043524.11</v>
      </c>
      <c r="K332" s="105" t="inlineStr">
        <is>
          <t xml:space="preserve">bugun 18,00 yopad | 1289</t>
        </is>
      </c>
    </row>
    <row r="333">
      <c r="A333" s="105" t="inlineStr">
        <is>
          <t xml:space="preserve">ХОРАЗМ ВИЛОЯТИ</t>
        </is>
      </c>
      <c r="B333" s="105" t="inlineStr">
        <is>
          <t xml:space="preserve">SUPER BRANCH</t>
        </is>
      </c>
      <c r="C333" s="105" t="inlineStr">
        <is>
          <t xml:space="preserve">Обещали</t>
        </is>
      </c>
      <c r="D333" s="105" t="inlineStr">
        <is>
          <t xml:space="preserve">Кр-99026546-5</t>
        </is>
      </c>
      <c r="E333" s="105" t="inlineStr">
        <is>
          <t xml:space="preserve">EGAMBERDIYEV MAQSUDBEK IBRAGIMOVICH</t>
        </is>
      </c>
      <c r="F333" s="105" t="inlineStr">
        <is>
          <t xml:space="preserve">94-110-46-00  SMS OZI, 93-591-74-74  SMS UKASI, 91-197-80-80  SMS UKASI, 97-768-65-20  SMS SHERIGI, 911978080 SMS UKASI, 935917474 SMS UKASI, 941104600 SMS OZI, 977686520 SMS SHERIGI,</t>
        </is>
      </c>
      <c r="G333" s="105" t="inlineStr">
        <is>
          <t xml:space="preserve">ПИЧОКЧИ ҚФЙ, ПИЧОКЧИ МФЙ,  uy:Р/С</t>
        </is>
      </c>
      <c r="H333" s="106">
        <v>3.0</v>
      </c>
      <c r="I333" s="106">
        <v>937533.03</v>
      </c>
      <c r="K333" s="105" t="inlineStr">
        <is>
          <t xml:space="preserve">bugn yopad abetgacha | 208</t>
        </is>
      </c>
    </row>
    <row r="334">
      <c r="A334" s="105" t="inlineStr">
        <is>
          <t xml:space="preserve">ХОРАЗМ ВИЛОЯТИ</t>
        </is>
      </c>
      <c r="B334" s="105" t="inlineStr">
        <is>
          <t xml:space="preserve">SUPER BRANCH</t>
        </is>
      </c>
      <c r="C334" s="105" t="inlineStr">
        <is>
          <t xml:space="preserve">Обещали</t>
        </is>
      </c>
      <c r="D334" s="105" t="inlineStr">
        <is>
          <t xml:space="preserve">Кр-99048112-1</t>
        </is>
      </c>
      <c r="E334" s="105" t="inlineStr">
        <is>
          <t xml:space="preserve">TAYIROV G’ANIBEK OKTAMOVICH</t>
        </is>
      </c>
      <c r="F334" s="105" t="inlineStr">
        <is>
          <t xml:space="preserve">998974582666 O'ZI, 998507562666 AYOLI, 998942352666 DADASI,</t>
        </is>
      </c>
      <c r="G334" s="105" t="inlineStr">
        <is>
          <t xml:space="preserve">XORAZM VILOYATI XONQA TUMANI YOSH KUCH MFY  UL TARAQQIYOT KO’CHASI 14-UY</t>
        </is>
      </c>
      <c r="I334" s="106">
        <v>645366.67</v>
      </c>
      <c r="K334" s="105" t="inlineStr">
        <is>
          <t xml:space="preserve">ertaga oylli olib tolavorad | 1402</t>
        </is>
      </c>
    </row>
    <row r="335">
      <c r="A335" s="105" t="inlineStr">
        <is>
          <t xml:space="preserve">ХОРАЗМ ВИЛОЯТИ</t>
        </is>
      </c>
      <c r="B335" s="105" t="inlineStr">
        <is>
          <t xml:space="preserve">SUPER BRANCH</t>
        </is>
      </c>
      <c r="C335" s="105" t="inlineStr">
        <is>
          <t xml:space="preserve">Обещали</t>
        </is>
      </c>
      <c r="D335" s="105" t="inlineStr">
        <is>
          <t xml:space="preserve">Кр-99040131-2</t>
        </is>
      </c>
      <c r="E335" s="105" t="inlineStr">
        <is>
          <t xml:space="preserve">YUSUPOV SHORIFJON ROMONBERGAN O’G’LI</t>
        </is>
      </c>
      <c r="F335" s="105" t="inlineStr">
        <is>
          <t xml:space="preserve">998999664447 SMS OZI, 998827744472 SMS AYOLI, 998956099999 SMS ISH,</t>
        </is>
      </c>
      <c r="G335" s="105" t="inlineStr">
        <is>
          <t xml:space="preserve">XORAZM VILOYATI URGANCH TUMANI BO’STON MFY MUQUMIY KUCHASI 113</t>
        </is>
      </c>
      <c r="H335" s="106">
        <v>3.0</v>
      </c>
      <c r="I335" s="106">
        <v>398415.37</v>
      </c>
      <c r="K335" s="105" t="inlineStr">
        <is>
          <t xml:space="preserve">bugun yopad | 958</t>
        </is>
      </c>
    </row>
    <row r="336">
      <c r="A336" s="105" t="inlineStr">
        <is>
          <t xml:space="preserve">ХОРАЗМ ВИЛОЯТИ</t>
        </is>
      </c>
      <c r="B336" s="105" t="inlineStr">
        <is>
          <t xml:space="preserve">SUPER BRANCH</t>
        </is>
      </c>
      <c r="C336" s="105" t="inlineStr">
        <is>
          <t xml:space="preserve">Обещали</t>
        </is>
      </c>
      <c r="D336" s="105" t="inlineStr">
        <is>
          <t xml:space="preserve">Кр-99040409-1</t>
        </is>
      </c>
      <c r="E336" s="105" t="inlineStr">
        <is>
          <t xml:space="preserve">MUXUDDINOVA FARANGIS NASRIDDINOVNA</t>
        </is>
      </c>
      <c r="F336" s="105" t="inlineStr">
        <is>
          <t xml:space="preserve">998887638992 SMS OZI, 998974570411 SMS OZI, 998879652265 SMS OZI,</t>
        </is>
      </c>
      <c r="G336" s="105" t="inlineStr">
        <is>
          <t xml:space="preserve">XORAZM VILOYATI YANGIARIQ TUMANI YANGIARIK KUCHASI 72-UY</t>
        </is>
      </c>
      <c r="H336" s="106">
        <v>3.0</v>
      </c>
      <c r="I336" s="106">
        <v>332294.96</v>
      </c>
      <c r="K336" s="105" t="inlineStr">
        <is>
          <t xml:space="preserve">1-2 kunda yopib beraman | 1015</t>
        </is>
      </c>
    </row>
    <row r="337">
      <c r="A337" s="105" t="inlineStr">
        <is>
          <t xml:space="preserve">ХОРАЗМ ВИЛОЯТИ</t>
        </is>
      </c>
      <c r="B337" s="105" t="inlineStr">
        <is>
          <t xml:space="preserve">SUPER BRANCH</t>
        </is>
      </c>
      <c r="C337" s="105" t="inlineStr">
        <is>
          <t xml:space="preserve">Обещали</t>
        </is>
      </c>
      <c r="D337" s="105" t="inlineStr">
        <is>
          <t xml:space="preserve">Кр-99043227-2</t>
        </is>
      </c>
      <c r="E337" s="105" t="inlineStr">
        <is>
          <t xml:space="preserve">JUMABOYEV IBROXIM ADAMBOYEVICH</t>
        </is>
      </c>
      <c r="F337" s="105" t="inlineStr">
        <is>
          <t xml:space="preserve">+998994293399 SMS UZI, 998938487479 SMS AYOLI, 998974580470 SMS OTASI,</t>
        </is>
      </c>
      <c r="G337" s="105" t="inlineStr">
        <is>
          <t xml:space="preserve">ХОРАЗМ ВИЛОЯТИ УРГАНЧ ШАХРИ Истиқлол МФЙ, Узбекистон кучаси, 31-уй</t>
        </is>
      </c>
      <c r="I337" s="106">
        <v>244974.3</v>
      </c>
      <c r="K337" s="105" t="inlineStr">
        <is>
          <t xml:space="preserve">bugun 18,00 yopad | 1288</t>
        </is>
      </c>
    </row>
    <row r="338">
      <c r="A338" s="107" t="inlineStr">
        <is>
          <t xml:space="preserve">ХОРАЗМ ВИЛОЯТИ</t>
        </is>
      </c>
      <c r="B338" s="107" t="inlineStr">
        <is>
          <t xml:space="preserve">Урганч филиали</t>
        </is>
      </c>
      <c r="C338" s="107" t="inlineStr">
        <is>
          <t xml:space="preserve">Обещали</t>
        </is>
      </c>
      <c r="D338" s="107" t="inlineStr">
        <is>
          <t xml:space="preserve">Кр-99041894-1</t>
        </is>
      </c>
      <c r="E338" s="107" t="inlineStr">
        <is>
          <t xml:space="preserve">SAIDOV ALISHER BOG’BEKOVICH</t>
        </is>
      </c>
      <c r="F338" s="107" t="inlineStr">
        <is>
          <t xml:space="preserve">+998942564444 SMS UZI, 998903344044 SMS UZI 2, 998904517757 SMS AYOLI,</t>
        </is>
      </c>
      <c r="G338" s="107" t="inlineStr">
        <is>
          <t xml:space="preserve">ХОРАЗМ ВИЛОЯТИ ХАЗОРАСП ТУМАНИ ЖАЛОЛАДДИН МАНГУБЕРДИ МФЙ ШАРОФ РАШИДОВ КУЧАСИ 79 УЙ</t>
        </is>
      </c>
      <c r="I338" s="108">
        <v>5296518.35</v>
      </c>
      <c r="K338" s="107" t="inlineStr">
        <is>
          <t xml:space="preserve">bugn yo erta id dan urvorad | 1220</t>
        </is>
      </c>
    </row>
    <row r="339">
      <c r="A339" s="107" t="inlineStr">
        <is>
          <t xml:space="preserve">ХОРАЗМ ВИЛОЯТИ</t>
        </is>
      </c>
      <c r="B339" s="107" t="inlineStr">
        <is>
          <t xml:space="preserve">Урганч филиали</t>
        </is>
      </c>
      <c r="C339" s="107" t="inlineStr">
        <is>
          <t xml:space="preserve">Обещали</t>
        </is>
      </c>
      <c r="D339" s="107" t="inlineStr">
        <is>
          <t xml:space="preserve">Кр-99045126-1</t>
        </is>
      </c>
      <c r="E339" s="107" t="inlineStr">
        <is>
          <t xml:space="preserve">JUMANIYAZOV ODILBEK BABAYEVICH</t>
        </is>
      </c>
      <c r="F339" s="107" t="inlineStr">
        <is>
          <t xml:space="preserve">+998910937717 SMS UZI, 998900901415 SMS UZI 2, 998950132029 SMS AYOLI,</t>
        </is>
      </c>
      <c r="G339" s="107" t="inlineStr">
        <is>
          <t xml:space="preserve">ХОРАЗМ ВИЛОЯТИ БОГОТ ТУМАНИ УГИЗРАВОТ ҚФЙ, УСТАЛАР МФЙ, ЧАШМА КЎЧАСИ,  uy:16</t>
        </is>
      </c>
      <c r="H339" s="108">
        <v>3.0</v>
      </c>
      <c r="I339" s="108">
        <v>4976722.77</v>
      </c>
      <c r="K339" s="107" t="inlineStr">
        <is>
          <t xml:space="preserve">bugn kechga 18,000 | 1323</t>
        </is>
      </c>
    </row>
    <row r="340">
      <c r="A340" s="107" t="inlineStr">
        <is>
          <t xml:space="preserve">ХОРАЗМ ВИЛОЯТИ</t>
        </is>
      </c>
      <c r="B340" s="107" t="inlineStr">
        <is>
          <t xml:space="preserve">Урганч филиали</t>
        </is>
      </c>
      <c r="C340" s="107" t="inlineStr">
        <is>
          <t xml:space="preserve">Обещали</t>
        </is>
      </c>
      <c r="D340" s="107" t="inlineStr">
        <is>
          <t xml:space="preserve">Кр-99034208-1</t>
        </is>
      </c>
      <c r="E340" s="107" t="inlineStr">
        <is>
          <t xml:space="preserve">NORBOYEV NURBEK SHUXRAT O’G’LI</t>
        </is>
      </c>
      <c r="F340" s="107" t="inlineStr">
        <is>
          <t xml:space="preserve">998991710010 SMS OZI, 998999616062 SMS UKASI, 998995071515 SMS AKASI, 998994461983 SMS DOSTI, 998991220010 SMS OTASI,</t>
        </is>
      </c>
      <c r="G340" s="107" t="inlineStr">
        <is>
          <t xml:space="preserve">XORAZM VILOYATI SHOVOT TUMANI GULZOR KUCHASI 20-UY</t>
        </is>
      </c>
      <c r="H340" s="108">
        <v>3.0</v>
      </c>
      <c r="I340" s="108">
        <v>4644361.65</v>
      </c>
      <c r="K340" s="107" t="inlineStr">
        <is>
          <t xml:space="preserve">1-2 kunda yopad | 527</t>
        </is>
      </c>
    </row>
    <row r="341">
      <c r="A341" s="107" t="inlineStr">
        <is>
          <t xml:space="preserve">ХОРАЗМ ВИЛОЯТИ</t>
        </is>
      </c>
      <c r="B341" s="107" t="inlineStr">
        <is>
          <t xml:space="preserve">Урганч филиали</t>
        </is>
      </c>
      <c r="C341" s="107" t="inlineStr">
        <is>
          <t xml:space="preserve">Обещали</t>
        </is>
      </c>
      <c r="D341" s="107" t="inlineStr">
        <is>
          <t xml:space="preserve">Кр-99041327-1</t>
        </is>
      </c>
      <c r="E341" s="107" t="inlineStr">
        <is>
          <t xml:space="preserve">SAPAROVA YULDUZ RADJAPBAYEVNA</t>
        </is>
      </c>
      <c r="F341" s="107" t="inlineStr">
        <is>
          <t xml:space="preserve">+998994330009 SMS ERI, 998770156009 SMS O’G’LI, 998914314419 SMS UZI,</t>
        </is>
      </c>
      <c r="G341" s="107" t="inlineStr">
        <is>
          <t xml:space="preserve">Қармиш МФЙ, Маданият кучаси, 94/1-уй</t>
        </is>
      </c>
      <c r="H341" s="108">
        <v>3.0</v>
      </c>
      <c r="I341" s="108">
        <v>4638966.35</v>
      </c>
      <c r="K341" s="107" t="inlineStr">
        <is>
          <t xml:space="preserve">bugun kechga yopad | 1145</t>
        </is>
      </c>
    </row>
    <row r="342">
      <c r="A342" s="107" t="inlineStr">
        <is>
          <t xml:space="preserve">ХОРАЗМ ВИЛОЯТИ</t>
        </is>
      </c>
      <c r="B342" s="107" t="inlineStr">
        <is>
          <t xml:space="preserve">Урганч филиали</t>
        </is>
      </c>
      <c r="C342" s="107" t="inlineStr">
        <is>
          <t xml:space="preserve">Обещали</t>
        </is>
      </c>
      <c r="D342" s="107" t="inlineStr">
        <is>
          <t xml:space="preserve">Кр-99041519-1</t>
        </is>
      </c>
      <c r="E342" s="107" t="inlineStr">
        <is>
          <t xml:space="preserve">ATAYEV ERKINBAY BAYJANOVICH</t>
        </is>
      </c>
      <c r="F342" s="107" t="inlineStr">
        <is>
          <t xml:space="preserve">+998995705003 SMS UZI, 998914244747 SMS O’G’LI, 998955244747 SMS O’G’LI,</t>
        </is>
      </c>
      <c r="G342" s="107" t="inlineStr">
        <is>
          <t xml:space="preserve">ЭСКИ ҚИЁТ ҚФЙ, КУШЧИ КАТТАБОГ МФЙ, ПАЛВОН,  uy:18</t>
        </is>
      </c>
      <c r="H342" s="108">
        <v>3.0</v>
      </c>
      <c r="I342" s="108">
        <v>4483262.7</v>
      </c>
      <c r="K342" s="107" t="inlineStr">
        <is>
          <t xml:space="preserve">Ogli  bilan gaplashdim yopib beraman dd shu bugn | 1177</t>
        </is>
      </c>
    </row>
    <row r="343">
      <c r="A343" s="107" t="inlineStr">
        <is>
          <t xml:space="preserve">ХОРАЗМ ВИЛОЯТИ</t>
        </is>
      </c>
      <c r="B343" s="107" t="inlineStr">
        <is>
          <t xml:space="preserve">Урганч филиали</t>
        </is>
      </c>
      <c r="C343" s="107" t="inlineStr">
        <is>
          <t xml:space="preserve">Обещали</t>
        </is>
      </c>
      <c r="D343" s="107" t="inlineStr">
        <is>
          <t xml:space="preserve">Кр-99040804-1</t>
        </is>
      </c>
      <c r="E343" s="107" t="inlineStr">
        <is>
          <t xml:space="preserve">TAJIYEV LAZIZBEK SAPARBAYEVICH</t>
        </is>
      </c>
      <c r="F343" s="107" t="inlineStr">
        <is>
          <t xml:space="preserve">+998907138320 SMS UZI, 998914205742 SMS AYOLI, 998992582701 SMS O’G’LI,</t>
        </is>
      </c>
      <c r="G343" s="107" t="inlineStr">
        <is>
          <t xml:space="preserve">Дўстлик МФЙ, Фаробий кучаси, 9-уй</t>
        </is>
      </c>
      <c r="H343" s="108">
        <v>3.0</v>
      </c>
      <c r="I343" s="108">
        <v>4319456.28</v>
      </c>
      <c r="K343" s="107" t="inlineStr">
        <is>
          <t xml:space="preserve">Boshqa bankdan kredit ovotti hammasini yoparkan | 1077</t>
        </is>
      </c>
    </row>
    <row r="344">
      <c r="A344" s="107" t="inlineStr">
        <is>
          <t xml:space="preserve">ХОРАЗМ ВИЛОЯТИ</t>
        </is>
      </c>
      <c r="B344" s="107" t="inlineStr">
        <is>
          <t xml:space="preserve">Урганч филиали</t>
        </is>
      </c>
      <c r="C344" s="107" t="inlineStr">
        <is>
          <t xml:space="preserve">Обещали</t>
        </is>
      </c>
      <c r="D344" s="107" t="inlineStr">
        <is>
          <t xml:space="preserve">Кр-99040991-1</t>
        </is>
      </c>
      <c r="E344" s="107" t="inlineStr">
        <is>
          <t xml:space="preserve">YULDASHEV ABDURAUF ERGASHEVICH</t>
        </is>
      </c>
      <c r="F344" s="107" t="inlineStr">
        <is>
          <t xml:space="preserve">+998990911604 SMS UZI, 998904355651 SMS ONASI, 998907751279 SMS OTASI,</t>
        </is>
      </c>
      <c r="G344" s="107" t="inlineStr">
        <is>
          <t xml:space="preserve">Хорезмская область, Багатский район, Кулонкорабог ССГ, Кулонкорабог МСГ, ул. Кулоллар, дом 92</t>
        </is>
      </c>
      <c r="H344" s="108">
        <v>6.0</v>
      </c>
      <c r="I344" s="108">
        <v>4099951.06</v>
      </c>
      <c r="K344" s="107" t="inlineStr">
        <is>
          <t xml:space="preserve">bugn kechga yoki ertaga abetgacha yopad | 1094</t>
        </is>
      </c>
    </row>
    <row r="345">
      <c r="A345" s="107" t="inlineStr">
        <is>
          <t xml:space="preserve">ХОРАЗМ ВИЛОЯТИ</t>
        </is>
      </c>
      <c r="B345" s="107" t="inlineStr">
        <is>
          <t xml:space="preserve">Урганч филиали</t>
        </is>
      </c>
      <c r="C345" s="107" t="inlineStr">
        <is>
          <t xml:space="preserve">Обещали</t>
        </is>
      </c>
      <c r="D345" s="107" t="inlineStr">
        <is>
          <t xml:space="preserve">Кр-99040758-1</t>
        </is>
      </c>
      <c r="E345" s="107" t="inlineStr">
        <is>
          <t xml:space="preserve">YUSUPOV MAXMUDJON OTAMURATOVICH</t>
        </is>
      </c>
      <c r="F345" s="107" t="inlineStr">
        <is>
          <t xml:space="preserve">+998975156116 SMS ozi, 998975156126 SMS AYOLI, 998975293533 SMS JIYANI,</t>
        </is>
      </c>
      <c r="G345" s="107" t="inlineStr">
        <is>
          <t xml:space="preserve">УРГАНЧ Ш., БОБУР МФЙ, Т.МАЛИК КЎЧАСИ 3-ЙЎЛАК,  uy:27</t>
        </is>
      </c>
      <c r="H345" s="108">
        <v>3.0</v>
      </c>
      <c r="I345" s="108">
        <v>4085356.03</v>
      </c>
      <c r="K345" s="107" t="inlineStr">
        <is>
          <t xml:space="preserve">Oyligini kutvoti olishi billan tiolavorad | 1071</t>
        </is>
      </c>
    </row>
    <row r="346">
      <c r="A346" s="107" t="inlineStr">
        <is>
          <t xml:space="preserve">ХОРАЗМ ВИЛОЯТИ</t>
        </is>
      </c>
      <c r="B346" s="107" t="inlineStr">
        <is>
          <t xml:space="preserve">Урганч филиали</t>
        </is>
      </c>
      <c r="C346" s="107" t="inlineStr">
        <is>
          <t xml:space="preserve">Обещали</t>
        </is>
      </c>
      <c r="D346" s="107" t="inlineStr">
        <is>
          <t xml:space="preserve">Кр-99031403-1</t>
        </is>
      </c>
      <c r="E346" s="107" t="inlineStr">
        <is>
          <t xml:space="preserve">SHARIFOV UMRBEK XASANOVICH</t>
        </is>
      </c>
      <c r="F346" s="107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346" s="107" t="inlineStr">
        <is>
          <t xml:space="preserve">XORAZM VILOYATI AL-XORAZMIY MFY SAMARQAND KUCHA 134-UY</t>
        </is>
      </c>
      <c r="H346" s="108">
        <v>6.0</v>
      </c>
      <c r="I346" s="108">
        <v>3347125.5</v>
      </c>
      <c r="K346" s="107" t="inlineStr">
        <is>
          <t xml:space="preserve">Usta pul kutvotti 1-2 kunda banka pul tushsa yopporad | 383</t>
        </is>
      </c>
    </row>
    <row r="347">
      <c r="A347" s="107" t="inlineStr">
        <is>
          <t xml:space="preserve">ХОРАЗМ ВИЛОЯТИ</t>
        </is>
      </c>
      <c r="B347" s="107" t="inlineStr">
        <is>
          <t xml:space="preserve">Урганч филиали</t>
        </is>
      </c>
      <c r="C347" s="107" t="inlineStr">
        <is>
          <t xml:space="preserve">Обещали</t>
        </is>
      </c>
      <c r="D347" s="107" t="inlineStr">
        <is>
          <t xml:space="preserve">Кр-99032260-1</t>
        </is>
      </c>
      <c r="E347" s="107" t="inlineStr">
        <is>
          <t xml:space="preserve">ISKANDAROV SA’NATBEK BAXODIR O’G’LI</t>
        </is>
      </c>
      <c r="F347" s="107" t="inlineStr">
        <is>
          <t xml:space="preserve">998990962725 SMS O’ZI, 998991160181 SMS OTASI, 998942980726 SMS UKASI,</t>
        </is>
      </c>
      <c r="G347" s="107" t="inlineStr">
        <is>
          <t xml:space="preserve">XORAZM VILOYATI XAZORASP TUMANI TURTTA MAXALLASI XURRIYAT KUCHASI 365 UY</t>
        </is>
      </c>
      <c r="H347" s="108">
        <v>3.0</v>
      </c>
      <c r="I347" s="108">
        <v>3193976.21</v>
      </c>
      <c r="K347" s="107" t="inlineStr">
        <is>
          <t xml:space="preserve">adasi bilan gaplashdim ogli 11-sanada pul tashirkan | 419</t>
        </is>
      </c>
    </row>
    <row r="348">
      <c r="A348" s="107" t="inlineStr">
        <is>
          <t xml:space="preserve">ХОРАЗМ ВИЛОЯТИ</t>
        </is>
      </c>
      <c r="B348" s="107" t="inlineStr">
        <is>
          <t xml:space="preserve">Урганч филиали</t>
        </is>
      </c>
      <c r="C348" s="107" t="inlineStr">
        <is>
          <t xml:space="preserve">Обещали</t>
        </is>
      </c>
      <c r="D348" s="107" t="inlineStr">
        <is>
          <t xml:space="preserve">Кр-99032261-1</t>
        </is>
      </c>
      <c r="E348" s="107" t="inlineStr">
        <is>
          <t xml:space="preserve">QALANDAROV MUNIS IKROMBOYEVICH</t>
        </is>
      </c>
      <c r="F348" s="107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48" s="107" t="inlineStr">
        <is>
          <t xml:space="preserve">XORAZM VILOYATI BO’GOT TUMANI XUNARMAND MFY O’ZBEKISTON KELAJAGI KUCHASI 17-UY</t>
        </is>
      </c>
      <c r="H348" s="108">
        <v>3.0</v>
      </c>
      <c r="I348" s="108">
        <v>2810680.22</v>
      </c>
      <c r="K348" s="107" t="inlineStr">
        <is>
          <t xml:space="preserve">15-sanaga rassiyadan pul tashid | 420</t>
        </is>
      </c>
    </row>
    <row r="349">
      <c r="A349" s="107" t="inlineStr">
        <is>
          <t xml:space="preserve">ХОРАЗМ ВИЛОЯТИ</t>
        </is>
      </c>
      <c r="B349" s="107" t="inlineStr">
        <is>
          <t xml:space="preserve">Урганч филиали</t>
        </is>
      </c>
      <c r="C349" s="107" t="inlineStr">
        <is>
          <t xml:space="preserve">Обещали</t>
        </is>
      </c>
      <c r="D349" s="107" t="inlineStr">
        <is>
          <t xml:space="preserve">Кр-99013487-3</t>
        </is>
      </c>
      <c r="E349" s="107" t="inlineStr">
        <is>
          <t xml:space="preserve">QURBONBOYEV JAVOHIR QUVONDIQ O’G’LI</t>
        </is>
      </c>
      <c r="F349" s="107" t="inlineStr">
        <is>
          <t xml:space="preserve">97-451-67-68 SMS UZI , 97-361-00-11  sms AKASI TULOVCHI 
 , 99-352-72-22  sms ADASI , 97-791-91-41  sms OYISI , 998976010011 SMS UZI 2,</t>
        </is>
      </c>
      <c r="G349" s="107" t="inlineStr">
        <is>
          <t xml:space="preserve">Хорезмская область, Ханкинский район, Хонка ГСГ, Эхтиром МСГ, ул. Олмазор, дом 28</t>
        </is>
      </c>
      <c r="H349" s="108">
        <v>3.0</v>
      </c>
      <c r="I349" s="108">
        <v>2656014.02</v>
      </c>
      <c r="K349" s="107" t="inlineStr">
        <is>
          <t xml:space="preserve">2 kunda yopib berad | 72</t>
        </is>
      </c>
    </row>
    <row r="350">
      <c r="A350" s="107" t="inlineStr">
        <is>
          <t xml:space="preserve">ХОРАЗМ ВИЛОЯТИ</t>
        </is>
      </c>
      <c r="B350" s="107" t="inlineStr">
        <is>
          <t xml:space="preserve">Урганч филиали</t>
        </is>
      </c>
      <c r="C350" s="107" t="inlineStr">
        <is>
          <t xml:space="preserve">Обещали</t>
        </is>
      </c>
      <c r="D350" s="107" t="inlineStr">
        <is>
          <t xml:space="preserve">Кр-99050892-2</t>
        </is>
      </c>
      <c r="E350" s="107" t="inlineStr">
        <is>
          <t xml:space="preserve">XALNIYAZOVA GUZAL SATIMBAYEVNA</t>
        </is>
      </c>
      <c r="F350" s="107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350" s="107" t="inlineStr">
        <is>
          <t xml:space="preserve">ХОРАЗМ ВИЛОЯТИ УРГАНЧ ШАХРИ Al-Xorazmiy MFY, Shabnam ko’chasi, 112-uy</t>
        </is>
      </c>
      <c r="H350" s="108">
        <v>3.0</v>
      </c>
      <c r="I350" s="108">
        <v>2650792.59</v>
      </c>
      <c r="K350" s="107" t="inlineStr">
        <is>
          <t xml:space="preserve">1-2 kunda yopib berad | 1465</t>
        </is>
      </c>
    </row>
    <row r="351">
      <c r="A351" s="107" t="inlineStr">
        <is>
          <t xml:space="preserve">ХОРАЗМ ВИЛОЯТИ</t>
        </is>
      </c>
      <c r="B351" s="107" t="inlineStr">
        <is>
          <t xml:space="preserve">Урганч филиали</t>
        </is>
      </c>
      <c r="C351" s="107" t="inlineStr">
        <is>
          <t xml:space="preserve">Обещали</t>
        </is>
      </c>
      <c r="D351" s="107" t="inlineStr">
        <is>
          <t xml:space="preserve">Кр-99052098-1</t>
        </is>
      </c>
      <c r="E351" s="107" t="inlineStr">
        <is>
          <t xml:space="preserve">SULTONNAZIROV SHOXRUX MATKARIMOVICH</t>
        </is>
      </c>
      <c r="F351" s="107" t="inlineStr">
        <is>
          <t xml:space="preserve">+998701324121 SMS UZI, 998930662024 SMS AYOLI, 998974599900 SMS AKASI,</t>
        </is>
      </c>
      <c r="G351" s="107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351" s="108">
        <v>3.0</v>
      </c>
      <c r="I351" s="108">
        <v>2194833.74</v>
      </c>
      <c r="K351" s="107" t="inlineStr">
        <is>
          <t xml:space="preserve">ertaga yopad | 1476</t>
        </is>
      </c>
    </row>
    <row r="352">
      <c r="A352" s="107" t="inlineStr">
        <is>
          <t xml:space="preserve">ХОРАЗМ ВИЛОЯТИ</t>
        </is>
      </c>
      <c r="B352" s="107" t="inlineStr">
        <is>
          <t xml:space="preserve">Урганч филиали</t>
        </is>
      </c>
      <c r="C352" s="107" t="inlineStr">
        <is>
          <t xml:space="preserve">Обещали</t>
        </is>
      </c>
      <c r="D352" s="107" t="inlineStr">
        <is>
          <t xml:space="preserve">Кр-99049180-1</t>
        </is>
      </c>
      <c r="E352" s="107" t="inlineStr">
        <is>
          <t xml:space="preserve">BAXADIROV RASHID ZUFFAROVICH</t>
        </is>
      </c>
      <c r="F352" s="107" t="inlineStr">
        <is>
          <t xml:space="preserve">+998886372407 SMS UZI, 998914217478 SMS O’G’LI, 998947061171 SMS O’G’LI,</t>
        </is>
      </c>
      <c r="G352" s="107" t="inlineStr">
        <is>
          <t xml:space="preserve">ХОРАЗМ ВИЛОЯТИ ШОВОТ ТУМАНИ ШОВОТКАЛЪА ҚФЙ, ОҚ ОЛТИН МФЙ, ШОЛИКОР КЎЧАСИ,  uy:63</t>
        </is>
      </c>
      <c r="H352" s="108">
        <v>3.0</v>
      </c>
      <c r="I352" s="108">
        <v>2140670.58</v>
      </c>
      <c r="K352" s="107" t="inlineStr">
        <is>
          <t xml:space="preserve">id dan tolid o'zi | 1433</t>
        </is>
      </c>
    </row>
    <row r="353">
      <c r="A353" s="107" t="inlineStr">
        <is>
          <t xml:space="preserve">ХОРАЗМ ВИЛОЯТИ</t>
        </is>
      </c>
      <c r="B353" s="107" t="inlineStr">
        <is>
          <t xml:space="preserve">Урганч филиали</t>
        </is>
      </c>
      <c r="C353" s="107" t="inlineStr">
        <is>
          <t xml:space="preserve">Обещали</t>
        </is>
      </c>
      <c r="D353" s="107" t="inlineStr">
        <is>
          <t xml:space="preserve">Кр-99022857-5</t>
        </is>
      </c>
      <c r="E353" s="107" t="inlineStr">
        <is>
          <t xml:space="preserve">JUMANIYOZOV OLIMBOY BAXODIR O’G’LI</t>
        </is>
      </c>
      <c r="F353" s="107" t="inlineStr">
        <is>
          <t xml:space="preserve">88-513-14-00 SMS UZI, 88-456-22-88 SMS OTASI, 93-753-72-88 SMS OTASI, 88-364-57-97 SMS OPASI,</t>
        </is>
      </c>
      <c r="G353" s="107" t="inlineStr">
        <is>
          <t xml:space="preserve">XORAZM VILOYATI YANGIARIQ TUMANI QARMISH QISHLOQI SHIXBOG’I MAXALLASI SHIXBOG’I KUCHASI 104 UY</t>
        </is>
      </c>
      <c r="H353" s="108">
        <v>3.0</v>
      </c>
      <c r="I353" s="108">
        <v>1654550.06</v>
      </c>
      <c r="K353" s="107" t="inlineStr">
        <is>
          <t xml:space="preserve">bugn yo erta yopad | 158</t>
        </is>
      </c>
    </row>
    <row r="354">
      <c r="A354" s="107" t="inlineStr">
        <is>
          <t xml:space="preserve">ХОРАЗМ ВИЛОЯТИ</t>
        </is>
      </c>
      <c r="B354" s="107" t="inlineStr">
        <is>
          <t xml:space="preserve">Урганч филиали</t>
        </is>
      </c>
      <c r="C354" s="107" t="inlineStr">
        <is>
          <t xml:space="preserve">Обещали</t>
        </is>
      </c>
      <c r="D354" s="107" t="inlineStr">
        <is>
          <t xml:space="preserve">Кр-99034208-4</t>
        </is>
      </c>
      <c r="E354" s="107" t="inlineStr">
        <is>
          <t xml:space="preserve">NORBOYEV NURBEK SHUXRAT O’G’LI</t>
        </is>
      </c>
      <c r="F354" s="107" t="inlineStr">
        <is>
          <t xml:space="preserve">998991710010 SMS OZI, 998999616062 SMS UKASI, 998995071515 SMS AKASI, 998994461983 SMS DOSTI, 998991220010 SMS OTASI,</t>
        </is>
      </c>
      <c r="G354" s="107" t="inlineStr">
        <is>
          <t xml:space="preserve">XORAZM VILOYATI SHOVOT TUMANI GULZOR KUCHASI 20-UY</t>
        </is>
      </c>
      <c r="H354" s="108">
        <v>3.0</v>
      </c>
      <c r="I354" s="108">
        <v>1606641.0</v>
      </c>
      <c r="K354" s="107" t="inlineStr">
        <is>
          <t xml:space="preserve">1-2 kunda yopad | 528</t>
        </is>
      </c>
    </row>
    <row r="355">
      <c r="A355" s="107" t="inlineStr">
        <is>
          <t xml:space="preserve">ХОРАЗМ ВИЛОЯТИ</t>
        </is>
      </c>
      <c r="B355" s="107" t="inlineStr">
        <is>
          <t xml:space="preserve">Урганч филиали</t>
        </is>
      </c>
      <c r="C355" s="107" t="inlineStr">
        <is>
          <t xml:space="preserve">Обещали</t>
        </is>
      </c>
      <c r="D355" s="107" t="inlineStr">
        <is>
          <t xml:space="preserve">Кр-99032052-1</t>
        </is>
      </c>
      <c r="E355" s="107" t="inlineStr">
        <is>
          <t xml:space="preserve">BOLTABAYEV ABBOSBEK ANVARBEK O’G’LI</t>
        </is>
      </c>
      <c r="F355" s="107" t="inlineStr">
        <is>
          <t xml:space="preserve">998992874544 SMS O’ZI malyarkada ishlidi, 998335170097 SMS O’ZI 2, 998338860076 SMS OTASI, 998992354544 SMS AYOLI,</t>
        </is>
      </c>
      <c r="G355" s="107" t="inlineStr">
        <is>
          <t xml:space="preserve">XORAZM VILOYATI URGANCH TUMANI OXUNBOBOYEV QFY YUQORI JIRMIZ MFY BIRDAMLIK KUCHASI 3-UY</t>
        </is>
      </c>
      <c r="I355" s="108">
        <v>1544110.57</v>
      </c>
      <c r="K355" s="107" t="inlineStr">
        <is>
          <t xml:space="preserve">hozi tolid | 413</t>
        </is>
      </c>
    </row>
    <row r="356">
      <c r="A356" s="107" t="inlineStr">
        <is>
          <t xml:space="preserve">ХОРАЗМ ВИЛОЯТИ</t>
        </is>
      </c>
      <c r="B356" s="107" t="inlineStr">
        <is>
          <t xml:space="preserve">Урганч филиали</t>
        </is>
      </c>
      <c r="C356" s="107" t="inlineStr">
        <is>
          <t xml:space="preserve">Обещали</t>
        </is>
      </c>
      <c r="D356" s="107" t="inlineStr">
        <is>
          <t xml:space="preserve">Кр-99027378-2</t>
        </is>
      </c>
      <c r="E356" s="107" t="inlineStr">
        <is>
          <t xml:space="preserve">RUZMETOVA DILNOZA OTANAZAROVNA</t>
        </is>
      </c>
      <c r="F356" s="107" t="inlineStr">
        <is>
          <t xml:space="preserve">97-792-65-55 SMS TULOVCHI, 97-458-65-12 SMS ONASI, 97-221-52-99 SMS,</t>
        </is>
      </c>
      <c r="G356" s="107" t="inlineStr">
        <is>
          <t xml:space="preserve">ХОРАЗМ ВИЛОЯТИ УРГАНЧ ТУМАНИ ҒАЛАБА ҚФЙ, ОБОД МФЙ, ЧЕВАРЛАР КЎЧАСИ,  uy:31</t>
        </is>
      </c>
      <c r="H356" s="108">
        <v>3.0</v>
      </c>
      <c r="I356" s="108">
        <v>1369119.55</v>
      </c>
      <c r="K356" s="107" t="inlineStr">
        <is>
          <t xml:space="preserve">bugn yopad abetgacha | 232</t>
        </is>
      </c>
    </row>
    <row r="357">
      <c r="A357" s="107" t="inlineStr">
        <is>
          <t xml:space="preserve">ХОРАЗМ ВИЛОЯТИ</t>
        </is>
      </c>
      <c r="B357" s="107" t="inlineStr">
        <is>
          <t xml:space="preserve">Урганч филиали</t>
        </is>
      </c>
      <c r="C357" s="107" t="inlineStr">
        <is>
          <t xml:space="preserve">Обещали</t>
        </is>
      </c>
      <c r="D357" s="107" t="inlineStr">
        <is>
          <t xml:space="preserve">Кр-99043227-1</t>
        </is>
      </c>
      <c r="E357" s="107" t="inlineStr">
        <is>
          <t xml:space="preserve">JUMABOYEV IBROXIM ADAMBOYEVICH</t>
        </is>
      </c>
      <c r="F357" s="107" t="inlineStr">
        <is>
          <t xml:space="preserve">+998994293399 SMS UZI, 998938487479 SMS AYOLI, 998974580470 SMS OTASI,</t>
        </is>
      </c>
      <c r="G357" s="107" t="inlineStr">
        <is>
          <t xml:space="preserve">ХОРАЗМ ВИЛОЯТИ УРГАНЧ ШАХРИ Истиқлол МФЙ, Узбекистон кучаси, 31-уй</t>
        </is>
      </c>
      <c r="H357" s="108">
        <v>3.0</v>
      </c>
      <c r="I357" s="108">
        <v>1119299.35</v>
      </c>
      <c r="K357" s="107" t="inlineStr">
        <is>
          <t xml:space="preserve">bugun 18,00 yopad | 1287</t>
        </is>
      </c>
    </row>
    <row r="358">
      <c r="A358" s="107" t="inlineStr">
        <is>
          <t xml:space="preserve">ХОРАЗМ ВИЛОЯТИ</t>
        </is>
      </c>
      <c r="B358" s="107" t="inlineStr">
        <is>
          <t xml:space="preserve">Урганч филиали</t>
        </is>
      </c>
      <c r="C358" s="107" t="inlineStr">
        <is>
          <t xml:space="preserve">Обещали</t>
        </is>
      </c>
      <c r="D358" s="107" t="inlineStr">
        <is>
          <t xml:space="preserve">Кр-99043227-4</t>
        </is>
      </c>
      <c r="E358" s="107" t="inlineStr">
        <is>
          <t xml:space="preserve">JUMABOYEV IBROXIM ADAMBOYEVICH</t>
        </is>
      </c>
      <c r="F358" s="107" t="inlineStr">
        <is>
          <t xml:space="preserve">+998994293399 SMS UZI, 998938487479 SMS AYOLI, 998974580470 SMS OTASI,</t>
        </is>
      </c>
      <c r="G358" s="107" t="inlineStr">
        <is>
          <t xml:space="preserve">ХОРАЗМ ВИЛОЯТИ УРГАНЧ ШАХРИ Истиқлол МФЙ, Узбекистон кучаси, 31-уй</t>
        </is>
      </c>
      <c r="H358" s="108">
        <v>3.0</v>
      </c>
      <c r="I358" s="108">
        <v>904250.76</v>
      </c>
      <c r="K358" s="107" t="inlineStr">
        <is>
          <t xml:space="preserve">bugun 18,00 yopad | 1290</t>
        </is>
      </c>
    </row>
    <row r="359">
      <c r="A359" s="107" t="inlineStr">
        <is>
          <t xml:space="preserve">ХОРАЗМ ВИЛОЯТИ</t>
        </is>
      </c>
      <c r="B359" s="107" t="inlineStr">
        <is>
          <t xml:space="preserve">Урганч филиали</t>
        </is>
      </c>
      <c r="C359" s="107" t="inlineStr">
        <is>
          <t xml:space="preserve">Обещали</t>
        </is>
      </c>
      <c r="D359" s="107" t="inlineStr">
        <is>
          <t xml:space="preserve">Кр-99046119-1</t>
        </is>
      </c>
      <c r="E359" s="107" t="inlineStr">
        <is>
          <t xml:space="preserve">ILYAZOVA ZAYNAB YO’LDASHOVNA</t>
        </is>
      </c>
      <c r="F359" s="107" t="inlineStr">
        <is>
          <t xml:space="preserve">+998941819969 SMS UZI, 998909719799 SMS O’G’LI, 998946911990 SMS KELINI begona,</t>
        </is>
      </c>
      <c r="G359" s="107" t="inlineStr">
        <is>
          <t xml:space="preserve">ХОРАЗМ ВИЛОЯТИ ШОВОТ ТУМАНИ БЎЙРАЧИ ҚФЙ, БОБОРАХИМ КЎЧАСИ,  uy:4</t>
        </is>
      </c>
      <c r="I359" s="108">
        <v>760412.36</v>
      </c>
      <c r="K359" s="107" t="inlineStr">
        <is>
          <t xml:space="preserve">eri kotardi ertaga tolavoramiz db ochirib qoydi | 1349</t>
        </is>
      </c>
    </row>
    <row r="360">
      <c r="A360" s="107" t="inlineStr">
        <is>
          <t xml:space="preserve">ХОРАЗМ ВИЛОЯТИ</t>
        </is>
      </c>
      <c r="B360" s="107" t="inlineStr">
        <is>
          <t xml:space="preserve">Урганч филиали</t>
        </is>
      </c>
      <c r="C360" s="107" t="inlineStr">
        <is>
          <t xml:space="preserve">Обещали</t>
        </is>
      </c>
      <c r="D360" s="107" t="inlineStr">
        <is>
          <t xml:space="preserve">Кр-99032608-10</t>
        </is>
      </c>
      <c r="E360" s="107" t="inlineStr">
        <is>
          <t xml:space="preserve">G’AFAROVA DILAFRUZ BAXODIROVNA</t>
        </is>
      </c>
      <c r="F360" s="107" t="inlineStr">
        <is>
          <t xml:space="preserve">998947580909 SMS UKASI begona, 998937588767 SMS SINGLISI, 998948118118 SMS OZI, 998905792002 SMS DOSTI,</t>
        </is>
      </c>
      <c r="G360" s="107" t="inlineStr">
        <is>
          <t xml:space="preserve">ХОРАЗМ ВИЛОЯТИ УРГАНЧ ТУМАНИ ЧАККАШОЛИКОР ҚФЙ, ОК АРИКЛАР МФЙ, НУРАФШОН, 2 ТОР КЎЧАСИ,  uy:8</t>
        </is>
      </c>
      <c r="H360" s="108">
        <v>3.0</v>
      </c>
      <c r="I360" s="108">
        <v>338841.91</v>
      </c>
      <c r="K360" s="107" t="inlineStr">
        <is>
          <t xml:space="preserve">singlisi bilan gaplashdim bugun yoptirad | 442</t>
        </is>
      </c>
    </row>
    <row r="361">
      <c r="A361" s="107" t="inlineStr">
        <is>
          <t xml:space="preserve">ХОРАЗМ ВИЛОЯТИ</t>
        </is>
      </c>
      <c r="B361" s="107" t="inlineStr">
        <is>
          <t xml:space="preserve">Урганч филиали</t>
        </is>
      </c>
      <c r="C361" s="107" t="inlineStr">
        <is>
          <t xml:space="preserve">Обещали</t>
        </is>
      </c>
      <c r="D361" s="107" t="inlineStr">
        <is>
          <t xml:space="preserve">Кр-99064034-1</t>
        </is>
      </c>
      <c r="E361" s="107" t="inlineStr">
        <is>
          <t xml:space="preserve">RAXIMOVA GAVHAR BALTABAYEVNA</t>
        </is>
      </c>
      <c r="F361" s="107" t="inlineStr">
        <is>
          <t xml:space="preserve">+998919992710 SMS O’ZI, 998503025853 SMS O’G’LI 2, 998937453636 SMS O’G’LI,</t>
        </is>
      </c>
      <c r="G361" s="107" t="inlineStr">
        <is>
          <t xml:space="preserve">ХОРАЗМ ВИЛОЯТИ УРГАНЧ ШАХРИ УРГАНЧ Ш., МУСТАКИЛЛИК МФЙ, УРГАНЧ ШАХАР, МУСТАКИЛЛИК МФЙ, НИЗОМИЙ,  uy:19</t>
        </is>
      </c>
      <c r="H361" s="108">
        <v>3.0</v>
      </c>
      <c r="I361" s="108">
        <v>126131.26</v>
      </c>
      <c r="K361" s="107" t="inlineStr">
        <is>
          <t xml:space="preserve">hozi tolid | 2270</t>
        </is>
      </c>
    </row>
  </sheetData>
  <autoFilter ref="A2:K361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110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Оплатил дозвон</t>
        </is>
      </c>
      <c r="D3" s="99" t="inlineStr">
        <is>
          <t xml:space="preserve">Кр-99027266-4</t>
        </is>
      </c>
      <c r="E3" s="99" t="inlineStr">
        <is>
          <t xml:space="preserve">RAXMONOV ISROILJON XXX</t>
        </is>
      </c>
      <c r="F3" s="99" t="inlineStr">
        <is>
          <t xml:space="preserve">998971516979 SMS O'ZI, 998331516979 SMS AYOLI, 998951086979 SMS O’G’LI, 998950902334 SMS QIZI, +998971516979 SMS O’ZI, 998889956979 SMS AYOLI,</t>
        </is>
      </c>
      <c r="G3" s="99" t="inlineStr">
        <is>
          <t xml:space="preserve">ANDIJON VILOYATI ANDIJON TUMANI ZAVROQ MFY SHOXI-ZINDA KO’CHASI 4-UY</t>
        </is>
      </c>
      <c r="H3" s="100">
        <v>3.0</v>
      </c>
      <c r="I3" s="100">
        <v>3717877.96</v>
      </c>
      <c r="J3" s="100">
        <v>3717877.96</v>
      </c>
    </row>
    <row r="4">
      <c r="A4" s="101" t="inlineStr">
        <is>
          <t xml:space="preserve">АНДИЖОН ВИЛОЯТИ</t>
        </is>
      </c>
      <c r="B4" s="101" t="inlineStr">
        <is>
          <t xml:space="preserve">SUPER BRANCH</t>
        </is>
      </c>
      <c r="C4" s="101" t="inlineStr">
        <is>
          <t xml:space="preserve">Оплатил дозвон</t>
        </is>
      </c>
      <c r="D4" s="101" t="inlineStr">
        <is>
          <t xml:space="preserve">Кр-99031618-3</t>
        </is>
      </c>
      <c r="E4" s="101" t="inlineStr">
        <is>
          <t xml:space="preserve">DJUMAYEV OZODBEK XOSHIMJON O’G’LI</t>
        </is>
      </c>
      <c r="F4" s="101" t="inlineStr">
        <is>
          <t xml:space="preserve">88-046-01-09  SMS O’ZI , 94-536-25-36  SMS AYOLI, 99-849-09-58  SMS UKASI, 77-072-11-63  SMS DADASI,</t>
        </is>
      </c>
      <c r="G4" s="101" t="inlineStr">
        <is>
          <t xml:space="preserve">ANDIJON VILOYATI ASAKA TUMANI TURON MFY XOJI KO’CHASI 67-UY</t>
        </is>
      </c>
      <c r="H4" s="102">
        <v>3.0</v>
      </c>
      <c r="I4" s="102">
        <v>1246693.62</v>
      </c>
      <c r="J4" s="102">
        <v>1246693.62</v>
      </c>
    </row>
    <row r="5">
      <c r="A5" s="101" t="inlineStr">
        <is>
          <t xml:space="preserve">АНДИЖОН ВИЛОЯТИ</t>
        </is>
      </c>
      <c r="B5" s="101" t="inlineStr">
        <is>
          <t xml:space="preserve">SUPER BRANCH</t>
        </is>
      </c>
      <c r="C5" s="101" t="inlineStr">
        <is>
          <t xml:space="preserve">Оплатил дозвон</t>
        </is>
      </c>
      <c r="D5" s="101" t="inlineStr">
        <is>
          <t xml:space="preserve">Кр-99056916-1</t>
        </is>
      </c>
      <c r="E5" s="101" t="inlineStr">
        <is>
          <t xml:space="preserve">BO’RANOVA MARG’UBA TOXIROVNA</t>
        </is>
      </c>
      <c r="F5" s="101" t="inlineStr">
        <is>
          <t xml:space="preserve">998881102465 SMS OZI, 998939940815 SMS OGLI, 998880052564 SMS XOJAYINI, 998905422591 SMS QZI,</t>
        </is>
      </c>
      <c r="G5" s="101" t="inlineStr">
        <is>
          <t xml:space="preserve">ANDIJON VILOYATI QO’RG’ONTEPA TUMANI UCHQUN MFY OGOXLIK KO’CHASI 1-UY</t>
        </is>
      </c>
      <c r="H5" s="102">
        <v>3.0</v>
      </c>
      <c r="I5" s="102">
        <v>1090321.66</v>
      </c>
      <c r="J5" s="102">
        <v>1090321.66</v>
      </c>
    </row>
    <row r="6">
      <c r="A6" s="101" t="inlineStr">
        <is>
          <t xml:space="preserve">АНДИЖОН ВИЛОЯТИ</t>
        </is>
      </c>
      <c r="B6" s="101" t="inlineStr">
        <is>
          <t xml:space="preserve">SUPER BRANCH</t>
        </is>
      </c>
      <c r="C6" s="101" t="inlineStr">
        <is>
          <t xml:space="preserve">Оплатил дозвон</t>
        </is>
      </c>
      <c r="D6" s="101" t="inlineStr">
        <is>
          <t xml:space="preserve">Кр-99057626-1</t>
        </is>
      </c>
      <c r="E6" s="101" t="inlineStr">
        <is>
          <t xml:space="preserve">DAVRONOV AXMADBEK ODILOVICH</t>
        </is>
      </c>
      <c r="F6" s="101" t="inlineStr">
        <is>
          <t xml:space="preserve">998995170264 SMS UZI, 998996940764 SMS AYOLI, 998945170264 SMS UZI 2, 998902174389 SMS JIYAN,</t>
        </is>
      </c>
      <c r="G6" s="101" t="inlineStr">
        <is>
          <t xml:space="preserve">ANDIJON VILOYATI PAXTAOBOD TUMANI ANDIJON MFY, O’RIKZOR  KO’CHASI 134-UY</t>
        </is>
      </c>
      <c r="H6" s="102">
        <v>3.0</v>
      </c>
      <c r="I6" s="102">
        <v>44890.31</v>
      </c>
      <c r="J6" s="102">
        <v>44890.31</v>
      </c>
    </row>
    <row r="7">
      <c r="A7" s="103" t="inlineStr">
        <is>
          <t xml:space="preserve">АНДИЖОН ВИЛОЯТИ</t>
        </is>
      </c>
      <c r="B7" s="103" t="inlineStr">
        <is>
          <t xml:space="preserve">Андижон филиали</t>
        </is>
      </c>
      <c r="C7" s="103" t="inlineStr">
        <is>
          <t xml:space="preserve">Оплатил дозвон</t>
        </is>
      </c>
      <c r="D7" s="103" t="inlineStr">
        <is>
          <t xml:space="preserve">Кр-99062635-2</t>
        </is>
      </c>
      <c r="E7" s="103" t="inlineStr">
        <is>
          <t xml:space="preserve">USMANOVA GULNOZA SHAVKATOVNA</t>
        </is>
      </c>
      <c r="F7" s="103" t="inlineStr">
        <is>
          <t xml:space="preserve">+998914907321 SMS O’ZI, 998500551620 SMS SINGLISI, 998889933833 SMS QIZI, 998946978207 SMS ONASI, 998500231621 SMS Tolovchi O'zi,</t>
        </is>
      </c>
      <c r="G7" s="103" t="inlineStr">
        <is>
          <t xml:space="preserve">Andijon viloyati Xo’jaobod tumani  Mustaqillikning 27-yilligi MFY Obod ko’chasi, 67a-yu</t>
        </is>
      </c>
      <c r="H7" s="104">
        <v>6.0</v>
      </c>
      <c r="I7" s="104">
        <v>4359925.6</v>
      </c>
      <c r="J7" s="104">
        <v>4359925.6</v>
      </c>
    </row>
    <row r="8">
      <c r="A8" s="103" t="inlineStr">
        <is>
          <t xml:space="preserve">АНДИЖОН ВИЛОЯТИ</t>
        </is>
      </c>
      <c r="B8" s="103" t="inlineStr">
        <is>
          <t xml:space="preserve">Андижон филиали</t>
        </is>
      </c>
      <c r="C8" s="103" t="inlineStr">
        <is>
          <t xml:space="preserve">Оплатил дозвон</t>
        </is>
      </c>
      <c r="D8" s="103" t="inlineStr">
        <is>
          <t xml:space="preserve">Кр-99033630-6</t>
        </is>
      </c>
      <c r="E8" s="103" t="inlineStr">
        <is>
          <t xml:space="preserve">ODAMBOYEVA NAZOKAT QAXRAMON QIZI</t>
        </is>
      </c>
      <c r="F8" s="103" t="inlineStr">
        <is>
          <t xml:space="preserve">998505729393 SMS O’ZI, 998934349373 SMS KELINOYISI, 998994418804 SMS AKASI, 998940615252 SMS QARINDOSHI, +998501956662 SMS O’ZI, 998934258424 SMS POCHCHASI, 998946653675 SMS XOLASI,</t>
        </is>
      </c>
      <c r="G8" s="103" t="inlineStr">
        <is>
          <t xml:space="preserve">ANDIJON VILOYATI XO’JAOBOD TUMANI MUSTAQILLIKNING 27 YILLIGI MFY OBOD 1-TOR KO’CHASI 9-UY</t>
        </is>
      </c>
      <c r="H8" s="104">
        <v>3.0</v>
      </c>
      <c r="I8" s="104">
        <v>3866352.0</v>
      </c>
      <c r="J8" s="104">
        <v>3866352.0</v>
      </c>
    </row>
    <row r="9">
      <c r="A9" s="103" t="inlineStr">
        <is>
          <t xml:space="preserve">АНДИЖОН ВИЛОЯТИ</t>
        </is>
      </c>
      <c r="B9" s="103" t="inlineStr">
        <is>
          <t xml:space="preserve">Андижон филиали</t>
        </is>
      </c>
      <c r="C9" s="103" t="inlineStr">
        <is>
          <t xml:space="preserve">Оплатил дозвон</t>
        </is>
      </c>
      <c r="D9" s="103" t="inlineStr">
        <is>
          <t xml:space="preserve">Кр-99033630-5</t>
        </is>
      </c>
      <c r="E9" s="103" t="inlineStr">
        <is>
          <t xml:space="preserve">ODAMBOYEVA NAZOKAT QAXRAMON QIZI</t>
        </is>
      </c>
      <c r="F9" s="103" t="inlineStr">
        <is>
          <t xml:space="preserve">998505729393 SMS O’ZI, 998934349373 SMS KELINOYISI, 998994418804 SMS AKASI, 998940615252 SMS QARINDOSHI, +998501956662 SMS O’ZI, 998934258424 SMS POCHCHASI, 998946653675 SMS XOLASI,</t>
        </is>
      </c>
      <c r="G9" s="103" t="inlineStr">
        <is>
          <t xml:space="preserve">ANDIJON VILOYATI XO’JAOBOD TUMANI MUSTAQILLIKNING 27 YILLIGI MFY OBOD 1-TOR KO’CHASI 9-UY</t>
        </is>
      </c>
      <c r="H9" s="104">
        <v>3.0</v>
      </c>
      <c r="I9" s="104">
        <v>3247845.36</v>
      </c>
      <c r="J9" s="104">
        <v>3247845.36</v>
      </c>
    </row>
    <row r="10">
      <c r="A10" s="103" t="inlineStr">
        <is>
          <t xml:space="preserve">АНДИЖОН ВИЛОЯТИ</t>
        </is>
      </c>
      <c r="B10" s="103" t="inlineStr">
        <is>
          <t xml:space="preserve">Андижон филиали</t>
        </is>
      </c>
      <c r="C10" s="103" t="inlineStr">
        <is>
          <t xml:space="preserve">Оплатил дозвон</t>
        </is>
      </c>
      <c r="D10" s="103" t="inlineStr">
        <is>
          <t xml:space="preserve">Кр-99029219-1</t>
        </is>
      </c>
      <c r="E10" s="103" t="inlineStr">
        <is>
          <t xml:space="preserve">XUSANBOYEVA NARGIZA XOLMUROD QIZI</t>
        </is>
      </c>
      <c r="F10" s="103" t="inlineStr">
        <is>
          <t xml:space="preserve">998507163988 SMS OZI TULOVCHISI, 93-061-98-00  SMS ERI TULOVCHISI, 94-425-98-92  SMS OZI TULOVCHISI, 93-429-12-09 SMS ONASI, 998507163998 SMS ozi new ,</t>
        </is>
      </c>
      <c r="G10" s="103" t="inlineStr">
        <is>
          <t xml:space="preserve">ANDIJON TUMANI MARXAMAT TUMANI DURAFSHON KOCHASI DONISHMAND KOCHASI 8-UY</t>
        </is>
      </c>
      <c r="H10" s="104">
        <v>1.0</v>
      </c>
      <c r="I10" s="104">
        <v>2120319.3</v>
      </c>
      <c r="J10" s="104">
        <v>2120319.3</v>
      </c>
      <c r="K10" s="103" t="inlineStr">
        <is>
          <t xml:space="preserve">bugun yopadi</t>
        </is>
      </c>
    </row>
    <row r="11">
      <c r="A11" s="103" t="inlineStr">
        <is>
          <t xml:space="preserve">АНДИЖОН ВИЛОЯТИ</t>
        </is>
      </c>
      <c r="B11" s="103" t="inlineStr">
        <is>
          <t xml:space="preserve">Андижон филиали</t>
        </is>
      </c>
      <c r="C11" s="103" t="inlineStr">
        <is>
          <t xml:space="preserve">Оплатил дозвон</t>
        </is>
      </c>
      <c r="D11" s="103" t="inlineStr">
        <is>
          <t xml:space="preserve">Кр-99031618-1</t>
        </is>
      </c>
      <c r="E11" s="103" t="inlineStr">
        <is>
          <t xml:space="preserve">DJUMAYEV OZODBEK XOSHIMJON O’G’LI</t>
        </is>
      </c>
      <c r="F11" s="103" t="inlineStr">
        <is>
          <t xml:space="preserve">88-046-01-09  SMS O’ZI , 94-536-25-36  SMS AYOLI, 99-849-09-58  SMS UKASI, 77-072-11-63  SMS DADASI,</t>
        </is>
      </c>
      <c r="G11" s="103" t="inlineStr">
        <is>
          <t xml:space="preserve">ANDIJON VILOYATI ASAKA TUMANI TURON MFY XOJI KO’CHASI 67-UY</t>
        </is>
      </c>
      <c r="H11" s="104">
        <v>2.0</v>
      </c>
      <c r="I11" s="104">
        <v>1933119.93</v>
      </c>
      <c r="J11" s="104">
        <v>1933119.93</v>
      </c>
    </row>
    <row r="12">
      <c r="A12" s="103" t="inlineStr">
        <is>
          <t xml:space="preserve">АНДИЖОН ВИЛОЯТИ</t>
        </is>
      </c>
      <c r="B12" s="103" t="inlineStr">
        <is>
          <t xml:space="preserve">Андижон филиали</t>
        </is>
      </c>
      <c r="C12" s="103" t="inlineStr">
        <is>
          <t xml:space="preserve">Оплатил дозвон</t>
        </is>
      </c>
      <c r="D12" s="103" t="inlineStr">
        <is>
          <t xml:space="preserve">Кр-99057395-3</t>
        </is>
      </c>
      <c r="E12" s="103" t="inlineStr">
        <is>
          <t xml:space="preserve">SOBIROV AXMADULLOX MUXAMMADJON O’G’LI</t>
        </is>
      </c>
      <c r="F12" s="103" t="inlineStr">
        <is>
          <t xml:space="preserve">998979712424 SMS UZI, 998887527779 AKASI, 998884104045 SMS  KELNOYISI, 998972040525 SMS DADASI, +998979712424 SMS O’ZI, 998942493838 SMS AKASI,</t>
        </is>
      </c>
      <c r="G12" s="103" t="inlineStr">
        <is>
          <t xml:space="preserve">ANDIJON VILOYATI OLTINKO’L TUMANI CHO’NTAK MFY, MUSTAQILLIK  KO’CHASI 227-UY</t>
        </is>
      </c>
      <c r="H12" s="104">
        <v>3.0</v>
      </c>
      <c r="I12" s="104">
        <v>1240769.97</v>
      </c>
      <c r="J12" s="104">
        <v>1240769.97</v>
      </c>
    </row>
    <row r="13">
      <c r="A13" s="105" t="inlineStr">
        <is>
          <t xml:space="preserve">БУХОРО ВИЛОЯТИ</t>
        </is>
      </c>
      <c r="B13" s="105" t="inlineStr">
        <is>
          <t xml:space="preserve">SUPER BRANCH</t>
        </is>
      </c>
      <c r="C13" s="105" t="inlineStr">
        <is>
          <t xml:space="preserve">Оплатил дозвон</t>
        </is>
      </c>
      <c r="D13" s="105" t="inlineStr">
        <is>
          <t xml:space="preserve">Кр-99018891-5</t>
        </is>
      </c>
      <c r="E13" s="105" t="inlineStr">
        <is>
          <t xml:space="preserve">FAXILLOYEVA MOXINUR FOZILOVNA</t>
        </is>
      </c>
      <c r="F13" s="105" t="inlineStr">
        <is>
          <t xml:space="preserve">97-306-16-10  SMS OZI, 90-513-05-03 SMS  ERI  BEGONA , 97-854-75-48  SMS QAYNONA, 91-411-91-88  SMS QAYNOTA, 50-578-16-10 SMS UZI2,</t>
        </is>
      </c>
      <c r="G13" s="105" t="inlineStr">
        <is>
          <t xml:space="preserve">BUXORO VILOYATI BUXORO TUMANI NOVMETAN QFY </t>
        </is>
      </c>
      <c r="H13" s="106">
        <v>3.0</v>
      </c>
      <c r="I13" s="106">
        <v>2655794.88</v>
      </c>
      <c r="J13" s="106">
        <v>2655794.88</v>
      </c>
      <c r="K13" s="105" t="inlineStr">
        <is>
          <t xml:space="preserve">BUGUN 2SOATDA | 98</t>
        </is>
      </c>
    </row>
    <row r="14">
      <c r="A14" s="105" t="inlineStr">
        <is>
          <t xml:space="preserve">БУХОРО ВИЛОЯТИ</t>
        </is>
      </c>
      <c r="B14" s="105" t="inlineStr">
        <is>
          <t xml:space="preserve">SUPER BRANCH</t>
        </is>
      </c>
      <c r="C14" s="105" t="inlineStr">
        <is>
          <t xml:space="preserve">Оплатил дозвон</t>
        </is>
      </c>
      <c r="D14" s="105" t="inlineStr">
        <is>
          <t xml:space="preserve">Кр-99041395-2</t>
        </is>
      </c>
      <c r="E14" s="105" t="inlineStr">
        <is>
          <t xml:space="preserve">G’AYBULLOYEVA LAYLO ABDULLO QIZI</t>
        </is>
      </c>
      <c r="F14" s="105" t="inlineStr">
        <is>
          <t xml:space="preserve">998950856644 SMS ERI, 998970153002 SMS ERI 2, 998955250119 SMS ERI2, 998400722322 SMS OZI2, 998997015300 SMS ERI NEW,</t>
        </is>
      </c>
      <c r="G14" s="105" t="inlineStr">
        <is>
          <t xml:space="preserve">TOSHKENT SHAHAR YANGIXAYOT TUMANI YANGIDARXON MFY, 8-UY, 36-XONADON</t>
        </is>
      </c>
      <c r="I14" s="106">
        <v>321272.7</v>
      </c>
      <c r="J14" s="106">
        <v>321272.7</v>
      </c>
      <c r="K14" s="105" t="inlineStr">
        <is>
          <t xml:space="preserve">KO'TARMAYABDI TELEGRAMDAN YOZDIM BUGUN TO'LASHI KERAK | 1161</t>
        </is>
      </c>
    </row>
    <row r="15">
      <c r="A15" s="107" t="inlineStr">
        <is>
          <t xml:space="preserve">БУХОРО ВИЛОЯТИ</t>
        </is>
      </c>
      <c r="B15" s="107" t="inlineStr">
        <is>
          <t xml:space="preserve">Бухоро филиали</t>
        </is>
      </c>
      <c r="C15" s="107" t="inlineStr">
        <is>
          <t xml:space="preserve">Оплатил дозвон</t>
        </is>
      </c>
      <c r="D15" s="107" t="inlineStr">
        <is>
          <t xml:space="preserve">Кр-99063805-1</t>
        </is>
      </c>
      <c r="E15" s="107" t="inlineStr">
        <is>
          <t xml:space="preserve">NASIROVA SANAVAR SHARIFDJANOVNA</t>
        </is>
      </c>
      <c r="F15" s="107" t="inlineStr">
        <is>
          <t xml:space="preserve">+998777630387 SMS O’ZI, 998909710400 SMS O’G’LI, 998996007310 SMS ERI,</t>
        </is>
      </c>
      <c r="G15" s="107" t="inlineStr">
        <is>
          <t xml:space="preserve">BUXORO VILOYATI BUXORO SHAHAR YANGIOBOD MFY YANGIOBOD KO’CHASI 123-UY</t>
        </is>
      </c>
      <c r="H15" s="108">
        <v>3.0</v>
      </c>
      <c r="I15" s="108">
        <v>9936501.68</v>
      </c>
      <c r="J15" s="108">
        <v>9936501.68</v>
      </c>
      <c r="K15" s="107" t="inlineStr">
        <is>
          <t xml:space="preserve">2192</t>
        </is>
      </c>
    </row>
    <row r="16">
      <c r="A16" s="107" t="inlineStr">
        <is>
          <t xml:space="preserve">БУХОРО ВИЛОЯТИ</t>
        </is>
      </c>
      <c r="B16" s="107" t="inlineStr">
        <is>
          <t xml:space="preserve">Бухоро филиали</t>
        </is>
      </c>
      <c r="C16" s="107" t="inlineStr">
        <is>
          <t xml:space="preserve">Оплатил дозвон</t>
        </is>
      </c>
      <c r="D16" s="107" t="inlineStr">
        <is>
          <t xml:space="preserve">Кр-99064605-1</t>
        </is>
      </c>
      <c r="E16" s="107" t="inlineStr">
        <is>
          <t xml:space="preserve">YUSUPOV ASILBEK ASQADOVICH</t>
        </is>
      </c>
      <c r="F16" s="107" t="inlineStr">
        <is>
          <t xml:space="preserve">998888300445 SMS O’ZI, 998931898363 SMS DO’STI, 998995482555 SMS DO’STI,</t>
        </is>
      </c>
      <c r="G16" s="107" t="inlineStr">
        <is>
          <t xml:space="preserve">BUXORO VILOYATI KOGON TUMANI NURAFSHON MFY YUKORI CHUKATI 20-UY</t>
        </is>
      </c>
      <c r="H16" s="108">
        <v>3.0</v>
      </c>
      <c r="I16" s="108">
        <v>1237055.26</v>
      </c>
      <c r="J16" s="108">
        <v>1237055.26</v>
      </c>
      <c r="K16" s="107" t="inlineStr">
        <is>
          <t xml:space="preserve">2391</t>
        </is>
      </c>
    </row>
    <row r="17">
      <c r="A17" s="107" t="inlineStr">
        <is>
          <t xml:space="preserve">БУХОРО ВИЛОЯТИ</t>
        </is>
      </c>
      <c r="B17" s="107" t="inlineStr">
        <is>
          <t xml:space="preserve">Бухоро филиали</t>
        </is>
      </c>
      <c r="C17" s="107" t="inlineStr">
        <is>
          <t xml:space="preserve">Оплатил дозвон</t>
        </is>
      </c>
      <c r="D17" s="107" t="inlineStr">
        <is>
          <t xml:space="preserve">Кр-99044175-1</t>
        </is>
      </c>
      <c r="E17" s="107" t="inlineStr">
        <is>
          <t xml:space="preserve">MURODOV MUROD UMAR O’G’LI</t>
        </is>
      </c>
      <c r="F17" s="107" t="inlineStr">
        <is>
          <t xml:space="preserve">+998995624067 SMS O’ZI, 998914450878 SMS DO’STI, 998918384026 SMS ONASI, 998948893111 SMS DO’STI,</t>
        </is>
      </c>
      <c r="G17" s="107" t="inlineStr">
        <is>
          <t xml:space="preserve">Паноб МФЙ, Янги ҳаёт қишлоғи, 138-уй</t>
        </is>
      </c>
      <c r="I17" s="108">
        <v>475170.39</v>
      </c>
      <c r="J17" s="108">
        <v>475170.39</v>
      </c>
      <c r="K17" s="107" t="inlineStr">
        <is>
          <t xml:space="preserve">BUGUNGA TO'LEMIZ FILIALGA BORIB DEDILA | 1300</t>
        </is>
      </c>
    </row>
    <row r="18">
      <c r="A18" s="107" t="inlineStr">
        <is>
          <t xml:space="preserve">БУХОРО ВИЛОЯТИ</t>
        </is>
      </c>
      <c r="B18" s="107" t="inlineStr">
        <is>
          <t xml:space="preserve">Бухоро филиали</t>
        </is>
      </c>
      <c r="C18" s="107" t="inlineStr">
        <is>
          <t xml:space="preserve">Оплатил дозвон</t>
        </is>
      </c>
      <c r="D18" s="107" t="inlineStr">
        <is>
          <t xml:space="preserve">Кр-99032335-1</t>
        </is>
      </c>
      <c r="E18" s="107" t="inlineStr">
        <is>
          <t xml:space="preserve">HAZRATOV BAXSHILLO NURILLAYEVICH</t>
        </is>
      </c>
      <c r="F18" s="107" t="inlineStr">
        <is>
          <t xml:space="preserve">998949144311 SMS O’ZI, 998942474311 SMS O’ZI 2, 998930734311 SMS O’G’LI AMRILLO,</t>
        </is>
      </c>
      <c r="G18" s="107" t="inlineStr">
        <is>
          <t xml:space="preserve">BUXORO VILOYATI OLOT TUMANI SOIN QORADUL QFY 18-UY</t>
        </is>
      </c>
      <c r="I18" s="108">
        <v>377458.36</v>
      </c>
      <c r="J18" s="108">
        <v>377458.36</v>
      </c>
      <c r="K18" s="107" t="inlineStr">
        <is>
          <t xml:space="preserve">BUGUNGA VADA BERGAN | 428</t>
        </is>
      </c>
    </row>
    <row r="19">
      <c r="A19" s="109" t="inlineStr">
        <is>
          <t xml:space="preserve">ЖИЗЗАХ ВИЛОЯТИ</t>
        </is>
      </c>
      <c r="B19" s="109" t="inlineStr">
        <is>
          <t xml:space="preserve">BOSH OFIS</t>
        </is>
      </c>
      <c r="C19" s="109" t="inlineStr">
        <is>
          <t xml:space="preserve">Оплатил дозвон</t>
        </is>
      </c>
      <c r="D19" s="109" t="inlineStr">
        <is>
          <t xml:space="preserve">Кр-99033893-2</t>
        </is>
      </c>
      <c r="E19" s="109" t="inlineStr">
        <is>
          <t xml:space="preserve">NORMATOV BEKZOD XOLJURAYEVICH</t>
        </is>
      </c>
      <c r="F19" s="109" t="inlineStr">
        <is>
          <t xml:space="preserve">998916270830 SMS OZI, 998910290447 SMS AYOLI, 998905381311 SMS SINGLI,</t>
        </is>
      </c>
      <c r="G19" s="109" t="inlineStr">
        <is>
          <t xml:space="preserve">JIZZAX VILOYATI JIZZAX SHAHRI QALIYA MFY ABU RAYHON BERUNIY KUCHASI 8-UY </t>
        </is>
      </c>
      <c r="H19" s="110">
        <v>3.0</v>
      </c>
      <c r="I19" s="110">
        <v>508860.35</v>
      </c>
      <c r="J19" s="110">
        <v>508860.35</v>
      </c>
    </row>
    <row r="20">
      <c r="A20" s="111" t="inlineStr">
        <is>
          <t xml:space="preserve">ЖИЗЗАХ ВИЛОЯТИ</t>
        </is>
      </c>
      <c r="B20" s="111" t="inlineStr">
        <is>
          <t xml:space="preserve">SUPER BRANCH</t>
        </is>
      </c>
      <c r="C20" s="111" t="inlineStr">
        <is>
          <t xml:space="preserve">Оплатил дозвон</t>
        </is>
      </c>
      <c r="D20" s="111" t="inlineStr">
        <is>
          <t xml:space="preserve">Кр-99022847-4</t>
        </is>
      </c>
      <c r="E20" s="111" t="inlineStr">
        <is>
          <t xml:space="preserve">MELIBAYEV MIRSAID XABIBULLAYEVICH</t>
        </is>
      </c>
      <c r="F20" s="111" t="inlineStr">
        <is>
          <t xml:space="preserve">91-590-31-00 SMS UZI , 97-643-31-00  SMS OGLI, 91-188-19-20  SMS AYOLI, 90-180-40-02  SMS SHEREGI,</t>
        </is>
      </c>
      <c r="G20" s="111" t="inlineStr">
        <is>
          <t xml:space="preserve">JIZAX VILOYATI ZAFAROBOD TUMANI NURAFSHON QFY NARKUTSOY KUCHASI 15-UY</t>
        </is>
      </c>
      <c r="H20" s="112">
        <v>3.0</v>
      </c>
      <c r="I20" s="112">
        <v>3937776.14</v>
      </c>
      <c r="J20" s="112">
        <v>3937776.14</v>
      </c>
    </row>
    <row r="21">
      <c r="A21" s="111" t="inlineStr">
        <is>
          <t xml:space="preserve">ЖИЗЗАХ ВИЛОЯТИ</t>
        </is>
      </c>
      <c r="B21" s="111" t="inlineStr">
        <is>
          <t xml:space="preserve">SUPER BRANCH</t>
        </is>
      </c>
      <c r="C21" s="111" t="inlineStr">
        <is>
          <t xml:space="preserve">Оплатил дозвон</t>
        </is>
      </c>
      <c r="D21" s="111" t="inlineStr">
        <is>
          <t xml:space="preserve">Кр-99029615-3</t>
        </is>
      </c>
      <c r="E21" s="111" t="inlineStr">
        <is>
          <t xml:space="preserve">QILICHBEKOV UTKIR LATIFOVICH</t>
        </is>
      </c>
      <c r="F21" s="111" t="inlineStr">
        <is>
          <t xml:space="preserve">99-034-81-71  SMS O'ZI, 99-095-20-12  SMS AYOLI , 88-208-15-45  SMS AKASI , 88-296-26-29  SMS HAMKASB ,</t>
        </is>
      </c>
      <c r="G21" s="111" t="inlineStr">
        <is>
          <t xml:space="preserve">JIZZAX VILOYATI JIZZAX SHAHRI ZILOL MAHALLASI MUSTAQILLIK KUCHASI 12-UY 20 XONADON</t>
        </is>
      </c>
      <c r="H21" s="112">
        <v>3.0</v>
      </c>
      <c r="I21" s="112">
        <v>1544289.25</v>
      </c>
      <c r="J21" s="112">
        <v>1544289.25</v>
      </c>
    </row>
    <row r="22">
      <c r="A22" s="111" t="inlineStr">
        <is>
          <t xml:space="preserve">ЖИЗЗАХ ВИЛОЯТИ</t>
        </is>
      </c>
      <c r="B22" s="111" t="inlineStr">
        <is>
          <t xml:space="preserve">SUPER BRANCH</t>
        </is>
      </c>
      <c r="C22" s="111" t="inlineStr">
        <is>
          <t xml:space="preserve">Оплатил дозвон</t>
        </is>
      </c>
      <c r="D22" s="111" t="inlineStr">
        <is>
          <t xml:space="preserve">Кр-99029332-2</t>
        </is>
      </c>
      <c r="E22" s="111" t="inlineStr">
        <is>
          <t xml:space="preserve">SHERMATOV BAXTIYOR OCHILOVICH</t>
        </is>
      </c>
      <c r="F22" s="111" t="inlineStr">
        <is>
          <t xml:space="preserve">77-301-76-76 sms SIN, 99-504-76-76 sms SIN, 91-599-69-02 sms UZI, 773017676 sms SIN, 915996902 sms UZI, 995047676 sms SIN,</t>
        </is>
      </c>
      <c r="G22" s="111" t="inlineStr">
        <is>
          <t xml:space="preserve">JIZZAX VILOYATI SH.RASHIDOV TUMANI PAXTAOBOD QFY YAHTANLIK MFY BOG’DOD KUCHASI 51-UY</t>
        </is>
      </c>
      <c r="H22" s="112">
        <v>3.0</v>
      </c>
      <c r="I22" s="112">
        <v>1463725.98</v>
      </c>
      <c r="J22" s="112">
        <v>1463725.98</v>
      </c>
    </row>
    <row r="23">
      <c r="A23" s="111" t="inlineStr">
        <is>
          <t xml:space="preserve">ЖИЗЗАХ ВИЛОЯТИ</t>
        </is>
      </c>
      <c r="B23" s="111" t="inlineStr">
        <is>
          <t xml:space="preserve">SUPER BRANCH</t>
        </is>
      </c>
      <c r="C23" s="111" t="inlineStr">
        <is>
          <t xml:space="preserve">Оплатил дозвон</t>
        </is>
      </c>
      <c r="D23" s="111" t="inlineStr">
        <is>
          <t xml:space="preserve">Кр-99053654-1</t>
        </is>
      </c>
      <c r="E23" s="111" t="inlineStr">
        <is>
          <t xml:space="preserve">XOLBEKOV QUVONCHBEK SAID O’G’LI</t>
        </is>
      </c>
      <c r="F23" s="111" t="inlineStr">
        <is>
          <t xml:space="preserve">998993542391 SMS OZI, 998943750194 SMS ONASI, 998931257179 SMS UY, 998932347179 SMS DOSTI,</t>
        </is>
      </c>
      <c r="G23" s="111" t="inlineStr">
        <is>
          <t xml:space="preserve">JIZZAX VILOYATI ARNASOY TUMANI G'OLIBLAR SHFY ULUG'BEK KUCHASI 22-UY 2-XONADON</t>
        </is>
      </c>
      <c r="H23" s="112">
        <v>3.0</v>
      </c>
      <c r="I23" s="112">
        <v>1392080.44</v>
      </c>
      <c r="J23" s="112">
        <v>1392080.44</v>
      </c>
    </row>
    <row r="24">
      <c r="A24" s="111" t="inlineStr">
        <is>
          <t xml:space="preserve">ЖИЗЗАХ ВИЛОЯТИ</t>
        </is>
      </c>
      <c r="B24" s="111" t="inlineStr">
        <is>
          <t xml:space="preserve">SUPER BRANCH</t>
        </is>
      </c>
      <c r="C24" s="111" t="inlineStr">
        <is>
          <t xml:space="preserve">Оплатил дозвон</t>
        </is>
      </c>
      <c r="D24" s="111" t="inlineStr">
        <is>
          <t xml:space="preserve">Кр-99028409-6</t>
        </is>
      </c>
      <c r="E24" s="111" t="inlineStr">
        <is>
          <t xml:space="preserve">ABDIYEV ZAFARJON XOLBOYEVICH</t>
        </is>
      </c>
      <c r="F24" s="111" t="inlineStr">
        <is>
          <t xml:space="preserve">93-091-09-39  SMS OZI, 93-686-93-77  SMS AYOLI, 94-727-50-75  SMS SIN, 930910939 SMS OZI, 936869377 SMS AYOLI, 947275075 SMS SIN,</t>
        </is>
      </c>
      <c r="G24" s="111" t="inlineStr">
        <is>
          <t xml:space="preserve">МАДАНИЯТ КФЙ, МАДАНИЯТ КФЙ, ЗАРГАР КИШЛОГИ,  uy:Р/С</t>
        </is>
      </c>
      <c r="H24" s="112">
        <v>3.0</v>
      </c>
      <c r="I24" s="112">
        <v>1130130.67</v>
      </c>
      <c r="J24" s="112">
        <v>1130130.67</v>
      </c>
    </row>
    <row r="25">
      <c r="A25" s="111" t="inlineStr">
        <is>
          <t xml:space="preserve">ЖИЗЗАХ ВИЛОЯТИ</t>
        </is>
      </c>
      <c r="B25" s="111" t="inlineStr">
        <is>
          <t xml:space="preserve">SUPER BRANCH</t>
        </is>
      </c>
      <c r="C25" s="111" t="inlineStr">
        <is>
          <t xml:space="preserve">Оплатил дозвон</t>
        </is>
      </c>
      <c r="D25" s="111" t="inlineStr">
        <is>
          <t xml:space="preserve">Кр-99039705-2</t>
        </is>
      </c>
      <c r="E25" s="111" t="inlineStr">
        <is>
          <t xml:space="preserve">TURSUNBOYEV MIRZOXID MUZAFFAR O’G’LI</t>
        </is>
      </c>
      <c r="F25" s="111" t="inlineStr">
        <is>
          <t xml:space="preserve">998700262501 SMS OZI, 998933472491 SMS DADASI, 998772180718 SMS ONASI,</t>
        </is>
      </c>
      <c r="G25" s="111" t="inlineStr">
        <is>
          <t xml:space="preserve">JIZZAX VILOYATI PAXTAKOR TUMANI CHAMANZOR QFY IBN SINO  KUCHASI 7/2 - UY </t>
        </is>
      </c>
      <c r="H25" s="112">
        <v>3.0</v>
      </c>
      <c r="I25" s="112">
        <v>904738.23</v>
      </c>
      <c r="J25" s="112">
        <v>904738.23</v>
      </c>
    </row>
    <row r="26">
      <c r="A26" s="113" t="inlineStr">
        <is>
          <t xml:space="preserve">ЖИЗЗАХ ВИЛОЯТИ</t>
        </is>
      </c>
      <c r="B26" s="113" t="inlineStr">
        <is>
          <t xml:space="preserve">Жиззах филиали</t>
        </is>
      </c>
      <c r="C26" s="113" t="inlineStr">
        <is>
          <t xml:space="preserve">Оплатил дозвон</t>
        </is>
      </c>
      <c r="D26" s="113" t="inlineStr">
        <is>
          <t xml:space="preserve">Кр-99007949-4</t>
        </is>
      </c>
      <c r="E26" s="113" t="inlineStr">
        <is>
          <t xml:space="preserve">MAJIDOV XASAN BOSIMOVICH</t>
        </is>
      </c>
      <c r="F26" s="113" t="inlineStr">
        <is>
          <t xml:space="preserve">94-573-50-05 SMS OZI, 99-588-08-73 SMS OZI    tanmidi , 99-201-19-78 SMS AYOLI, 94-574-16-47 SMS Uz, 94-573-50-05 sms OZI,</t>
        </is>
      </c>
      <c r="G26" s="113" t="inlineStr">
        <is>
          <t xml:space="preserve">JIZZAX VILOYATI ZARBDOR TUMANI LALIMKOR QFY TINCHLIK KO’CHASI 47-UY</t>
        </is>
      </c>
      <c r="H26" s="114">
        <v>3.0</v>
      </c>
      <c r="I26" s="114">
        <v>6840511.41</v>
      </c>
      <c r="J26" s="114">
        <v>6840511.41</v>
      </c>
    </row>
    <row r="27">
      <c r="A27" s="113" t="inlineStr">
        <is>
          <t xml:space="preserve">ЖИЗЗАХ ВИЛОЯТИ</t>
        </is>
      </c>
      <c r="B27" s="113" t="inlineStr">
        <is>
          <t xml:space="preserve">Жиззах филиали</t>
        </is>
      </c>
      <c r="C27" s="113" t="inlineStr">
        <is>
          <t xml:space="preserve">Оплатил дозвон</t>
        </is>
      </c>
      <c r="D27" s="113" t="inlineStr">
        <is>
          <t xml:space="preserve">Кр-99029615-2</t>
        </is>
      </c>
      <c r="E27" s="113" t="inlineStr">
        <is>
          <t xml:space="preserve">QILICHBEKOV UTKIR LATIFOVICH</t>
        </is>
      </c>
      <c r="F27" s="113" t="inlineStr">
        <is>
          <t xml:space="preserve">99-034-81-71  SMS O'ZI, 99-095-20-12  SMS AYOLI , 88-208-15-45  SMS AKASI , 88-296-26-29  SMS HAMKASB ,</t>
        </is>
      </c>
      <c r="G27" s="113" t="inlineStr">
        <is>
          <t xml:space="preserve">JIZZAX VILOYATI JIZZAX SHAHRI ZILOL MAHALLASI MUSTAQILLIK KUCHASI 12-UY 20 XONADON</t>
        </is>
      </c>
      <c r="H27" s="114">
        <v>3.0</v>
      </c>
      <c r="I27" s="114">
        <v>2917352.22</v>
      </c>
      <c r="J27" s="114">
        <v>2917352.22</v>
      </c>
    </row>
    <row r="28">
      <c r="A28" s="113" t="inlineStr">
        <is>
          <t xml:space="preserve">ЖИЗЗАХ ВИЛОЯТИ</t>
        </is>
      </c>
      <c r="B28" s="113" t="inlineStr">
        <is>
          <t xml:space="preserve">Жиззах филиали</t>
        </is>
      </c>
      <c r="C28" s="113" t="inlineStr">
        <is>
          <t xml:space="preserve">Оплатил дозвон</t>
        </is>
      </c>
      <c r="D28" s="113" t="inlineStr">
        <is>
          <t xml:space="preserve">Кр-99041360-2</t>
        </is>
      </c>
      <c r="E28" s="113" t="inlineStr">
        <is>
          <t xml:space="preserve">QOSIMOV XAYRULLO RAXIMBERDIYEVICH</t>
        </is>
      </c>
      <c r="F28" s="113" t="inlineStr">
        <is>
          <t xml:space="preserve">+998943473031 SMS 1, 998941362625 SMS 2, 998977253031 SMS 3,</t>
        </is>
      </c>
      <c r="G28" s="113" t="inlineStr">
        <is>
          <t xml:space="preserve">JIZZAX VILOYATI DUSTLIK TUMANI MANAS MFY XATIRCHI KUCHASI 18/8-UY</t>
        </is>
      </c>
      <c r="H28" s="114">
        <v>3.0</v>
      </c>
      <c r="I28" s="114">
        <v>2482424.11</v>
      </c>
      <c r="J28" s="114">
        <v>2482424.11</v>
      </c>
    </row>
    <row r="29">
      <c r="A29" s="113" t="inlineStr">
        <is>
          <t xml:space="preserve">ЖИЗЗАХ ВИЛОЯТИ</t>
        </is>
      </c>
      <c r="B29" s="113" t="inlineStr">
        <is>
          <t xml:space="preserve">Жиззах филиали</t>
        </is>
      </c>
      <c r="C29" s="113" t="inlineStr">
        <is>
          <t xml:space="preserve">Оплатил дозвон</t>
        </is>
      </c>
      <c r="D29" s="113" t="inlineStr">
        <is>
          <t xml:space="preserve">Кр-99028729-2</t>
        </is>
      </c>
      <c r="E29" s="113" t="inlineStr">
        <is>
          <t xml:space="preserve">AMANOV BUNYOD MUMIN O’G’LI</t>
        </is>
      </c>
      <c r="F29" s="113" t="inlineStr">
        <is>
          <t xml:space="preserve">998991791177 SMS OZI, 998902642879 SMS OPASI, 998509979579 SMS TOLOVCHISI, 998996790117 SMS AYOLI, 998881591177 AYOLI, 998944449556 ONASI,</t>
        </is>
      </c>
      <c r="G29" s="113" t="inlineStr">
        <is>
          <t xml:space="preserve">МУЗБУЛОК МФЙ, МУЗБУЛОК МФЙ, ЛОЙИХАДАГИ,  uy:Р.С</t>
        </is>
      </c>
      <c r="H29" s="114">
        <v>3.0</v>
      </c>
      <c r="I29" s="114">
        <v>1400224.32</v>
      </c>
      <c r="J29" s="114">
        <v>1400224.32</v>
      </c>
    </row>
    <row r="30">
      <c r="A30" s="113" t="inlineStr">
        <is>
          <t xml:space="preserve">ЖИЗЗАХ ВИЛОЯТИ</t>
        </is>
      </c>
      <c r="B30" s="113" t="inlineStr">
        <is>
          <t xml:space="preserve">Жиззах филиали</t>
        </is>
      </c>
      <c r="C30" s="113" t="inlineStr">
        <is>
          <t xml:space="preserve">Оплатил дозвон</t>
        </is>
      </c>
      <c r="D30" s="113" t="inlineStr">
        <is>
          <t xml:space="preserve">Кр-99029332-3</t>
        </is>
      </c>
      <c r="E30" s="113" t="inlineStr">
        <is>
          <t xml:space="preserve">SHERMATOV BAXTIYOR OCHILOVICH</t>
        </is>
      </c>
      <c r="F30" s="113" t="inlineStr">
        <is>
          <t xml:space="preserve">77-301-76-76 sms SIN, 99-504-76-76 sms SIN, 91-599-69-02 sms UZI, 773017676 sms SIN, 915996902 sms UZI, 995047676 sms SIN,</t>
        </is>
      </c>
      <c r="G30" s="113" t="inlineStr">
        <is>
          <t xml:space="preserve">JIZZAX VILOYATI SH.RASHIDOV TUMANI PAXTAOBOD QFY YAHTANLIK MFY BOG’DOD KUCHASI 51-UY</t>
        </is>
      </c>
      <c r="H30" s="114">
        <v>3.0</v>
      </c>
      <c r="I30" s="114">
        <v>1022357.0</v>
      </c>
      <c r="J30" s="114">
        <v>1022357.0</v>
      </c>
    </row>
    <row r="31">
      <c r="A31" s="113" t="inlineStr">
        <is>
          <t xml:space="preserve">ЖИЗЗАХ ВИЛОЯТИ</t>
        </is>
      </c>
      <c r="B31" s="113" t="inlineStr">
        <is>
          <t xml:space="preserve">Жиззах филиали</t>
        </is>
      </c>
      <c r="C31" s="113" t="inlineStr">
        <is>
          <t xml:space="preserve">Оплатил дозвон</t>
        </is>
      </c>
      <c r="D31" s="113" t="inlineStr">
        <is>
          <t xml:space="preserve">Кр-99030974-2</t>
        </is>
      </c>
      <c r="E31" s="113" t="inlineStr">
        <is>
          <t xml:space="preserve">RAVSHANOV BERDIYOR XOLBEKOVICH</t>
        </is>
      </c>
      <c r="F31" s="113" t="inlineStr">
        <is>
          <t xml:space="preserve">99-114-44-95   SMS O’ZI, 93-769-05-00  SMS SINGLI , 99-520-48-99  SMS SIN  2, 77-032-64-77  SMS SIN 3, 770326477 SMS SIN 3, 937690500 SMS SINGLI, 991144495 SMS O’ZI, 995204899 SMS SIN  2,</t>
        </is>
      </c>
      <c r="G31" s="113" t="inlineStr">
        <is>
          <t xml:space="preserve">JIZZAX VILOYATI ZOMIN TUMANI DUOBA QFY YETTI KECHUV QISHLOG’I 72-UY</t>
        </is>
      </c>
      <c r="H31" s="114">
        <v>3.0</v>
      </c>
      <c r="I31" s="114">
        <v>993180.78</v>
      </c>
      <c r="J31" s="114">
        <v>993180.78</v>
      </c>
    </row>
    <row r="32">
      <c r="A32" s="113" t="inlineStr">
        <is>
          <t xml:space="preserve">ЖИЗЗАХ ВИЛОЯТИ</t>
        </is>
      </c>
      <c r="B32" s="113" t="inlineStr">
        <is>
          <t xml:space="preserve">Жиззах филиали</t>
        </is>
      </c>
      <c r="C32" s="113" t="inlineStr">
        <is>
          <t xml:space="preserve">Оплатил дозвон</t>
        </is>
      </c>
      <c r="D32" s="113" t="inlineStr">
        <is>
          <t xml:space="preserve">Кр-99028409-4</t>
        </is>
      </c>
      <c r="E32" s="113" t="inlineStr">
        <is>
          <t xml:space="preserve">ABDIYEV ZAFARJON XOLBOYEVICH</t>
        </is>
      </c>
      <c r="F32" s="113" t="inlineStr">
        <is>
          <t xml:space="preserve">93-091-09-39  SMS OZI, 93-686-93-77  SMS AYOLI, 94-727-50-75  SMS SIN, 930910939 SMS OZI, 936869377 SMS AYOLI, 947275075 SMS SIN,</t>
        </is>
      </c>
      <c r="G32" s="113" t="inlineStr">
        <is>
          <t xml:space="preserve">МАДАНИЯТ КФЙ, МАДАНИЯТ КФЙ, ЗАРГАР КИШЛОГИ,  uy:Р/С</t>
        </is>
      </c>
      <c r="H32" s="114">
        <v>3.0</v>
      </c>
      <c r="I32" s="114">
        <v>939697.07</v>
      </c>
      <c r="J32" s="114">
        <v>939697.07</v>
      </c>
    </row>
    <row r="33">
      <c r="A33" s="113" t="inlineStr">
        <is>
          <t xml:space="preserve">ЖИЗЗАХ ВИЛОЯТИ</t>
        </is>
      </c>
      <c r="B33" s="113" t="inlineStr">
        <is>
          <t xml:space="preserve">Жиззах филиали</t>
        </is>
      </c>
      <c r="C33" s="113" t="inlineStr">
        <is>
          <t xml:space="preserve">Оплатил дозвон</t>
        </is>
      </c>
      <c r="D33" s="113" t="inlineStr">
        <is>
          <t xml:space="preserve">Кр-99064217-1</t>
        </is>
      </c>
      <c r="E33" s="113" t="inlineStr">
        <is>
          <t xml:space="preserve">MAXMUDOVA NARGIZA GULYAMOVNA</t>
        </is>
      </c>
      <c r="F33" s="113" t="inlineStr">
        <is>
          <t xml:space="preserve">998774774343 AYOLI, 998919434343 UZI, 998956434343 UY,</t>
        </is>
      </c>
      <c r="G33" s="113" t="inlineStr">
        <is>
          <t xml:space="preserve">Джизакская область, Джизакский район, Нонисангил МСГ, ул. Янги кишлок, дом 10</t>
        </is>
      </c>
      <c r="H33" s="114">
        <v>3.0</v>
      </c>
      <c r="I33" s="114">
        <v>938748.93</v>
      </c>
      <c r="J33" s="114">
        <v>938748.93</v>
      </c>
    </row>
    <row r="34">
      <c r="A34" s="113" t="inlineStr">
        <is>
          <t xml:space="preserve">ЖИЗЗАХ ВИЛОЯТИ</t>
        </is>
      </c>
      <c r="B34" s="113" t="inlineStr">
        <is>
          <t xml:space="preserve">Жиззах филиали</t>
        </is>
      </c>
      <c r="C34" s="113" t="inlineStr">
        <is>
          <t xml:space="preserve">Оплатил дозвон</t>
        </is>
      </c>
      <c r="D34" s="113" t="inlineStr">
        <is>
          <t xml:space="preserve">Кр-99028409-7</t>
        </is>
      </c>
      <c r="E34" s="113" t="inlineStr">
        <is>
          <t xml:space="preserve">ABDIYEV ZAFARJON XOLBOYEVICH</t>
        </is>
      </c>
      <c r="F34" s="113" t="inlineStr">
        <is>
          <t xml:space="preserve">93-091-09-39  SMS OZI, 93-686-93-77  SMS AYOLI, 94-727-50-75  SMS SIN, 930910939 SMS OZI, 936869377 SMS AYOLI, 947275075 SMS SIN,</t>
        </is>
      </c>
      <c r="G34" s="113" t="inlineStr">
        <is>
          <t xml:space="preserve">МАДАНИЯТ КФЙ, МАДАНИЯТ КФЙ, ЗАРГАР КИШЛОГИ,  uy:Р/С</t>
        </is>
      </c>
      <c r="H34" s="114">
        <v>3.0</v>
      </c>
      <c r="I34" s="114">
        <v>450103.0</v>
      </c>
      <c r="J34" s="114">
        <v>450103.0</v>
      </c>
    </row>
    <row r="35">
      <c r="A35" s="115" t="inlineStr">
        <is>
          <t xml:space="preserve">КАШКАДАРЁ ВИЛОЯТИ</t>
        </is>
      </c>
      <c r="B35" s="115" t="inlineStr">
        <is>
          <t xml:space="preserve">SUPER BRANCH</t>
        </is>
      </c>
      <c r="C35" s="115" t="inlineStr">
        <is>
          <t xml:space="preserve">Оплатил дозвон</t>
        </is>
      </c>
      <c r="D35" s="115" t="inlineStr">
        <is>
          <t xml:space="preserve">Кр-99036280-3</t>
        </is>
      </c>
      <c r="E35" s="115" t="inlineStr">
        <is>
          <t xml:space="preserve">DJURAYEV URAL NORTULAYEVICH</t>
        </is>
      </c>
      <c r="F35" s="115" t="inlineStr">
        <is>
          <t xml:space="preserve">998973133705 SMS OZI, 998886389305 SMS AYOLI, 998882214343 SMS AKASI, 998970706311 SMS UKASI,</t>
        </is>
      </c>
      <c r="G35" s="115" t="inlineStr">
        <is>
          <t xml:space="preserve">КАШКАДАРЁ ВИЛОЯТИ КОСОН ТУМАНИ Эсабой МФЙ Эсабой кучаси 11 уй</t>
        </is>
      </c>
      <c r="H35" s="116">
        <v>3.0</v>
      </c>
      <c r="I35" s="116">
        <v>0.0</v>
      </c>
      <c r="K35" s="115" t="inlineStr">
        <is>
          <t xml:space="preserve">bugun abetgacha yopaman hammasini ddi | 641 | 2477161.57</t>
        </is>
      </c>
    </row>
    <row r="36">
      <c r="A36" s="115" t="inlineStr">
        <is>
          <t xml:space="preserve">КАШКАДАРЁ ВИЛОЯТИ</t>
        </is>
      </c>
      <c r="B36" s="115" t="inlineStr">
        <is>
          <t xml:space="preserve">SUPER BRANCH</t>
        </is>
      </c>
      <c r="C36" s="115" t="inlineStr">
        <is>
          <t xml:space="preserve">Оплатил дозвон</t>
        </is>
      </c>
      <c r="D36" s="115" t="inlineStr">
        <is>
          <t xml:space="preserve">Кр-99039364-1</t>
        </is>
      </c>
      <c r="E36" s="115" t="inlineStr">
        <is>
          <t xml:space="preserve">AZIMOV TURG’UN TUFLIYEVICH</t>
        </is>
      </c>
      <c r="F36" s="115" t="inlineStr">
        <is>
          <t xml:space="preserve">998946868512 SMS OZI, 998786757278 SMS AYOLI, 998505792187 SMS DADSI, 998973168020 SMS ONASI,</t>
        </is>
      </c>
      <c r="G36" s="115" t="inlineStr">
        <is>
          <t xml:space="preserve">QASHQADARYO VILOYATI QAMASHI TUMANI JONBUZSOY MFY UMID NIXOLI KUCHASI 46-UY</t>
        </is>
      </c>
      <c r="H36" s="116">
        <v>2.0</v>
      </c>
      <c r="I36" s="116">
        <v>0.0</v>
      </c>
      <c r="K36" s="115" t="inlineStr">
        <is>
          <t xml:space="preserve">bugun kechgacha bittasi yopiladi bittasini hoz yopadi | 847 | 3113172.12</t>
        </is>
      </c>
    </row>
    <row r="37">
      <c r="A37" s="115" t="inlineStr">
        <is>
          <t xml:space="preserve">КАШКАДАРЁ ВИЛОЯТИ</t>
        </is>
      </c>
      <c r="B37" s="115" t="inlineStr">
        <is>
          <t xml:space="preserve">SUPER BRANCH</t>
        </is>
      </c>
      <c r="C37" s="115" t="inlineStr">
        <is>
          <t xml:space="preserve">Оплатил дозвон</t>
        </is>
      </c>
      <c r="D37" s="115" t="inlineStr">
        <is>
          <t xml:space="preserve">Кр-99040370-1</t>
        </is>
      </c>
      <c r="E37" s="115" t="inlineStr">
        <is>
          <t xml:space="preserve">AZIMOV HASAN G’AYRAT O’G’LI</t>
        </is>
      </c>
      <c r="F37" s="115" t="inlineStr">
        <is>
          <t xml:space="preserve">998979514900 SMS OZI (BEGONA))), 998880073012 SMS AKASI (HAMKASBI), 998973863606 SMS DADASI (BEGONA), 998973183000 SMS DADASI  UZIIII,</t>
        </is>
      </c>
      <c r="G37" s="115" t="inlineStr">
        <is>
          <t xml:space="preserve">QASHQADARYO VILOYATI SHAXRISABZ TUMANI LOLISTON MFY PAXTAKOR QISHLOG’I XISOR KUCHASI 45-UY</t>
        </is>
      </c>
      <c r="H37" s="116">
        <v>3.0</v>
      </c>
      <c r="I37" s="116">
        <v>0.0</v>
      </c>
      <c r="K37" s="115" t="inlineStr">
        <is>
          <t xml:space="preserve">bankdan kirim qildi kechga korinadi 3000 | 1001 | 3207080.8</t>
        </is>
      </c>
    </row>
    <row r="38">
      <c r="A38" s="117" t="inlineStr">
        <is>
          <t xml:space="preserve">КАШКАДАРЁ ВИЛОЯТИ</t>
        </is>
      </c>
      <c r="B38" s="117" t="inlineStr">
        <is>
          <t xml:space="preserve">Қарши филиали</t>
        </is>
      </c>
      <c r="C38" s="117" t="inlineStr">
        <is>
          <t xml:space="preserve">Оплатил дозвон</t>
        </is>
      </c>
      <c r="D38" s="117" t="inlineStr">
        <is>
          <t xml:space="preserve">Кр-99036280-2</t>
        </is>
      </c>
      <c r="E38" s="117" t="inlineStr">
        <is>
          <t xml:space="preserve">DJURAYEV URAL NORTULAYEVICH</t>
        </is>
      </c>
      <c r="F38" s="117" t="inlineStr">
        <is>
          <t xml:space="preserve">998973133705 SMS OZI, 998886389305 SMS AYOLI, 998882214343 SMS AKASI, 998970706311 SMS UKASI,</t>
        </is>
      </c>
      <c r="G38" s="117" t="inlineStr">
        <is>
          <t xml:space="preserve">КАШКАДАРЁ ВИЛОЯТИ КОСОН ТУМАНИ Эсабой МФЙ Эсабой кучаси 11 уй</t>
        </is>
      </c>
      <c r="H38" s="118">
        <v>3.0</v>
      </c>
      <c r="I38" s="118">
        <v>0.0</v>
      </c>
      <c r="K38" s="117" t="inlineStr">
        <is>
          <t xml:space="preserve">bugun abetgacha yopaman hammasini ddi | 640 | 1399498.04</t>
        </is>
      </c>
    </row>
    <row r="39">
      <c r="A39" s="117" t="inlineStr">
        <is>
          <t xml:space="preserve">КАШКАДАРЁ ВИЛОЯТИ</t>
        </is>
      </c>
      <c r="B39" s="117" t="inlineStr">
        <is>
          <t xml:space="preserve">Қарши филиали</t>
        </is>
      </c>
      <c r="C39" s="117" t="inlineStr">
        <is>
          <t xml:space="preserve">Оплатил дозвон</t>
        </is>
      </c>
      <c r="D39" s="117" t="inlineStr">
        <is>
          <t xml:space="preserve">Кр-99036280-4</t>
        </is>
      </c>
      <c r="E39" s="117" t="inlineStr">
        <is>
          <t xml:space="preserve">DJURAYEV URAL NORTULAYEVICH</t>
        </is>
      </c>
      <c r="F39" s="117" t="inlineStr">
        <is>
          <t xml:space="preserve">998973133705 SMS OZI, 998886389305 SMS AYOLI, 998882214343 SMS AKASI, 998970706311 SMS UKASI,</t>
        </is>
      </c>
      <c r="G39" s="117" t="inlineStr">
        <is>
          <t xml:space="preserve">КАШКАДАРЁ ВИЛОЯТИ КОСОН ТУМАНИ Эсабой МФЙ Эсабой кучаси 11 уй</t>
        </is>
      </c>
      <c r="H39" s="118">
        <v>3.0</v>
      </c>
      <c r="I39" s="118">
        <v>0.0</v>
      </c>
      <c r="K39" s="117" t="inlineStr">
        <is>
          <t xml:space="preserve">bugun abetgacha yopaman hammasini ddi | 642 | 3152875.11</t>
        </is>
      </c>
    </row>
    <row r="40">
      <c r="A40" s="117" t="inlineStr">
        <is>
          <t xml:space="preserve">КАШКАДАРЁ ВИЛОЯТИ</t>
        </is>
      </c>
      <c r="B40" s="117" t="inlineStr">
        <is>
          <t xml:space="preserve">Қарши филиали</t>
        </is>
      </c>
      <c r="C40" s="117" t="inlineStr">
        <is>
          <t xml:space="preserve">Оплатил дозвон</t>
        </is>
      </c>
      <c r="D40" s="117" t="inlineStr">
        <is>
          <t xml:space="preserve">Кр-99036962-2</t>
        </is>
      </c>
      <c r="E40" s="117" t="inlineStr">
        <is>
          <t xml:space="preserve">SALOMOV ILYOS SODIKOVICH</t>
        </is>
      </c>
      <c r="F40" s="117" t="inlineStr">
        <is>
          <t xml:space="preserve">998335456770 SMS OZI, 998908970677 SMS OILASI, 998996361855 SMS UKASI, 998916361855 SMS AKASI  UZIII,</t>
        </is>
      </c>
      <c r="G40" s="117" t="inlineStr">
        <is>
          <t xml:space="preserve">КАШКАДАРЁ ВИЛОЯТИ КАРШИ ШАХРИ КАВАЛИ МФЙ ЧОРСУ КУЧАСИ 26-УЙ</t>
        </is>
      </c>
      <c r="H40" s="118">
        <v>3.0</v>
      </c>
      <c r="I40" s="118">
        <v>0.0</v>
      </c>
      <c r="K40" s="117" t="inlineStr">
        <is>
          <t xml:space="preserve">BUGUN YOPADII | 679 | 694811.8</t>
        </is>
      </c>
    </row>
    <row r="41">
      <c r="A41" s="117" t="inlineStr">
        <is>
          <t xml:space="preserve">КАШКАДАРЁ ВИЛОЯТИ</t>
        </is>
      </c>
      <c r="B41" s="117" t="inlineStr">
        <is>
          <t xml:space="preserve">Қарши филиали</t>
        </is>
      </c>
      <c r="C41" s="117" t="inlineStr">
        <is>
          <t xml:space="preserve">Оплатил дозвон</t>
        </is>
      </c>
      <c r="D41" s="117" t="inlineStr">
        <is>
          <t xml:space="preserve">Кр-99063749-1</t>
        </is>
      </c>
      <c r="E41" s="117" t="inlineStr">
        <is>
          <t xml:space="preserve">HAYITOV NOSIRBEK ILHOMOVICH</t>
        </is>
      </c>
      <c r="G41" s="117" t="inlineStr">
        <is>
          <t xml:space="preserve">КАШКАДАРЁ ВИЛОЯТИ КАСБИ ТУМАНИ ОКТЕПА МФЙ ДЕНОВ КИШЛОГИ</t>
        </is>
      </c>
      <c r="I41" s="118">
        <v>0.0</v>
      </c>
      <c r="K41" s="117" t="inlineStr">
        <is>
          <t xml:space="preserve">bugun yopaman ddi | 2174 | 216610.95</t>
        </is>
      </c>
    </row>
    <row r="42">
      <c r="A42" s="99" t="inlineStr">
        <is>
          <t xml:space="preserve">КОРАКАЛПОГИСТОН РЕСПУБЛИКАСИ</t>
        </is>
      </c>
      <c r="B42" s="99" t="inlineStr">
        <is>
          <t xml:space="preserve">SUPER BRANCH</t>
        </is>
      </c>
      <c r="C42" s="99" t="inlineStr">
        <is>
          <t xml:space="preserve">Оплатил дозвон</t>
        </is>
      </c>
      <c r="D42" s="99" t="inlineStr">
        <is>
          <t xml:space="preserve">Кр-99040984-1</t>
        </is>
      </c>
      <c r="E42" s="99" t="inlineStr">
        <is>
          <t xml:space="preserve">UTAROV JAKSILIK DJITESOVICH</t>
        </is>
      </c>
      <c r="F42" s="99" t="inlineStr">
        <is>
          <t xml:space="preserve">998913033891 SMS OZI, 998913917972 SMS AYOLI, 998991941402 SMS OGLI,</t>
        </is>
      </c>
      <c r="G42" s="99" t="inlineStr">
        <is>
          <t xml:space="preserve">NUKUS SHAHRI</t>
        </is>
      </c>
      <c r="H42" s="100">
        <v>3.0</v>
      </c>
      <c r="I42" s="100">
        <v>4465307.94</v>
      </c>
      <c r="J42" s="100">
        <v>4465307.94</v>
      </c>
    </row>
    <row r="43">
      <c r="A43" s="99" t="inlineStr">
        <is>
          <t xml:space="preserve">КОРАКАЛПОГИСТОН РЕСПУБЛИКАСИ</t>
        </is>
      </c>
      <c r="B43" s="99" t="inlineStr">
        <is>
          <t xml:space="preserve">SUPER BRANCH</t>
        </is>
      </c>
      <c r="C43" s="99" t="inlineStr">
        <is>
          <t xml:space="preserve">Оплатил дозвон</t>
        </is>
      </c>
      <c r="D43" s="99" t="inlineStr">
        <is>
          <t xml:space="preserve">Кр-99060436-1</t>
        </is>
      </c>
      <c r="E43" s="99" t="inlineStr">
        <is>
          <t xml:space="preserve">DJALIMBETOVA KALIXAN SHUKURBAEVNA</t>
        </is>
      </c>
      <c r="F43" s="99" t="inlineStr">
        <is>
          <t xml:space="preserve">998913008425 узи, 998902628687 кизи, 998913738425 угли, 998973650906 угли,</t>
        </is>
      </c>
      <c r="G43" s="99" t="inlineStr">
        <is>
          <t xml:space="preserve">QORAQALPOGISTON RES NUKUS SHAHAR KATTAGAR MFY SHARSHARA KUSHASI 11 UY </t>
        </is>
      </c>
      <c r="H43" s="100">
        <v>3.0</v>
      </c>
      <c r="I43" s="100">
        <v>4363232.18</v>
      </c>
      <c r="J43" s="100">
        <v>4363232.18</v>
      </c>
    </row>
    <row r="44">
      <c r="A44" s="99" t="inlineStr">
        <is>
          <t xml:space="preserve">КОРАКАЛПОГИСТОН РЕСПУБЛИКАСИ</t>
        </is>
      </c>
      <c r="B44" s="99" t="inlineStr">
        <is>
          <t xml:space="preserve">SUPER BRANCH</t>
        </is>
      </c>
      <c r="C44" s="99" t="inlineStr">
        <is>
          <t xml:space="preserve">Оплатил дозвон</t>
        </is>
      </c>
      <c r="D44" s="99" t="inlineStr">
        <is>
          <t xml:space="preserve">Кр-99064541-1</t>
        </is>
      </c>
      <c r="E44" s="99" t="inlineStr">
        <is>
          <t xml:space="preserve">MADAMINOV RASUL FAXRIDDIN O’G’LI</t>
        </is>
      </c>
      <c r="F44" s="99" t="inlineStr">
        <is>
          <t xml:space="preserve">998934215520 SMS UKASI, 998937435525 SMS AYOLI, 998937705522 SMS UZI,</t>
        </is>
      </c>
      <c r="G44" s="99" t="inlineStr">
        <is>
          <t xml:space="preserve">ЧОЙКУЛ ҚФЙ, БОСУВ МФЙ,  uy:Р/З</t>
        </is>
      </c>
      <c r="H44" s="100">
        <v>3.0</v>
      </c>
      <c r="I44" s="100">
        <v>3874563.0</v>
      </c>
      <c r="J44" s="100">
        <v>3874563.0</v>
      </c>
    </row>
    <row r="45">
      <c r="A45" s="99" t="inlineStr">
        <is>
          <t xml:space="preserve">КОРАКАЛПОГИСТОН РЕСПУБЛИКАСИ</t>
        </is>
      </c>
      <c r="B45" s="99" t="inlineStr">
        <is>
          <t xml:space="preserve">SUPER BRANCH</t>
        </is>
      </c>
      <c r="C45" s="99" t="inlineStr">
        <is>
          <t xml:space="preserve">Оплатил дозвон</t>
        </is>
      </c>
      <c r="D45" s="99" t="inlineStr">
        <is>
          <t xml:space="preserve">Кр-99041583-1</t>
        </is>
      </c>
      <c r="E45" s="99" t="inlineStr">
        <is>
          <t xml:space="preserve">ATAMURATOVA ZAURE KENESBAEVNA</t>
        </is>
      </c>
      <c r="F45" s="99" t="inlineStr">
        <is>
          <t xml:space="preserve">+998913926462 OZI,</t>
        </is>
      </c>
      <c r="G45" s="99" t="inlineStr">
        <is>
          <t xml:space="preserve">Моншаклы МФЙ, Улугбек кучаси, 34-уй</t>
        </is>
      </c>
      <c r="H45" s="100">
        <v>3.0</v>
      </c>
      <c r="I45" s="100">
        <v>3106671.42</v>
      </c>
      <c r="J45" s="100">
        <v>3106671.42</v>
      </c>
      <c r="K45" s="99" t="inlineStr">
        <is>
          <t xml:space="preserve">QISMAN</t>
        </is>
      </c>
    </row>
    <row r="46">
      <c r="A46" s="99" t="inlineStr">
        <is>
          <t xml:space="preserve">КОРАКАЛПОГИСТОН РЕСПУБЛИКАСИ</t>
        </is>
      </c>
      <c r="B46" s="99" t="inlineStr">
        <is>
          <t xml:space="preserve">SUPER BRANCH</t>
        </is>
      </c>
      <c r="C46" s="99" t="inlineStr">
        <is>
          <t xml:space="preserve">Оплатил дозвон</t>
        </is>
      </c>
      <c r="D46" s="99" t="inlineStr">
        <is>
          <t xml:space="preserve">Кр-99054949-1</t>
        </is>
      </c>
      <c r="E46" s="99" t="inlineStr">
        <is>
          <t xml:space="preserve">NIYETBAYEVA AINUR NIYETULLAYEVNA</t>
        </is>
      </c>
      <c r="F46" s="99" t="inlineStr">
        <is>
          <t xml:space="preserve">998886580422 SMS OZI, 998883384007 SMS QIZI, 998888921002 SMS QIZI, 998881378382 SMS ERI ,</t>
        </is>
      </c>
      <c r="G46" s="99" t="inlineStr">
        <is>
          <t xml:space="preserve">QARAQALPOGISTON RES NUKUS TUMANI DIYXAN ARNA MFY  SHADLI EL KUSHASI 23A-UY</t>
        </is>
      </c>
      <c r="H46" s="100">
        <v>3.0</v>
      </c>
      <c r="I46" s="100">
        <v>2646783.44</v>
      </c>
      <c r="J46" s="100">
        <v>2646783.44</v>
      </c>
    </row>
    <row r="47">
      <c r="A47" s="99" t="inlineStr">
        <is>
          <t xml:space="preserve">КОРАКАЛПОГИСТОН РЕСПУБЛИКАСИ</t>
        </is>
      </c>
      <c r="B47" s="99" t="inlineStr">
        <is>
          <t xml:space="preserve">SUPER BRANCH</t>
        </is>
      </c>
      <c r="C47" s="99" t="inlineStr">
        <is>
          <t xml:space="preserve">Оплатил дозвон</t>
        </is>
      </c>
      <c r="D47" s="99" t="inlineStr">
        <is>
          <t xml:space="preserve">Кр-99062824-1</t>
        </is>
      </c>
      <c r="E47" s="99" t="inlineStr">
        <is>
          <t xml:space="preserve">ALIYEV KUDIYAR ALLIYAROVICH</t>
        </is>
      </c>
      <c r="F47" s="99" t="inlineStr">
        <is>
          <t xml:space="preserve">998933611148 SMS OANSI, 998972904286 SMS OZI, 998991623511 SMS AYOLI, 998991633511 SMS QIZI,</t>
        </is>
      </c>
      <c r="G47" s="99" t="inlineStr">
        <is>
          <t xml:space="preserve">QORAQOLPAGISTON RESPUBLIKASI NUKUS AMUDARYA MFY ELIM BAR KOCHASI 35-UY</t>
        </is>
      </c>
      <c r="H47" s="100">
        <v>3.0</v>
      </c>
      <c r="I47" s="100">
        <v>2471223.6</v>
      </c>
      <c r="J47" s="100">
        <v>2471223.6</v>
      </c>
      <c r="K47" s="99" t="inlineStr">
        <is>
          <t xml:space="preserve">qisman</t>
        </is>
      </c>
    </row>
    <row r="48">
      <c r="A48" s="99" t="inlineStr">
        <is>
          <t xml:space="preserve">КОРАКАЛПОГИСТОН РЕСПУБЛИКАСИ</t>
        </is>
      </c>
      <c r="B48" s="99" t="inlineStr">
        <is>
          <t xml:space="preserve">SUPER BRANCH</t>
        </is>
      </c>
      <c r="C48" s="99" t="inlineStr">
        <is>
          <t xml:space="preserve">Оплатил дозвон</t>
        </is>
      </c>
      <c r="D48" s="99" t="inlineStr">
        <is>
          <t xml:space="preserve">Кр-99061977-1</t>
        </is>
      </c>
      <c r="E48" s="99" t="inlineStr">
        <is>
          <t xml:space="preserve">DJUMAMBETOV ADILBAY DJIYLISBAEVICH</t>
        </is>
      </c>
      <c r="F48" s="99" t="inlineStr">
        <is>
          <t xml:space="preserve">998935690685 SMS OZI, 998938712409 SMS AYOLI, 998333252268 SMS OPASI, 998945833936 SMS OPASI2,</t>
        </is>
      </c>
      <c r="G48" s="99" t="inlineStr">
        <is>
          <t xml:space="preserve">QORAQALPOGISTON RES SHUMANAY TUMANI MAMIY OFY ABAT JURT KUSHASI 4 UY </t>
        </is>
      </c>
      <c r="H48" s="100">
        <v>3.0</v>
      </c>
      <c r="I48" s="100">
        <v>2439603.37</v>
      </c>
      <c r="J48" s="100">
        <v>2439603.37</v>
      </c>
    </row>
    <row r="49">
      <c r="A49" s="101" t="inlineStr">
        <is>
          <t xml:space="preserve">КОРАКАЛПОГИСТОН РЕСПУБЛИКАСИ</t>
        </is>
      </c>
      <c r="B49" s="101" t="inlineStr">
        <is>
          <t xml:space="preserve">Нукус филиали</t>
        </is>
      </c>
      <c r="C49" s="101" t="inlineStr">
        <is>
          <t xml:space="preserve">Оплатил дозвон</t>
        </is>
      </c>
      <c r="D49" s="101" t="inlineStr">
        <is>
          <t xml:space="preserve">Кр-99064163-3</t>
        </is>
      </c>
      <c r="E49" s="101" t="inlineStr">
        <is>
          <t xml:space="preserve">KURBANBAEV JANDULLA KOSHKINBAEVICH</t>
        </is>
      </c>
      <c r="F49" s="101" t="inlineStr">
        <is>
          <t xml:space="preserve">998501579573 OZI, 998930953883 OGLI, 998933633239 OYALI,</t>
        </is>
      </c>
      <c r="G49" s="101" t="inlineStr">
        <is>
          <t xml:space="preserve">Коркалпогистон Рес Нукус шахар Наубахар МФЙ Ак тау кучаси 61 уй</t>
        </is>
      </c>
      <c r="H49" s="102">
        <v>3.0</v>
      </c>
      <c r="I49" s="102">
        <v>7796351.5</v>
      </c>
      <c r="J49" s="102">
        <v>7796351.5</v>
      </c>
      <c r="K49" s="101" t="inlineStr">
        <is>
          <t xml:space="preserve">qisman</t>
        </is>
      </c>
    </row>
    <row r="50">
      <c r="A50" s="101" t="inlineStr">
        <is>
          <t xml:space="preserve">КОРАКАЛПОГИСТОН РЕСПУБЛИКАСИ</t>
        </is>
      </c>
      <c r="B50" s="101" t="inlineStr">
        <is>
          <t xml:space="preserve">Нукус филиали</t>
        </is>
      </c>
      <c r="C50" s="101" t="inlineStr">
        <is>
          <t xml:space="preserve">Оплатил дозвон</t>
        </is>
      </c>
      <c r="D50" s="101" t="inlineStr">
        <is>
          <t xml:space="preserve">Кр-99064151-1</t>
        </is>
      </c>
      <c r="E50" s="101" t="inlineStr">
        <is>
          <t xml:space="preserve">DOSIMBETOV KUAT NAZARBEKOVICH</t>
        </is>
      </c>
      <c r="F50" s="101" t="inlineStr">
        <is>
          <t xml:space="preserve">998941117577 OZI, 998944581211 UKASI, 998996530048 OYALI,</t>
        </is>
      </c>
      <c r="G50" s="101" t="inlineStr">
        <is>
          <t xml:space="preserve">КОРКАЛПОГИСТОН  РЕС ЧИМБОЙ ТУМАНИ ТАГЖАП ССГ, АННА РОЗЫМ АХОЛИ ПУНКТИ,  uy:Р/У</t>
        </is>
      </c>
      <c r="H50" s="102">
        <v>3.0</v>
      </c>
      <c r="I50" s="102">
        <v>5169425.83</v>
      </c>
      <c r="J50" s="102">
        <v>5169425.83</v>
      </c>
    </row>
    <row r="51">
      <c r="A51" s="101" t="inlineStr">
        <is>
          <t xml:space="preserve">КОРАКАЛПОГИСТОН РЕСПУБЛИКАСИ</t>
        </is>
      </c>
      <c r="B51" s="101" t="inlineStr">
        <is>
          <t xml:space="preserve">Нукус филиали</t>
        </is>
      </c>
      <c r="C51" s="101" t="inlineStr">
        <is>
          <t xml:space="preserve">Оплатил дозвон</t>
        </is>
      </c>
      <c r="D51" s="101" t="inlineStr">
        <is>
          <t xml:space="preserve">Кр-99064262-2</t>
        </is>
      </c>
      <c r="E51" s="101" t="inlineStr">
        <is>
          <t xml:space="preserve">KOSIMOVA LUIZA BAXADIROVNA</t>
        </is>
      </c>
      <c r="F51" s="101" t="inlineStr">
        <is>
          <t xml:space="preserve">998875028884 OZI, 998970634141 ERI, 998973792012 QIZI,</t>
        </is>
      </c>
      <c r="G51" s="101" t="inlineStr">
        <is>
          <t xml:space="preserve">Коркалпогистон Рес Нукус шахар Гоне кала МФЙ, Каракалпакстан кучаси, 39-уй, 39-хонадон</t>
        </is>
      </c>
      <c r="H51" s="102">
        <v>3.0</v>
      </c>
      <c r="I51" s="102">
        <v>3050193.23</v>
      </c>
      <c r="J51" s="102">
        <v>3050193.23</v>
      </c>
      <c r="K51" s="101" t="inlineStr">
        <is>
          <t xml:space="preserve">qisman</t>
        </is>
      </c>
    </row>
    <row r="52">
      <c r="A52" s="101" t="inlineStr">
        <is>
          <t xml:space="preserve">КОРАКАЛПОГИСТОН РЕСПУБЛИКАСИ</t>
        </is>
      </c>
      <c r="B52" s="101" t="inlineStr">
        <is>
          <t xml:space="preserve">Нукус филиали</t>
        </is>
      </c>
      <c r="C52" s="101" t="inlineStr">
        <is>
          <t xml:space="preserve">Оплатил дозвон</t>
        </is>
      </c>
      <c r="D52" s="101" t="inlineStr">
        <is>
          <t xml:space="preserve">Кр-99063510-2</t>
        </is>
      </c>
      <c r="E52" s="101" t="inlineStr">
        <is>
          <t xml:space="preserve">DAULETBAEVA ANISA EREJEPBAEVNA</t>
        </is>
      </c>
      <c r="F52" s="101" t="inlineStr">
        <is>
          <t xml:space="preserve">998906541221 UKASI, 998913034700 OZI, 998939201001 ERI,</t>
        </is>
      </c>
      <c r="G52" s="101" t="inlineStr">
        <is>
          <t xml:space="preserve">QORAQALPOGISTON RES NUKUS SHAHAR QOS BULOQ MFY GUJIMLI KUSHASI 28 UY</t>
        </is>
      </c>
      <c r="H52" s="102">
        <v>3.0</v>
      </c>
      <c r="I52" s="102">
        <v>2918680.4</v>
      </c>
      <c r="J52" s="102">
        <v>2918680.4</v>
      </c>
    </row>
    <row r="53">
      <c r="A53" s="101" t="inlineStr">
        <is>
          <t xml:space="preserve">КОРАКАЛПОГИСТОН РЕСПУБЛИКАСИ</t>
        </is>
      </c>
      <c r="B53" s="101" t="inlineStr">
        <is>
          <t xml:space="preserve">Нукус филиали</t>
        </is>
      </c>
      <c r="C53" s="101" t="inlineStr">
        <is>
          <t xml:space="preserve">Оплатил дозвон</t>
        </is>
      </c>
      <c r="D53" s="101" t="inlineStr">
        <is>
          <t xml:space="preserve">Кр-99049371-1</t>
        </is>
      </c>
      <c r="E53" s="101" t="inlineStr">
        <is>
          <t xml:space="preserve">TOREMURATOVA GULAYIM AYAPBERGENOVNA</t>
        </is>
      </c>
      <c r="F53" s="101" t="inlineStr">
        <is>
          <t xml:space="preserve">998907369948 OZI, 998913007873 OGLI, 998946853336 QIZI, 998913837073 ogli neww,</t>
        </is>
      </c>
      <c r="G53" s="101" t="inlineStr">
        <is>
          <t xml:space="preserve">Qaraqalpogiston Respublikasi Xojayli tumani Kulap OFY Shiraq kushasi 13 uy</t>
        </is>
      </c>
      <c r="H53" s="102">
        <v>3.0</v>
      </c>
      <c r="I53" s="102">
        <v>2436444.32</v>
      </c>
      <c r="J53" s="102">
        <v>2436444.32</v>
      </c>
      <c r="K53" s="101" t="inlineStr">
        <is>
          <t xml:space="preserve">qisman</t>
        </is>
      </c>
    </row>
    <row r="54">
      <c r="A54" s="101" t="inlineStr">
        <is>
          <t xml:space="preserve">КОРАКАЛПОГИСТОН РЕСПУБЛИКАСИ</t>
        </is>
      </c>
      <c r="B54" s="101" t="inlineStr">
        <is>
          <t xml:space="preserve">Нукус филиали</t>
        </is>
      </c>
      <c r="C54" s="101" t="inlineStr">
        <is>
          <t xml:space="preserve">Оплатил дозвон</t>
        </is>
      </c>
      <c r="D54" s="101" t="inlineStr">
        <is>
          <t xml:space="preserve">Кр-99064286-1</t>
        </is>
      </c>
      <c r="E54" s="101" t="inlineStr">
        <is>
          <t xml:space="preserve">ABILOV SAGINDIK MAXSETBAEVICH</t>
        </is>
      </c>
      <c r="F54" s="101" t="inlineStr">
        <is>
          <t xml:space="preserve">998913020929 OGLI, 998913024212 OZI, 998913802331 OYALI,</t>
        </is>
      </c>
      <c r="G54" s="101" t="inlineStr">
        <is>
          <t xml:space="preserve">Коркалпогистон Рес  Нукус щахар  Наубахар МФЙ, Мийрим-шапаат кучаси, 11-уй</t>
        </is>
      </c>
      <c r="H54" s="102">
        <v>3.0</v>
      </c>
      <c r="I54" s="102">
        <v>2420833.0</v>
      </c>
      <c r="J54" s="102">
        <v>2420833.0</v>
      </c>
    </row>
    <row r="55">
      <c r="A55" s="101" t="inlineStr">
        <is>
          <t xml:space="preserve">КОРАКАЛПОГИСТОН РЕСПУБЛИКАСИ</t>
        </is>
      </c>
      <c r="B55" s="101" t="inlineStr">
        <is>
          <t xml:space="preserve">Нукус филиали</t>
        </is>
      </c>
      <c r="C55" s="101" t="inlineStr">
        <is>
          <t xml:space="preserve">Оплатил дозвон</t>
        </is>
      </c>
      <c r="D55" s="101" t="inlineStr">
        <is>
          <t xml:space="preserve">Кр-99029035-2</t>
        </is>
      </c>
      <c r="E55" s="101" t="inlineStr">
        <is>
          <t xml:space="preserve">AZATOV SHERZOD MUXTAR ULI</t>
        </is>
      </c>
      <c r="F55" s="101" t="inlineStr">
        <is>
          <t xml:space="preserve">91-266-77-70 SMS O'ZI, 91-381-77-43 SMS UKASI, 91-307-67-66 SMS AYOLI, 998913022574 SMS OTASI, 998913907744 SMS ONASI,</t>
        </is>
      </c>
      <c r="G55" s="101" t="inlineStr">
        <is>
          <t xml:space="preserve">QARAQALPOGISTON RESPUBLIKASI XOJELI TUMANI ALMAZAR 94-UY</t>
        </is>
      </c>
      <c r="H55" s="102">
        <v>1.0</v>
      </c>
      <c r="I55" s="102">
        <v>1745949.07</v>
      </c>
      <c r="J55" s="102">
        <v>1745949.07</v>
      </c>
      <c r="K55" s="101" t="inlineStr">
        <is>
          <t xml:space="preserve">qisman</t>
        </is>
      </c>
    </row>
    <row r="56">
      <c r="A56" s="101" t="inlineStr">
        <is>
          <t xml:space="preserve">КОРАКАЛПОГИСТОН РЕСПУБЛИКАСИ</t>
        </is>
      </c>
      <c r="B56" s="101" t="inlineStr">
        <is>
          <t xml:space="preserve">Нукус филиали</t>
        </is>
      </c>
      <c r="C56" s="101" t="inlineStr">
        <is>
          <t xml:space="preserve">Оплатил дозвон</t>
        </is>
      </c>
      <c r="D56" s="101" t="inlineStr">
        <is>
          <t xml:space="preserve">Кр-99064434-1</t>
        </is>
      </c>
      <c r="E56" s="101" t="inlineStr">
        <is>
          <t xml:space="preserve">JENGISBAEV RAXIM JENGISBAEVICH</t>
        </is>
      </c>
      <c r="F56" s="101" t="inlineStr">
        <is>
          <t xml:space="preserve">998907007556 UKASI, 998933693080 OZI, 998995831124 AKASI,</t>
        </is>
      </c>
      <c r="G56" s="101" t="inlineStr">
        <is>
          <t xml:space="preserve">Республика Каракалпакстан, Нукус г., ул. Бахытлы, дом 12</t>
        </is>
      </c>
      <c r="H56" s="102">
        <v>3.0</v>
      </c>
      <c r="I56" s="102">
        <v>1363570.0</v>
      </c>
      <c r="J56" s="102">
        <v>1363570.0</v>
      </c>
    </row>
    <row r="57">
      <c r="A57" s="101" t="inlineStr">
        <is>
          <t xml:space="preserve">КОРАКАЛПОГИСТОН РЕСПУБЛИКАСИ</t>
        </is>
      </c>
      <c r="B57" s="101" t="inlineStr">
        <is>
          <t xml:space="preserve">Нукус филиали</t>
        </is>
      </c>
      <c r="C57" s="101" t="inlineStr">
        <is>
          <t xml:space="preserve">Оплатил дозвон</t>
        </is>
      </c>
      <c r="D57" s="101" t="inlineStr">
        <is>
          <t xml:space="preserve">Кр-99064042-1</t>
        </is>
      </c>
      <c r="E57" s="101" t="inlineStr">
        <is>
          <t xml:space="preserve">NURATDINOV RUSLAN MUXITOVICH</t>
        </is>
      </c>
      <c r="F57" s="101" t="inlineStr">
        <is>
          <t xml:space="preserve">998912596868 UKASI, 998934893302 OYALI, 998999575356 OZI,</t>
        </is>
      </c>
      <c r="G57" s="101" t="inlineStr">
        <is>
          <t xml:space="preserve">КОРКАЛПОГИСТОН РЕС НУКУС ЩАХАР БЕСТОБЕ МФЙ, БЕСТОБЕ МФЙ, ШАРЬЯР КЎЧАСИ,  uy:5/2</t>
        </is>
      </c>
      <c r="H57" s="102">
        <v>3.0</v>
      </c>
      <c r="I57" s="102">
        <v>227952.1</v>
      </c>
      <c r="J57" s="102">
        <v>227952.1</v>
      </c>
    </row>
    <row r="58">
      <c r="A58" s="103" t="inlineStr">
        <is>
          <t xml:space="preserve">НАМАНГАН ВИЛОЯТИ</t>
        </is>
      </c>
      <c r="B58" s="103" t="inlineStr">
        <is>
          <t xml:space="preserve">BOSH OFIS</t>
        </is>
      </c>
      <c r="C58" s="103" t="inlineStr">
        <is>
          <t xml:space="preserve">Оплатил дозвон</t>
        </is>
      </c>
      <c r="D58" s="103" t="inlineStr">
        <is>
          <t xml:space="preserve">Кр-99035133-2</t>
        </is>
      </c>
      <c r="E58" s="103" t="inlineStr">
        <is>
          <t xml:space="preserve">AXMEDOV ABDURAXIM XUSNIDDIN O’G’LI</t>
        </is>
      </c>
      <c r="F58" s="103" t="inlineStr">
        <is>
          <t xml:space="preserve">998886165577 SMS O’ZI , 998884657477 SMS DADASI, 998881182277 SMS  ONASI , 998361655772 SMS O’ZI ,</t>
        </is>
      </c>
      <c r="G58" s="103" t="inlineStr">
        <is>
          <t xml:space="preserve">NAMANGAN VILOYATI YANGI NAMANGAN TUMANI YOSHLIK MFY SARBON KO’CHA 75 UY</t>
        </is>
      </c>
      <c r="H58" s="104">
        <v>3.0</v>
      </c>
      <c r="I58" s="104">
        <v>395550.31</v>
      </c>
      <c r="J58" s="104">
        <v>395550.31</v>
      </c>
      <c r="K58" s="103" t="inlineStr">
        <is>
          <t xml:space="preserve">yopildi | Хороший</t>
        </is>
      </c>
    </row>
    <row r="59">
      <c r="A59" s="105" t="inlineStr">
        <is>
          <t xml:space="preserve">НАМАНГАН ВИЛОЯТИ</t>
        </is>
      </c>
      <c r="B59" s="105" t="inlineStr">
        <is>
          <t xml:space="preserve">SUPER BRANCH</t>
        </is>
      </c>
      <c r="C59" s="105" t="inlineStr">
        <is>
          <t xml:space="preserve">Оплатил дозвон</t>
        </is>
      </c>
      <c r="D59" s="105" t="inlineStr">
        <is>
          <t xml:space="preserve">Кр-99025559-4</t>
        </is>
      </c>
      <c r="E59" s="105" t="inlineStr">
        <is>
          <t xml:space="preserve">ZOKIROV ASADBEK TOXIR-O’G’LI</t>
        </is>
      </c>
      <c r="F59" s="105" t="inlineStr">
        <is>
          <t xml:space="preserve">88-258-68-78 SMS OZI, 99-087-18-22 SMS DADSI, 99-933-18-22 SMS ONASI, 94-999-68-78 SMS UKASI,</t>
        </is>
      </c>
      <c r="G59" s="105" t="inlineStr">
        <is>
          <t xml:space="preserve">NAMANGAN TUMAN NO’G’AYQO’RG’ON MFY MUSTAQILLIK 20 YILLIGI KO’CHASI 52 UY</t>
        </is>
      </c>
      <c r="H59" s="106">
        <v>3.0</v>
      </c>
      <c r="I59" s="106">
        <v>5270487.73</v>
      </c>
      <c r="J59" s="106">
        <v>5270487.73</v>
      </c>
      <c r="K59" s="105" t="inlineStr">
        <is>
          <t xml:space="preserve">yopildi | Хороший</t>
        </is>
      </c>
    </row>
    <row r="60">
      <c r="A60" s="107" t="inlineStr">
        <is>
          <t xml:space="preserve">НАМАНГАН ВИЛОЯТИ</t>
        </is>
      </c>
      <c r="B60" s="107" t="inlineStr">
        <is>
          <t xml:space="preserve">Наманган филиали</t>
        </is>
      </c>
      <c r="C60" s="107" t="inlineStr">
        <is>
          <t xml:space="preserve">Оплатил дозвон</t>
        </is>
      </c>
      <c r="D60" s="107" t="inlineStr">
        <is>
          <t xml:space="preserve">Кр-99063074-1</t>
        </is>
      </c>
      <c r="E60" s="107" t="inlineStr">
        <is>
          <t xml:space="preserve">QAYUMOVA ROZIYAXON ABDUSAMATOVNA</t>
        </is>
      </c>
      <c r="F60" s="107" t="inlineStr">
        <is>
          <t xml:space="preserve">+998933221064 SMS O’ZI, 998933671070 JIYANI, 998944478313 ERI,</t>
        </is>
      </c>
      <c r="G60" s="107" t="inlineStr">
        <is>
          <t xml:space="preserve">НАМАНГАН ВИЛОЯТИ ЯНГИҚЎРҒОН ТУМАНИ 3-МАШЪЛ КЎЧАСИ 21-УЙ</t>
        </is>
      </c>
      <c r="H60" s="108">
        <v>3.0</v>
      </c>
      <c r="I60" s="108">
        <v>6044721.81</v>
      </c>
      <c r="J60" s="108">
        <v>6044721.81</v>
      </c>
      <c r="K60" s="107" t="inlineStr">
        <is>
          <t xml:space="preserve">yopildi | Стандартрый</t>
        </is>
      </c>
    </row>
    <row r="61">
      <c r="A61" s="107" t="inlineStr">
        <is>
          <t xml:space="preserve">НАМАНГАН ВИЛОЯТИ</t>
        </is>
      </c>
      <c r="B61" s="107" t="inlineStr">
        <is>
          <t xml:space="preserve">Наманган филиали</t>
        </is>
      </c>
      <c r="C61" s="107" t="inlineStr">
        <is>
          <t xml:space="preserve">Оплатил дозвон</t>
        </is>
      </c>
      <c r="D61" s="107" t="inlineStr">
        <is>
          <t xml:space="preserve">Кр-99033252-2</t>
        </is>
      </c>
      <c r="E61" s="107" t="inlineStr">
        <is>
          <t xml:space="preserve">SANJAROV ULUG’BEK XASANOVICH</t>
        </is>
      </c>
      <c r="F61" s="107" t="inlineStr">
        <is>
          <t xml:space="preserve">998901568000 SMS O’ZI, 998873066332 SMS O’ZI 2, 998997213296 SMS AYOLI, 998075232962 SMS AYOLI 2, +998901568000 SMS O’ZI,</t>
        </is>
      </c>
      <c r="G61" s="107" t="inlineStr">
        <is>
          <t xml:space="preserve">NAMANGAN VILOYATI DAVLATOBOD TUMANI XALQLAR DO’STLIGI MFY 4-KICHIK NOXIYA 5 UY 36 XONADON</t>
        </is>
      </c>
      <c r="H61" s="108">
        <v>3.0</v>
      </c>
      <c r="I61" s="108">
        <v>3883881.59</v>
      </c>
      <c r="J61" s="108">
        <v>3883881.59</v>
      </c>
      <c r="K61" s="107" t="inlineStr">
        <is>
          <t xml:space="preserve">yopildi | Хороший</t>
        </is>
      </c>
    </row>
    <row r="62">
      <c r="A62" s="107" t="inlineStr">
        <is>
          <t xml:space="preserve">НАМАНГАН ВИЛОЯТИ</t>
        </is>
      </c>
      <c r="B62" s="107" t="inlineStr">
        <is>
          <t xml:space="preserve">Наманган филиали</t>
        </is>
      </c>
      <c r="C62" s="107" t="inlineStr">
        <is>
          <t xml:space="preserve">Оплатил дозвон</t>
        </is>
      </c>
      <c r="D62" s="107" t="inlineStr">
        <is>
          <t xml:space="preserve">Кр-99038435-2</t>
        </is>
      </c>
      <c r="E62" s="107" t="inlineStr">
        <is>
          <t xml:space="preserve">G’IYASOV ZUXRIDDIN MAXMUDJONOVICH</t>
        </is>
      </c>
      <c r="F62" s="107" t="inlineStr">
        <is>
          <t xml:space="preserve">998972478889 SMS OZI, 998976826262 SMS AKASI, 998902750979 SMS ONASI, 998971570893 SMS AYOLI,</t>
        </is>
      </c>
      <c r="G62" s="107" t="inlineStr">
        <is>
          <t xml:space="preserve">NAMANGAN VILOYATI NAMANGAN TUMANI OLAXAMAK MFY ZIYOKOR KO’CHA 14 UY</t>
        </is>
      </c>
      <c r="H62" s="108">
        <v>3.0</v>
      </c>
      <c r="I62" s="108">
        <v>2159607.03</v>
      </c>
      <c r="J62" s="108">
        <v>2159607.03</v>
      </c>
      <c r="K62" s="107" t="inlineStr">
        <is>
          <t xml:space="preserve">yopildi | Хороший</t>
        </is>
      </c>
    </row>
    <row r="63">
      <c r="A63" s="107" t="inlineStr">
        <is>
          <t xml:space="preserve">НАМАНГАН ВИЛОЯТИ</t>
        </is>
      </c>
      <c r="B63" s="107" t="inlineStr">
        <is>
          <t xml:space="preserve">Наманган филиали</t>
        </is>
      </c>
      <c r="C63" s="107" t="inlineStr">
        <is>
          <t xml:space="preserve">Оплатил дозвон</t>
        </is>
      </c>
      <c r="D63" s="107" t="inlineStr">
        <is>
          <t xml:space="preserve">Кр-99064125-1</t>
        </is>
      </c>
      <c r="E63" s="107" t="inlineStr">
        <is>
          <t xml:space="preserve">O’TANOV MUXIDDIN TURSUNOVICH</t>
        </is>
      </c>
      <c r="F63" s="107" t="inlineStr">
        <is>
          <t xml:space="preserve">+998882053232 SMS O’ZI, 998888267475 SMS JIYANI, 998942783839 SMS AYOLI,</t>
        </is>
      </c>
      <c r="G63" s="107" t="inlineStr">
        <is>
          <t xml:space="preserve">НАМАНГАН ВИЛОЯТИ НОРИН ТУМАНИ МАРҒИЗОР МФЙ НАВО КЎЧАСИ 14 УЙ</t>
        </is>
      </c>
      <c r="H63" s="108">
        <v>3.0</v>
      </c>
      <c r="I63" s="108">
        <v>1462144.16</v>
      </c>
      <c r="J63" s="108">
        <v>1462144.16</v>
      </c>
      <c r="K63" s="107" t="inlineStr">
        <is>
          <t xml:space="preserve">undruvchi oldi pulini | Стандартрый</t>
        </is>
      </c>
    </row>
    <row r="64">
      <c r="A64" s="107" t="inlineStr">
        <is>
          <t xml:space="preserve">НАМАНГАН ВИЛОЯТИ</t>
        </is>
      </c>
      <c r="B64" s="107" t="inlineStr">
        <is>
          <t xml:space="preserve">Наманган филиали</t>
        </is>
      </c>
      <c r="C64" s="107" t="inlineStr">
        <is>
          <t xml:space="preserve">Оплатил дозвон</t>
        </is>
      </c>
      <c r="D64" s="107" t="inlineStr">
        <is>
          <t xml:space="preserve">Кр-99030695-2</t>
        </is>
      </c>
      <c r="E64" s="107" t="inlineStr">
        <is>
          <t xml:space="preserve">USMONXANOV IBROXIMJON ISROIL O’G’LI</t>
        </is>
      </c>
      <c r="F64" s="107" t="inlineStr">
        <is>
          <t xml:space="preserve">91-280-30-80  SMS O'ZI, 90-791-83-86  SMS AYOLI, 93-492-63-63  SMS ONASI, 90-794-25-65 SMS  UYI, +998934926363 Primary phone from road24, 998934926363 Primary phone from road24, 907918386 SMS AYOLI, 907942565 SMS  UYI, 912803080 SMS O’ZI, 934926363 SMS ONASI,</t>
        </is>
      </c>
      <c r="G64" s="107" t="inlineStr">
        <is>
          <t xml:space="preserve">NAMANGAN VILOYATI NAMANGAN SHAHAR YANGI NAMANGAN TUMANI BUNYODKOR MFY SANOAT KO’CHASI 52A UY</t>
        </is>
      </c>
      <c r="H64" s="108">
        <v>3.0</v>
      </c>
      <c r="I64" s="108">
        <v>1390136.19</v>
      </c>
      <c r="J64" s="108">
        <v>1390136.19</v>
      </c>
      <c r="K64" s="107" t="inlineStr">
        <is>
          <t xml:space="preserve">yopildi | Хороший</t>
        </is>
      </c>
    </row>
    <row r="65">
      <c r="A65" s="109" t="inlineStr">
        <is>
          <t xml:space="preserve">САМАРКАНД ВИЛОЯТИ</t>
        </is>
      </c>
      <c r="B65" s="109" t="inlineStr">
        <is>
          <t xml:space="preserve">Самарқанд филиали</t>
        </is>
      </c>
      <c r="C65" s="109" t="inlineStr">
        <is>
          <t xml:space="preserve">Оплатил дозвон</t>
        </is>
      </c>
      <c r="D65" s="109" t="inlineStr">
        <is>
          <t xml:space="preserve">Кр-99005310-1</t>
        </is>
      </c>
      <c r="E65" s="109" t="inlineStr">
        <is>
          <t xml:space="preserve">USMONOV ABDUMALIK SHARIFBOYEVICH</t>
        </is>
      </c>
      <c r="F65" s="109" t="inlineStr">
        <is>
          <t xml:space="preserve">998900000000 SMS OZI, +998991314667 SMS AKASI TULOVCHI, 998502501824 SMS AYOLI, 998939133686 SMS OZI, 998992390932 SMS UYI,</t>
        </is>
      </c>
      <c r="G65" s="109" t="inlineStr">
        <is>
          <t xml:space="preserve">SAMARQAND VILOYATI ISHTIXON TUMANI O’RTAQISHLOQ QFY, JAROSTI QISHLOG’I 127-UY</t>
        </is>
      </c>
      <c r="H65" s="110">
        <v>3.0</v>
      </c>
      <c r="I65" s="110">
        <v>1641259.21</v>
      </c>
      <c r="J65" s="110">
        <v>1641259.21</v>
      </c>
      <c r="K65" s="109" t="inlineStr">
        <is>
          <t xml:space="preserve">xudoyor akaga berdu | 19</t>
        </is>
      </c>
    </row>
    <row r="66">
      <c r="A66" s="109" t="inlineStr">
        <is>
          <t xml:space="preserve">САМАРКАНД ВИЛОЯТИ</t>
        </is>
      </c>
      <c r="B66" s="109" t="inlineStr">
        <is>
          <t xml:space="preserve">Самарқанд филиали</t>
        </is>
      </c>
      <c r="C66" s="109" t="inlineStr">
        <is>
          <t xml:space="preserve">Оплатил дозвон</t>
        </is>
      </c>
      <c r="D66" s="109" t="inlineStr">
        <is>
          <t xml:space="preserve">Кр-99063849-1</t>
        </is>
      </c>
      <c r="E66" s="109" t="inlineStr">
        <is>
          <t xml:space="preserve">ULMASOV XOTAM SHOMARDJONOVICH</t>
        </is>
      </c>
      <c r="F66" s="109" t="inlineStr">
        <is>
          <t xml:space="preserve">998889936664 SMS UYI, 998905056661 SMS OZI, 998973996662 SMS AYOLI,</t>
        </is>
      </c>
      <c r="G66" s="109" t="inlineStr">
        <is>
          <t xml:space="preserve">SAMARQAND VILOYATI SAMARQAND SHAHAR SATTEPO MFY SATTEPO DAHASI 170-UY 79-XONADON</t>
        </is>
      </c>
      <c r="H66" s="110">
        <v>3.0</v>
      </c>
      <c r="I66" s="110">
        <v>189984.64</v>
      </c>
      <c r="J66" s="110">
        <v>189984.64</v>
      </c>
      <c r="K66" s="109" t="inlineStr">
        <is>
          <t xml:space="preserve">hoz tolaydi | 2207</t>
        </is>
      </c>
    </row>
    <row r="67">
      <c r="A67" s="109" t="inlineStr">
        <is>
          <t xml:space="preserve">САМАРКАНД ВИЛОЯТИ</t>
        </is>
      </c>
      <c r="B67" s="109" t="inlineStr">
        <is>
          <t xml:space="preserve">Самарқанд филиали</t>
        </is>
      </c>
      <c r="C67" s="109" t="inlineStr">
        <is>
          <t xml:space="preserve">Оплатил дозвон</t>
        </is>
      </c>
      <c r="D67" s="109" t="inlineStr">
        <is>
          <t xml:space="preserve">Кр-99028869-7</t>
        </is>
      </c>
      <c r="E67" s="109" t="inlineStr">
        <is>
          <t xml:space="preserve">KOMILOV FARXOD SHUXRATOVICH</t>
        </is>
      </c>
      <c r="F67" s="109" t="inlineStr">
        <is>
          <t xml:space="preserve">90-451-67-88 SMS , 99-068-68-88 SMS O'ZI 2, 90-656-67-88 SMS QIZI, +998904516788 SMS OZI,</t>
        </is>
      </c>
      <c r="G67" s="109" t="inlineStr">
        <is>
          <t xml:space="preserve">SAMARQAND VILOYATI SAMARQAND TUMANI ULUGBEK QFY CHORSHANBA MFY NILUFAR KUCHASI 19-UY</t>
        </is>
      </c>
      <c r="I67" s="110">
        <v>25152.68</v>
      </c>
      <c r="J67" s="110">
        <v>25152.68</v>
      </c>
      <c r="K67" s="109" t="inlineStr">
        <is>
          <t xml:space="preserve">290</t>
        </is>
      </c>
    </row>
    <row r="68">
      <c r="A68" s="111" t="inlineStr">
        <is>
          <t xml:space="preserve">СУРХОНДАРЁ ВИЛОЯТИ</t>
        </is>
      </c>
      <c r="B68" s="111" t="inlineStr">
        <is>
          <t xml:space="preserve">SUPER BRANCH</t>
        </is>
      </c>
      <c r="C68" s="111" t="inlineStr">
        <is>
          <t xml:space="preserve">Оплатил дозвон</t>
        </is>
      </c>
      <c r="D68" s="111" t="inlineStr">
        <is>
          <t xml:space="preserve">Кр-99061497-1</t>
        </is>
      </c>
      <c r="E68" s="111" t="inlineStr">
        <is>
          <t xml:space="preserve">XIDIROV O’TKIRBEK BAHODIR O’G’LI</t>
        </is>
      </c>
      <c r="F68" s="111" t="inlineStr">
        <is>
          <t xml:space="preserve">+998945124647 SMS OZI, 998919073838 SMS HAMKASBI, 998958702770 SMS AKASI,</t>
        </is>
      </c>
      <c r="G68" s="111" t="inlineStr">
        <is>
          <t xml:space="preserve">SURXONDARYO VILOYATI OLTINSOY TUMANI TO’XTAMISH SUVLISOY QISHLOG’I 57-UY</t>
        </is>
      </c>
      <c r="H68" s="112">
        <v>3.0</v>
      </c>
      <c r="I68" s="112">
        <v>1545007.45</v>
      </c>
      <c r="J68" s="112">
        <v>1545007.45</v>
      </c>
      <c r="K68" s="111" t="inlineStr">
        <is>
          <t xml:space="preserve">oylik tolovi yopildi | 1780</t>
        </is>
      </c>
    </row>
    <row r="69">
      <c r="A69" s="111" t="inlineStr">
        <is>
          <t xml:space="preserve">СУРХОНДАРЁ ВИЛОЯТИ</t>
        </is>
      </c>
      <c r="B69" s="111" t="inlineStr">
        <is>
          <t xml:space="preserve">SUPER BRANCH</t>
        </is>
      </c>
      <c r="C69" s="111" t="inlineStr">
        <is>
          <t xml:space="preserve">Оплатил дозвон</t>
        </is>
      </c>
      <c r="D69" s="111" t="inlineStr">
        <is>
          <t xml:space="preserve">Кр-99022504-4</t>
        </is>
      </c>
      <c r="E69" s="111" t="inlineStr">
        <is>
          <t xml:space="preserve">MUQUMOVA MAXFURAT QUVOTOVNA</t>
        </is>
      </c>
      <c r="F69" s="111" t="inlineStr">
        <is>
          <t xml:space="preserve">91-229-38-19 SMS, 91-715-95-96  SMS UY, 91-075-20-16  SMS O’G’LI BEKZOD, 998917191006 SMS ozi, 998882439996 SMS OZI TOLOVCHI , 998887239996 SMS new uzi,</t>
        </is>
      </c>
      <c r="G69" s="111" t="inlineStr">
        <is>
          <t xml:space="preserve">SURXONDARYO VILOYATI SHO’RCHI TUMANI YANGIBOZOR QFY OQQURG’ON MFY MUSTAQILLIK KO’CHASI 132-UY</t>
        </is>
      </c>
      <c r="H69" s="112">
        <v>3.0</v>
      </c>
      <c r="I69" s="112">
        <v>590942.28</v>
      </c>
      <c r="J69" s="112">
        <v>590942.28</v>
      </c>
      <c r="K69" s="111" t="inlineStr">
        <is>
          <t xml:space="preserve">oylik tolovi yopild | 155</t>
        </is>
      </c>
    </row>
    <row r="70">
      <c r="A70" s="111" t="inlineStr">
        <is>
          <t xml:space="preserve">СУРХОНДАРЁ ВИЛОЯТИ</t>
        </is>
      </c>
      <c r="B70" s="111" t="inlineStr">
        <is>
          <t xml:space="preserve">SUPER BRANCH</t>
        </is>
      </c>
      <c r="C70" s="111" t="inlineStr">
        <is>
          <t xml:space="preserve">Оплатил дозвон</t>
        </is>
      </c>
      <c r="D70" s="111" t="inlineStr">
        <is>
          <t xml:space="preserve">Кр-99033003-2</t>
        </is>
      </c>
      <c r="E70" s="111" t="inlineStr">
        <is>
          <t xml:space="preserve">MAMATMUROTOV SIROJIDDIN  ABDIKADIROVICH</t>
        </is>
      </c>
      <c r="F70" s="111" t="inlineStr">
        <is>
          <t xml:space="preserve">998990928761 SMS O’ZI, 998880431616 SMS UY, 998595373735 SMS OILASI, 998888490130 SMS UKASI,</t>
        </is>
      </c>
      <c r="G70" s="111" t="inlineStr">
        <is>
          <t xml:space="preserve">SURXANDARYO VILOYATI DENOV TUMANI BOG’ISHAMOL MFY O’RIKZOR KOCHASI 1-UY</t>
        </is>
      </c>
      <c r="H70" s="112">
        <v>2.0</v>
      </c>
      <c r="I70" s="112">
        <v>501843.97</v>
      </c>
      <c r="J70" s="112">
        <v>501843.97</v>
      </c>
      <c r="K70" s="111" t="inlineStr">
        <is>
          <t xml:space="preserve">krediti yopild | 459</t>
        </is>
      </c>
    </row>
    <row r="71">
      <c r="A71" s="113" t="inlineStr">
        <is>
          <t xml:space="preserve">СУРХОНДАРЁ ВИЛОЯТИ</t>
        </is>
      </c>
      <c r="B71" s="113" t="inlineStr">
        <is>
          <t xml:space="preserve">Денов филиали</t>
        </is>
      </c>
      <c r="C71" s="113" t="inlineStr">
        <is>
          <t xml:space="preserve">Оплатил дозвон</t>
        </is>
      </c>
      <c r="D71" s="113" t="inlineStr">
        <is>
          <t xml:space="preserve">Кр-99041316-1</t>
        </is>
      </c>
      <c r="E71" s="113" t="inlineStr">
        <is>
          <t xml:space="preserve">TURSUNOV SHOMUROD TOSHTEMIROVICH</t>
        </is>
      </c>
      <c r="F71" s="113" t="inlineStr">
        <is>
          <t xml:space="preserve">998888064664 SMS ZALOGADATEL, 998888074664 SMS O’ZI, 998993433364 SMS UY,</t>
        </is>
      </c>
      <c r="G71" s="113" t="inlineStr">
        <is>
          <t xml:space="preserve">Сурхандарьинская область, Денауский район, Ш.Қобилов СИУ, Элобод МСГ, ул. Нурли саодат, дом 169</t>
        </is>
      </c>
      <c r="H71" s="114">
        <v>3.0</v>
      </c>
      <c r="I71" s="114">
        <v>6216612.43</v>
      </c>
      <c r="J71" s="114">
        <v>6216612.43</v>
      </c>
      <c r="K71" s="113" t="inlineStr">
        <is>
          <t xml:space="preserve">oylik yopildi | 1142</t>
        </is>
      </c>
    </row>
    <row r="72">
      <c r="A72" s="113" t="inlineStr">
        <is>
          <t xml:space="preserve">СУРХОНДАРЁ ВИЛОЯТИ</t>
        </is>
      </c>
      <c r="B72" s="113" t="inlineStr">
        <is>
          <t xml:space="preserve">Денов филиали</t>
        </is>
      </c>
      <c r="C72" s="113" t="inlineStr">
        <is>
          <t xml:space="preserve">Оплатил дозвон</t>
        </is>
      </c>
      <c r="D72" s="113" t="inlineStr">
        <is>
          <t xml:space="preserve">Кр-99042816-2</t>
        </is>
      </c>
      <c r="E72" s="113" t="inlineStr">
        <is>
          <t xml:space="preserve">RAHIMOV HUMOYUN BEKMUROD O’G’LI</t>
        </is>
      </c>
      <c r="F72" s="113" t="inlineStr">
        <is>
          <t xml:space="preserve">998942097777 SMS AKASI, 998975341111 SMS O’ZI, 998994161900 SMS SHERIGI,</t>
        </is>
      </c>
      <c r="G72" s="113" t="inlineStr">
        <is>
          <t xml:space="preserve">Тошкент шаҳри, Чилонзор, 17 мавзе, 33 Уй, 69 Квартира</t>
        </is>
      </c>
      <c r="H72" s="114">
        <v>3.0</v>
      </c>
      <c r="I72" s="114">
        <v>3934813.56</v>
      </c>
      <c r="J72" s="114">
        <v>3934813.56</v>
      </c>
      <c r="K72" s="113" t="inlineStr">
        <is>
          <t xml:space="preserve">oylik tolovi yopildi | 1267</t>
        </is>
      </c>
    </row>
    <row r="73">
      <c r="A73" s="113" t="inlineStr">
        <is>
          <t xml:space="preserve">СУРХОНДАРЁ ВИЛОЯТИ</t>
        </is>
      </c>
      <c r="B73" s="113" t="inlineStr">
        <is>
          <t xml:space="preserve">Денов филиали</t>
        </is>
      </c>
      <c r="C73" s="113" t="inlineStr">
        <is>
          <t xml:space="preserve">Оплатил дозвон</t>
        </is>
      </c>
      <c r="D73" s="113" t="inlineStr">
        <is>
          <t xml:space="preserve">Кр-99012829-1</t>
        </is>
      </c>
      <c r="E73" s="113" t="inlineStr">
        <is>
          <t xml:space="preserve">MIRZAYEV ERGASH ALMARDONOVICH</t>
        </is>
      </c>
      <c r="F73" s="113" t="inlineStr">
        <is>
          <t xml:space="preserve">90-000-00-00 SMS, 998950987102 SMSO’G’LI, 998970846111 SMS O’ZI, 998978122070 SMS UY,</t>
        </is>
      </c>
      <c r="G73" s="113" t="inlineStr">
        <is>
          <t xml:space="preserve">SURXONDARYO VILOYATI DENOV TUMANI XATRABOD QFY XO’JAXALQ  MFY ISTIQLOL KO’CHASI 45-UY</t>
        </is>
      </c>
      <c r="H73" s="114">
        <v>3.0</v>
      </c>
      <c r="I73" s="114">
        <v>1660921.6</v>
      </c>
      <c r="J73" s="114">
        <v>1660921.6</v>
      </c>
      <c r="K73" s="113" t="inlineStr">
        <is>
          <t xml:space="preserve">oylik tolovi yopildi | 67</t>
        </is>
      </c>
    </row>
    <row r="74">
      <c r="A74" s="113" t="inlineStr">
        <is>
          <t xml:space="preserve">СУРХОНДАРЁ ВИЛОЯТИ</t>
        </is>
      </c>
      <c r="B74" s="113" t="inlineStr">
        <is>
          <t xml:space="preserve">Денов филиали</t>
        </is>
      </c>
      <c r="C74" s="113" t="inlineStr">
        <is>
          <t xml:space="preserve">Оплатил дозвон</t>
        </is>
      </c>
      <c r="D74" s="113" t="inlineStr">
        <is>
          <t xml:space="preserve">Кр-99027666-1</t>
        </is>
      </c>
      <c r="E74" s="113" t="inlineStr">
        <is>
          <t xml:space="preserve">MELIBOYEVA SURAYYO NUMANJONOVNA</t>
        </is>
      </c>
      <c r="F74" s="113" t="inlineStr">
        <is>
          <t xml:space="preserve">99-708-53-90 SMS O'ZI, 93-633-43-90 SMS UY, 99-426-43-90 SMS UY 2,</t>
        </is>
      </c>
      <c r="G74" s="113" t="inlineStr">
        <is>
          <t xml:space="preserve">SURXANDARYO VILOYATI UZUN TUMANI T.CHINOR MFY OBIZARANG KO’CHASI 404-UY</t>
        </is>
      </c>
      <c r="H74" s="114">
        <v>3.0</v>
      </c>
      <c r="I74" s="114">
        <v>482429.69</v>
      </c>
      <c r="J74" s="114">
        <v>482429.69</v>
      </c>
      <c r="K74" s="113" t="inlineStr">
        <is>
          <t xml:space="preserve">oylik tolovi yopild | 243</t>
        </is>
      </c>
    </row>
    <row r="75">
      <c r="A75" s="115" t="inlineStr">
        <is>
          <t xml:space="preserve">ТОШКЕНТ ШАХРИ</t>
        </is>
      </c>
      <c r="B75" s="115" t="inlineStr">
        <is>
          <t xml:space="preserve">BOSH OFIS</t>
        </is>
      </c>
      <c r="C75" s="115" t="inlineStr">
        <is>
          <t xml:space="preserve">Оплатил дозвон</t>
        </is>
      </c>
      <c r="D75" s="115" t="inlineStr">
        <is>
          <t xml:space="preserve">Кр-99002592-8</t>
        </is>
      </c>
      <c r="E75" s="115" t="inlineStr">
        <is>
          <t xml:space="preserve">AZIZXON SEVDA SHAVKATOVNA</t>
        </is>
      </c>
      <c r="F75" s="115" t="inlineStr">
        <is>
          <t xml:space="preserve">90-331-22-27 SMS, 90-038-22-27 SMS MUROD AKA tolovchi , 71-217-36-07 SMS UY, 99-811-81-12 SMS MUROT AKA,</t>
        </is>
      </c>
      <c r="G75" s="115" t="inlineStr">
        <is>
          <t xml:space="preserve">TOSHKENT SHAHAR UCHTEPA TUMANI KVL G9a 11 UY 35 XONADON</t>
        </is>
      </c>
      <c r="H75" s="116">
        <v>36.0</v>
      </c>
      <c r="I75" s="116">
        <v>32075114.65</v>
      </c>
      <c r="J75" s="116">
        <v>32075114.65</v>
      </c>
      <c r="K75" s="115" t="inlineStr">
        <is>
          <t xml:space="preserve">3 | 277000000 | 32075114.65 | tlgdan yozvordim</t>
        </is>
      </c>
    </row>
    <row r="76">
      <c r="A76" s="115" t="inlineStr">
        <is>
          <t xml:space="preserve">ТОШКЕНТ ШАХРИ</t>
        </is>
      </c>
      <c r="B76" s="115" t="inlineStr">
        <is>
          <t xml:space="preserve">BOSH OFIS</t>
        </is>
      </c>
      <c r="C76" s="115" t="inlineStr">
        <is>
          <t xml:space="preserve">Оплатил дозвон</t>
        </is>
      </c>
      <c r="D76" s="115" t="inlineStr">
        <is>
          <t xml:space="preserve">Кр-99064392-1</t>
        </is>
      </c>
      <c r="E76" s="115" t="inlineStr">
        <is>
          <t xml:space="preserve">SAMANDAROVA UMIDA SALIMOVNA</t>
        </is>
      </c>
      <c r="F76" s="115" t="inlineStr">
        <is>
          <t xml:space="preserve">998777121240 SMS ERINIKI, 998902179222 SMS O’ZINIKI, 998903886222 SMS FARZANDINIKI,</t>
        </is>
      </c>
      <c r="G76" s="115" t="inlineStr">
        <is>
          <t xml:space="preserve">Богимайдон МФЙ, Мирзо Улугбек кучаси, 103-уй, 43-хонадон</t>
        </is>
      </c>
      <c r="H76" s="116">
        <v>3.0</v>
      </c>
      <c r="I76" s="116">
        <v>3088784.0</v>
      </c>
      <c r="J76" s="116">
        <v>3088784.0</v>
      </c>
      <c r="K76" s="115" t="inlineStr">
        <is>
          <t xml:space="preserve">qisman</t>
        </is>
      </c>
    </row>
    <row r="77">
      <c r="A77" s="115" t="inlineStr">
        <is>
          <t xml:space="preserve">ТОШКЕНТ ШАХРИ</t>
        </is>
      </c>
      <c r="B77" s="115" t="inlineStr">
        <is>
          <t xml:space="preserve">BOSH OFIS</t>
        </is>
      </c>
      <c r="C77" s="115" t="inlineStr">
        <is>
          <t xml:space="preserve">Оплатил дозвон</t>
        </is>
      </c>
      <c r="D77" s="115" t="inlineStr">
        <is>
          <t xml:space="preserve">Кр-99035201-3</t>
        </is>
      </c>
      <c r="E77" s="115" t="inlineStr">
        <is>
          <t xml:space="preserve">ABDUFATTOXOV ABDUG’AFFOR JAXONGIR O’G’LI</t>
        </is>
      </c>
      <c r="F77" s="115" t="inlineStr">
        <is>
          <t xml:space="preserve">998974454581 SMS O’ZI, 998999037757 SMS AKASI, 998990204270 SMS DO’STI, 998901225256 SMS UKASI, 998977417070 SMS shuxrat amakisi,</t>
        </is>
      </c>
      <c r="G77" s="115" t="inlineStr">
        <is>
          <t xml:space="preserve">TOSHKENT SHAHAR SHAYXONTOXUR TUMANI XUVAYDI MFY ZAFAROBOD KO’CHASI 2-UY</t>
        </is>
      </c>
      <c r="H77" s="116">
        <v>3.0</v>
      </c>
      <c r="I77" s="116">
        <v>1141312.89</v>
      </c>
      <c r="J77" s="116">
        <v>1141312.89</v>
      </c>
      <c r="K77" s="115" t="inlineStr">
        <is>
          <t xml:space="preserve">yopildi</t>
        </is>
      </c>
    </row>
    <row r="78">
      <c r="A78" s="117" t="inlineStr">
        <is>
          <t xml:space="preserve">ТОШКЕНТ ШАХРИ</t>
        </is>
      </c>
      <c r="B78" s="117" t="inlineStr">
        <is>
          <t xml:space="preserve">SUPER BRANCH</t>
        </is>
      </c>
      <c r="C78" s="117" t="inlineStr">
        <is>
          <t xml:space="preserve">Оплатил дозвон</t>
        </is>
      </c>
      <c r="D78" s="117" t="inlineStr">
        <is>
          <t xml:space="preserve">Кр-99063105-1</t>
        </is>
      </c>
      <c r="E78" s="117" t="inlineStr">
        <is>
          <t xml:space="preserve">RAXIMOVA NILUFAR YULDASHEVNA</t>
        </is>
      </c>
      <c r="F78" s="117" t="inlineStr">
        <is>
          <t xml:space="preserve">998977927577 OZI, 998995077757 OZI 2, 998985777757 OZI 3, 998770977577 OGLI,</t>
        </is>
      </c>
      <c r="G78" s="117" t="inlineStr">
        <is>
          <t xml:space="preserve">TOSHKENT SHAHAR SHAYXANTOXUR TUMANI SEBZOR KO’CHASI 7-UY,35-XONADON</t>
        </is>
      </c>
      <c r="H78" s="118">
        <v>64.0</v>
      </c>
      <c r="I78" s="118">
        <v>61205023.94</v>
      </c>
      <c r="J78" s="118">
        <v>61205023.94</v>
      </c>
      <c r="K78" s="117" t="inlineStr">
        <is>
          <t xml:space="preserve">yopildi</t>
        </is>
      </c>
    </row>
    <row r="79">
      <c r="A79" s="117" t="inlineStr">
        <is>
          <t xml:space="preserve">ТОШКЕНТ ШАХРИ</t>
        </is>
      </c>
      <c r="B79" s="117" t="inlineStr">
        <is>
          <t xml:space="preserve">SUPER BRANCH</t>
        </is>
      </c>
      <c r="C79" s="117" t="inlineStr">
        <is>
          <t xml:space="preserve">Оплатил дозвон</t>
        </is>
      </c>
      <c r="D79" s="117" t="inlineStr">
        <is>
          <t xml:space="preserve">Кр-99037575-2</t>
        </is>
      </c>
      <c r="E79" s="117" t="inlineStr">
        <is>
          <t xml:space="preserve">AZIMXODJAYEV BEXZOD DJAMALITDINOVICH</t>
        </is>
      </c>
      <c r="F79" s="117" t="inlineStr">
        <is>
          <t xml:space="preserve">998998400008 SMS OZI, 998977071020 SMS DO’ST, 998977469176 SMS DOSTI 2, 998930906353 SMS OZI 2 begona,</t>
        </is>
      </c>
      <c r="G79" s="117" t="inlineStr">
        <is>
          <t xml:space="preserve">TOSHKENT SHAHAR OLMAZOR TUMANI, YANGI TOSHKENT MFY,KELES O’LI 15-UY</t>
        </is>
      </c>
      <c r="H79" s="118">
        <v>31.0</v>
      </c>
      <c r="I79" s="118">
        <v>18163834.16</v>
      </c>
      <c r="J79" s="118">
        <v>18163834.16</v>
      </c>
      <c r="K79" s="117" t="inlineStr">
        <is>
          <t xml:space="preserve">yopildi</t>
        </is>
      </c>
    </row>
    <row r="80">
      <c r="A80" s="117" t="inlineStr">
        <is>
          <t xml:space="preserve">ТОШКЕНТ ШАХРИ</t>
        </is>
      </c>
      <c r="B80" s="117" t="inlineStr">
        <is>
          <t xml:space="preserve">SUPER BRANCH</t>
        </is>
      </c>
      <c r="C80" s="117" t="inlineStr">
        <is>
          <t xml:space="preserve">Оплатил дозвон</t>
        </is>
      </c>
      <c r="D80" s="117" t="inlineStr">
        <is>
          <t xml:space="preserve">Кр-99037620-2</t>
        </is>
      </c>
      <c r="E80" s="117" t="inlineStr">
        <is>
          <t xml:space="preserve">KARIMOV JAXONGIR XIKMATOVICH</t>
        </is>
      </c>
      <c r="F80" s="117" t="inlineStr">
        <is>
          <t xml:space="preserve">998998460808 SMS O’ZI, 998931895955 SMS O’ZI 2, 998975572758 SMS ONASI, 998998398909 SMS ZALOGADATEL,</t>
        </is>
      </c>
      <c r="G80" s="117" t="inlineStr">
        <is>
          <t xml:space="preserve">FARG’ONA VILOYATI O’ZBEKISTON TUMANI QO’SHQO’YNOQ MSG QO’SHQO’YNOQ KO’CHASI 85-UY</t>
        </is>
      </c>
      <c r="H80" s="118">
        <v>3.0</v>
      </c>
      <c r="I80" s="118">
        <v>5661031.68</v>
      </c>
      <c r="J80" s="118">
        <v>5661031.68</v>
      </c>
      <c r="K80" s="117" t="inlineStr">
        <is>
          <t xml:space="preserve">qisman</t>
        </is>
      </c>
    </row>
    <row r="81">
      <c r="A81" s="117" t="inlineStr">
        <is>
          <t xml:space="preserve">ТОШКЕНТ ШАХРИ</t>
        </is>
      </c>
      <c r="B81" s="117" t="inlineStr">
        <is>
          <t xml:space="preserve">SUPER BRANCH</t>
        </is>
      </c>
      <c r="C81" s="117" t="inlineStr">
        <is>
          <t xml:space="preserve">Оплатил дозвон</t>
        </is>
      </c>
      <c r="D81" s="117" t="inlineStr">
        <is>
          <t xml:space="preserve">Кр-99060726-1</t>
        </is>
      </c>
      <c r="E81" s="117" t="inlineStr">
        <is>
          <t xml:space="preserve">QURBONOVA NODIRA NASHPANDOVNA</t>
        </is>
      </c>
      <c r="F81" s="117" t="inlineStr">
        <is>
          <t xml:space="preserve">998991151343 SMS OZI, 998993096040 SMS OGLI, 998997696644 SMS ERI,</t>
        </is>
      </c>
      <c r="G81" s="117" t="inlineStr">
        <is>
          <t xml:space="preserve">TOSHKENT SHAHAR YANGIHAYOT TUMANI CHORTOQ MFY DARYO BUYI KOCHASI  33-UY</t>
        </is>
      </c>
      <c r="H81" s="118">
        <v>3.0</v>
      </c>
      <c r="I81" s="118">
        <v>4655140.0</v>
      </c>
      <c r="J81" s="118">
        <v>4655140.0</v>
      </c>
      <c r="K81" s="117" t="inlineStr">
        <is>
          <t xml:space="preserve">yopildi</t>
        </is>
      </c>
    </row>
    <row r="82">
      <c r="A82" s="117" t="inlineStr">
        <is>
          <t xml:space="preserve">ТОШКЕНТ ШАХРИ</t>
        </is>
      </c>
      <c r="B82" s="117" t="inlineStr">
        <is>
          <t xml:space="preserve">SUPER BRANCH</t>
        </is>
      </c>
      <c r="C82" s="117" t="inlineStr">
        <is>
          <t xml:space="preserve">Оплатил дозвон</t>
        </is>
      </c>
      <c r="D82" s="117" t="inlineStr">
        <is>
          <t xml:space="preserve">Кр-99031826-3</t>
        </is>
      </c>
      <c r="E82" s="117" t="inlineStr">
        <is>
          <t xml:space="preserve">SHAMSIYEVA ZAXRO FAXRIDDINOVNA</t>
        </is>
      </c>
      <c r="F82" s="117" t="inlineStr">
        <is>
          <t xml:space="preserve">998999365383 SMS O’ZI, 998974705383 SMS ERI, 998977305383 SMS O’G’LI, 998999375383 SMS QIZI, +998999365383 Primary phone from road24,</t>
        </is>
      </c>
      <c r="G82" s="117" t="inlineStr">
        <is>
          <t xml:space="preserve">ЮҚОРИ СЕБЗОР МФЙ, СЕБЗОР Ц17/18 ДАХАСИ,  uy:44 xonadon:69</t>
        </is>
      </c>
      <c r="H82" s="118">
        <v>3.0</v>
      </c>
      <c r="I82" s="118">
        <v>3853949.52</v>
      </c>
      <c r="J82" s="118">
        <v>3853949.52</v>
      </c>
      <c r="K82" s="117" t="inlineStr">
        <is>
          <t xml:space="preserve">qisman qolgani ertaga</t>
        </is>
      </c>
    </row>
    <row r="83">
      <c r="A83" s="117" t="inlineStr">
        <is>
          <t xml:space="preserve">ТОШКЕНТ ШАХРИ</t>
        </is>
      </c>
      <c r="B83" s="117" t="inlineStr">
        <is>
          <t xml:space="preserve">SUPER BRANCH</t>
        </is>
      </c>
      <c r="C83" s="117" t="inlineStr">
        <is>
          <t xml:space="preserve">Оплатил дозвон</t>
        </is>
      </c>
      <c r="D83" s="117" t="inlineStr">
        <is>
          <t xml:space="preserve">Кр-99062722-1</t>
        </is>
      </c>
      <c r="E83" s="117" t="inlineStr">
        <is>
          <t xml:space="preserve">MAXKAMOVA MASTURA NURMAMATOVNA</t>
        </is>
      </c>
      <c r="F83" s="117" t="inlineStr">
        <is>
          <t xml:space="preserve">+998971595899 SMS OZI, 998933585899 SMS OZI 2, 998940121675 SMS UKASI, 998946828216 SMS OGLI,</t>
        </is>
      </c>
      <c r="G83" s="117" t="inlineStr">
        <is>
          <t xml:space="preserve">TOSHKENT SHAHAR BEKTEMIR TUMANI USTOZLAR MFY  NULI PR 2-KUCHASI 83-UY</t>
        </is>
      </c>
      <c r="H83" s="118">
        <v>6.0</v>
      </c>
      <c r="I83" s="118">
        <v>2497879.88</v>
      </c>
      <c r="J83" s="118">
        <v>2497879.88</v>
      </c>
      <c r="K83" s="117" t="inlineStr">
        <is>
          <t xml:space="preserve">qisman</t>
        </is>
      </c>
    </row>
    <row r="84">
      <c r="A84" s="117" t="inlineStr">
        <is>
          <t xml:space="preserve">ТОШКЕНТ ШАХРИ</t>
        </is>
      </c>
      <c r="B84" s="117" t="inlineStr">
        <is>
          <t xml:space="preserve">SUPER BRANCH</t>
        </is>
      </c>
      <c r="C84" s="117" t="inlineStr">
        <is>
          <t xml:space="preserve">Оплатил дозвон</t>
        </is>
      </c>
      <c r="D84" s="117" t="inlineStr">
        <is>
          <t xml:space="preserve">Кр-99002959-8</t>
        </is>
      </c>
      <c r="E84" s="117" t="inlineStr">
        <is>
          <t xml:space="preserve">YULDASHEVA NARGIZA TULKUNOVNA</t>
        </is>
      </c>
      <c r="F84" s="117" t="inlineStr">
        <is>
          <t xml:space="preserve">998993955070 SMS ozi, 91-190-50-70 ozi , 99-395-50-70 ozi , 90-160-57-69 SMS QIZLARI BIBSORA   бегона,</t>
        </is>
      </c>
      <c r="G84" s="117" t="inlineStr">
        <is>
          <t xml:space="preserve">TOSHKENT SHAHAR OLMAZOR TUMANI QORA QAMISH 2/1 38 UY 70 XONADON</t>
        </is>
      </c>
      <c r="H84" s="118">
        <v>3.0</v>
      </c>
      <c r="I84" s="118">
        <v>2287591.5</v>
      </c>
      <c r="J84" s="118">
        <v>2287591.5</v>
      </c>
      <c r="K84" s="117" t="inlineStr">
        <is>
          <t xml:space="preserve">yopildi</t>
        </is>
      </c>
    </row>
    <row r="85">
      <c r="A85" s="117" t="inlineStr">
        <is>
          <t xml:space="preserve">ТОШКЕНТ ШАХРИ</t>
        </is>
      </c>
      <c r="B85" s="117" t="inlineStr">
        <is>
          <t xml:space="preserve">SUPER BRANCH</t>
        </is>
      </c>
      <c r="C85" s="117" t="inlineStr">
        <is>
          <t xml:space="preserve">Оплатил дозвон</t>
        </is>
      </c>
      <c r="D85" s="117" t="inlineStr">
        <is>
          <t xml:space="preserve">Кр-99032028-3</t>
        </is>
      </c>
      <c r="E85" s="117" t="inlineStr">
        <is>
          <t xml:space="preserve">BERDIKULOV RUSTAM SHAMILEVICH</t>
        </is>
      </c>
      <c r="F85" s="117" t="inlineStr">
        <is>
          <t xml:space="preserve">998884555156 SMS O’ZI, 998711327122 SMS O’ZI 2, 998946403653 SMS DO’STI, 998949314249 SMS onasi shu nomerga qilinsin,</t>
        </is>
      </c>
      <c r="G85" s="117" t="inlineStr">
        <is>
          <t xml:space="preserve">КЎТАРМА МФЙ, 10 МАВЗЕ,  uy:11 xonadon:93</t>
        </is>
      </c>
      <c r="H85" s="118">
        <v>3.0</v>
      </c>
      <c r="I85" s="118">
        <v>2239584.55</v>
      </c>
      <c r="J85" s="118">
        <v>2239584.55</v>
      </c>
      <c r="K85" s="117" t="inlineStr">
        <is>
          <t xml:space="preserve">397 | Bugun kechgi 8 da clickdan | 42000000 | 705151.58</t>
        </is>
      </c>
    </row>
    <row r="86">
      <c r="A86" s="117" t="inlineStr">
        <is>
          <t xml:space="preserve">ТОШКЕНТ ШАХРИ</t>
        </is>
      </c>
      <c r="B86" s="117" t="inlineStr">
        <is>
          <t xml:space="preserve">SUPER BRANCH</t>
        </is>
      </c>
      <c r="C86" s="117" t="inlineStr">
        <is>
          <t xml:space="preserve">Оплатил дозвон</t>
        </is>
      </c>
      <c r="D86" s="117" t="inlineStr">
        <is>
          <t xml:space="preserve">Кр-99034655-3</t>
        </is>
      </c>
      <c r="E86" s="117" t="inlineStr">
        <is>
          <t xml:space="preserve">ABDULLAYEVA SHAXNOZA SOLIX QIZI</t>
        </is>
      </c>
      <c r="F86" s="117" t="inlineStr">
        <is>
          <t xml:space="preserve">998909313811 SMS ERI, 998909502141 SMS O’ZI, 998909102102 SMS AKASI, 998930541256 SMS ERI 2,</t>
        </is>
      </c>
      <c r="G86" s="117" t="inlineStr">
        <is>
          <t xml:space="preserve">TOSHKENT SHAHAR SHAYXONTOXUR TUAMANI MARKAZ 14, 15-UY 59-XONADON</t>
        </is>
      </c>
      <c r="H86" s="118">
        <v>1.0</v>
      </c>
      <c r="I86" s="118">
        <v>1711000.0</v>
      </c>
      <c r="J86" s="118">
        <v>1711000.0</v>
      </c>
      <c r="K86" s="117" t="inlineStr">
        <is>
          <t xml:space="preserve">yopildi ozim</t>
        </is>
      </c>
    </row>
    <row r="87">
      <c r="A87" s="117" t="inlineStr">
        <is>
          <t xml:space="preserve">ТОШКЕНТ ШАХРИ</t>
        </is>
      </c>
      <c r="B87" s="117" t="inlineStr">
        <is>
          <t xml:space="preserve">SUPER BRANCH</t>
        </is>
      </c>
      <c r="C87" s="117" t="inlineStr">
        <is>
          <t xml:space="preserve">Оплатил дозвон</t>
        </is>
      </c>
      <c r="D87" s="117" t="inlineStr">
        <is>
          <t xml:space="preserve">Кр-99064517-1</t>
        </is>
      </c>
      <c r="E87" s="117" t="inlineStr">
        <is>
          <t xml:space="preserve">TILABOV JALOLIDDIN FARXOD O’G’LI</t>
        </is>
      </c>
      <c r="F87" s="117" t="inlineStr">
        <is>
          <t xml:space="preserve">998970441302 SMS AYOLI, 998990797873 SMS DOSTI, 998998755398 SMS UZI,</t>
        </is>
      </c>
      <c r="G87" s="117" t="inlineStr">
        <is>
          <t xml:space="preserve">г. Ташкент, Мирзо Улугбекский район, ул. Сайрам, Буюк ипак йули МСГ, 33а- Дом, 1- Квартира</t>
        </is>
      </c>
      <c r="H87" s="118">
        <v>3.0</v>
      </c>
      <c r="I87" s="118">
        <v>1592890.0</v>
      </c>
      <c r="J87" s="118">
        <v>1592890.0</v>
      </c>
      <c r="K87" s="117" t="inlineStr">
        <is>
          <t xml:space="preserve">yopildi ozim</t>
        </is>
      </c>
    </row>
    <row r="88">
      <c r="A88" s="117" t="inlineStr">
        <is>
          <t xml:space="preserve">ТОШКЕНТ ШАХРИ</t>
        </is>
      </c>
      <c r="B88" s="117" t="inlineStr">
        <is>
          <t xml:space="preserve">SUPER BRANCH</t>
        </is>
      </c>
      <c r="C88" s="117" t="inlineStr">
        <is>
          <t xml:space="preserve">Оплатил дозвон</t>
        </is>
      </c>
      <c r="D88" s="117" t="inlineStr">
        <is>
          <t xml:space="preserve">Кр-99039796-3</t>
        </is>
      </c>
      <c r="E88" s="117" t="inlineStr">
        <is>
          <t xml:space="preserve">SHOKIROV SARVARXON ALISHER O’G’LI</t>
        </is>
      </c>
      <c r="F88" s="117" t="inlineStr">
        <is>
          <t xml:space="preserve">+998958017737 SMS O’ZI, 998909150349 SMS GAROVCHI, 998946741057 SMS O’G’LI, 998951011181 uzi new , 998958017737 SMS O’ZI,</t>
        </is>
      </c>
      <c r="G88" s="117" t="inlineStr">
        <is>
          <t xml:space="preserve">TOSHKENT SHAHAR SHAYXONTOXUR TUMANI KOXOTA MFY FAOL KO’CHASI 53-UY / TOSHKENT SHAHAR SHAYXONTOXUR TUMANI LABZAK MFY LABZAK KO’CHASI 70-UY</t>
        </is>
      </c>
      <c r="H88" s="118">
        <v>3.0</v>
      </c>
      <c r="I88" s="118">
        <v>1129928.78</v>
      </c>
      <c r="J88" s="118">
        <v>1129928.78</v>
      </c>
      <c r="K88" s="117" t="inlineStr">
        <is>
          <t xml:space="preserve">yopildi</t>
        </is>
      </c>
    </row>
    <row r="89">
      <c r="A89" s="117" t="inlineStr">
        <is>
          <t xml:space="preserve">ТОШКЕНТ ШАХРИ</t>
        </is>
      </c>
      <c r="B89" s="117" t="inlineStr">
        <is>
          <t xml:space="preserve">SUPER BRANCH</t>
        </is>
      </c>
      <c r="C89" s="117" t="inlineStr">
        <is>
          <t xml:space="preserve">Оплатил дозвон</t>
        </is>
      </c>
      <c r="D89" s="117" t="inlineStr">
        <is>
          <t xml:space="preserve">Кр-99048124-1</t>
        </is>
      </c>
      <c r="E89" s="117" t="inlineStr">
        <is>
          <t xml:space="preserve">XAYDAROV FURXAT YUSUPOVICH</t>
        </is>
      </c>
      <c r="F89" s="117" t="inlineStr">
        <is>
          <t xml:space="preserve">998999317183 SMS OZI, 998991059499 SMS OGLI, 998998508281 SMS AYOLI, 998998618281 SMS QIZI,</t>
        </is>
      </c>
      <c r="G89" s="117" t="inlineStr">
        <is>
          <t xml:space="preserve">TOSHKENT SHAHRI MIRZO ULUG’BEK TUMANI DUSTLIK MFY, YANGIOBOD, PR. 2 KUCHASI, 27-UY </t>
        </is>
      </c>
      <c r="H89" s="118">
        <v>3.0</v>
      </c>
      <c r="I89" s="118">
        <v>57.29</v>
      </c>
      <c r="J89" s="118">
        <v>57.29</v>
      </c>
      <c r="K89" s="117" t="inlineStr">
        <is>
          <t xml:space="preserve">yopildi</t>
        </is>
      </c>
    </row>
    <row r="90">
      <c r="A90" s="99" t="inlineStr">
        <is>
          <t xml:space="preserve">ТОШКЕНТ ШАХРИ</t>
        </is>
      </c>
      <c r="B90" s="99" t="inlineStr">
        <is>
          <t xml:space="preserve">Урганч филиали</t>
        </is>
      </c>
      <c r="C90" s="99" t="inlineStr">
        <is>
          <t xml:space="preserve">Оплатил дозвон</t>
        </is>
      </c>
      <c r="D90" s="99" t="inlineStr">
        <is>
          <t xml:space="preserve">Кр-99063105-2</t>
        </is>
      </c>
      <c r="E90" s="99" t="inlineStr">
        <is>
          <t xml:space="preserve">RAXIMOVA NILUFAR YULDASHEVNA</t>
        </is>
      </c>
      <c r="F90" s="99" t="inlineStr">
        <is>
          <t xml:space="preserve">998977927577 OZI, 998995077757 OZI 2, 998985777757 OZI 3, 998770977577 OGLI,</t>
        </is>
      </c>
      <c r="G90" s="99" t="inlineStr">
        <is>
          <t xml:space="preserve">TOSHKENT SHAHAR SHAYXANTOXUR TUMANI SEBZOR KO’CHASI 7-UY,35-XONADON</t>
        </is>
      </c>
      <c r="H90" s="100">
        <v>31.0</v>
      </c>
      <c r="I90" s="100">
        <v>25602907.85</v>
      </c>
      <c r="J90" s="100">
        <v>25602907.85</v>
      </c>
      <c r="K90" s="99" t="inlineStr">
        <is>
          <t xml:space="preserve">yopildi</t>
        </is>
      </c>
    </row>
    <row r="91">
      <c r="A91" s="101" t="inlineStr">
        <is>
          <t xml:space="preserve">ФАРГОНА ВИЛОЯТИ</t>
        </is>
      </c>
      <c r="B91" s="101" t="inlineStr">
        <is>
          <t xml:space="preserve">SUPER BRANCH</t>
        </is>
      </c>
      <c r="C91" s="101" t="inlineStr">
        <is>
          <t xml:space="preserve">Оплатил дозвон</t>
        </is>
      </c>
      <c r="D91" s="101" t="inlineStr">
        <is>
          <t xml:space="preserve">Кр-99055209-1</t>
        </is>
      </c>
      <c r="E91" s="101" t="inlineStr">
        <is>
          <t xml:space="preserve">ISMOILOV KOMOLJON ISROILOVICH</t>
        </is>
      </c>
      <c r="F91" s="101" t="inlineStr">
        <is>
          <t xml:space="preserve">998911083458 OZI, 998916523715 AYOLI, 998911165525 SINGLISI, 998905343715 UKASI,</t>
        </is>
      </c>
      <c r="G91" s="101" t="inlineStr">
        <is>
          <t xml:space="preserve">FARG’ONA VILOYATI FARG’ONA SHAHAR OQARIQ MFY OQARIQ KO’CHASI 235-UY</t>
        </is>
      </c>
      <c r="H91" s="102">
        <v>64.0</v>
      </c>
      <c r="I91" s="102">
        <v>27868404.91</v>
      </c>
      <c r="J91" s="102">
        <v>27868404.91</v>
      </c>
      <c r="K91" s="101" t="inlineStr">
        <is>
          <t xml:space="preserve">1567</t>
        </is>
      </c>
    </row>
    <row r="92">
      <c r="A92" s="101" t="inlineStr">
        <is>
          <t xml:space="preserve">ФАРГОНА ВИЛОЯТИ</t>
        </is>
      </c>
      <c r="B92" s="101" t="inlineStr">
        <is>
          <t xml:space="preserve">SUPER BRANCH</t>
        </is>
      </c>
      <c r="C92" s="101" t="inlineStr">
        <is>
          <t xml:space="preserve">Оплатил дозвон</t>
        </is>
      </c>
      <c r="D92" s="101" t="inlineStr">
        <is>
          <t xml:space="preserve">Кр-99056929-1</t>
        </is>
      </c>
      <c r="E92" s="101" t="inlineStr">
        <is>
          <t xml:space="preserve">XOJIMATOV AVAZBEK ALISHER O’G’LI</t>
        </is>
      </c>
      <c r="F92" s="101" t="inlineStr">
        <is>
          <t xml:space="preserve">998945650004 SMS OZI, 998908532606 SMS ONASI, 998903666515 SMS UKASI, 998911555576 SMS AKASI,</t>
        </is>
      </c>
      <c r="G92" s="101" t="inlineStr">
        <is>
          <t xml:space="preserve">FARG’ONA VILOYATI QO’QON SHAHAR DAVRONBEK MFY DAVRONBEK KO’CHASI 11-XONADON</t>
        </is>
      </c>
      <c r="H92" s="102">
        <v>3.0</v>
      </c>
      <c r="I92" s="102">
        <v>6630264.43</v>
      </c>
      <c r="J92" s="102">
        <v>6630264.43</v>
      </c>
      <c r="K92" s="101" t="inlineStr">
        <is>
          <t xml:space="preserve">1592</t>
        </is>
      </c>
    </row>
    <row r="93">
      <c r="A93" s="101" t="inlineStr">
        <is>
          <t xml:space="preserve">ФАРГОНА ВИЛОЯТИ</t>
        </is>
      </c>
      <c r="B93" s="101" t="inlineStr">
        <is>
          <t xml:space="preserve">SUPER BRANCH</t>
        </is>
      </c>
      <c r="C93" s="101" t="inlineStr">
        <is>
          <t xml:space="preserve">Оплатил дозвон</t>
        </is>
      </c>
      <c r="D93" s="101" t="inlineStr">
        <is>
          <t xml:space="preserve">Кр-99052905-1</t>
        </is>
      </c>
      <c r="E93" s="101" t="inlineStr">
        <is>
          <t xml:space="preserve">KURBONOV SHUXRAT SHAXABIDINOVICH</t>
        </is>
      </c>
      <c r="F93" s="101" t="inlineStr">
        <is>
          <t xml:space="preserve">998700190989 SMS OZI, 998077556362 SMS OZI, 998884130035 SMS OGLI, 998901628776 SMS AYOLI,</t>
        </is>
      </c>
      <c r="G93" s="101" t="inlineStr">
        <is>
          <t xml:space="preserve">FARG’ONA VILOYATI TOSHLOQ TUMANI ZARKENT MFY QASHQARQISHLOQ KO’CHASI 101-XONADON</t>
        </is>
      </c>
      <c r="H93" s="102">
        <v>3.0</v>
      </c>
      <c r="I93" s="102">
        <v>5194306.51</v>
      </c>
      <c r="J93" s="102">
        <v>5194306.51</v>
      </c>
      <c r="K93" s="101" t="inlineStr">
        <is>
          <t xml:space="preserve">кисман толов кберди | 1496</t>
        </is>
      </c>
    </row>
    <row r="94">
      <c r="A94" s="101" t="inlineStr">
        <is>
          <t xml:space="preserve">ФАРГОНА ВИЛОЯТИ</t>
        </is>
      </c>
      <c r="B94" s="101" t="inlineStr">
        <is>
          <t xml:space="preserve">SUPER BRANCH</t>
        </is>
      </c>
      <c r="C94" s="101" t="inlineStr">
        <is>
          <t xml:space="preserve">Оплатил дозвон</t>
        </is>
      </c>
      <c r="D94" s="101" t="inlineStr">
        <is>
          <t xml:space="preserve">Кр-99062574-1</t>
        </is>
      </c>
      <c r="E94" s="101" t="inlineStr">
        <is>
          <t xml:space="preserve">XUSANOVA ZIYODAXON IBRAGIMJANOVNA</t>
        </is>
      </c>
      <c r="F94" s="101" t="inlineStr">
        <is>
          <t xml:space="preserve">998991015479 uzi, 998991165479 qizi, 998941386867 opasi,</t>
        </is>
      </c>
      <c r="G94" s="101" t="inlineStr">
        <is>
          <t xml:space="preserve">Манзил: FARG’ONA VILOYATI QUVASOY SHAHRI  QO’CHQORCHI MFY OLTIN VODIY KO’CHASI 36-UY</t>
        </is>
      </c>
      <c r="H94" s="102">
        <v>3.0</v>
      </c>
      <c r="I94" s="102">
        <v>3087678.04</v>
      </c>
      <c r="J94" s="102">
        <v>3087678.04</v>
      </c>
      <c r="K94" s="101" t="inlineStr">
        <is>
          <t xml:space="preserve">1829</t>
        </is>
      </c>
    </row>
    <row r="95">
      <c r="A95" s="101" t="inlineStr">
        <is>
          <t xml:space="preserve">ФАРГОНА ВИЛОЯТИ</t>
        </is>
      </c>
      <c r="B95" s="101" t="inlineStr">
        <is>
          <t xml:space="preserve">SUPER BRANCH</t>
        </is>
      </c>
      <c r="C95" s="101" t="inlineStr">
        <is>
          <t xml:space="preserve">Оплатил дозвон</t>
        </is>
      </c>
      <c r="D95" s="101" t="inlineStr">
        <is>
          <t xml:space="preserve">Кр-99057272-1</t>
        </is>
      </c>
      <c r="E95" s="101" t="inlineStr">
        <is>
          <t xml:space="preserve">QAYUMOV KOMILJON OBIDJONOVICH</t>
        </is>
      </c>
      <c r="F95" s="101" t="inlineStr">
        <is>
          <t xml:space="preserve">998999870715 SMS UZI, 998997870414 SMS AYOLI, 998777918272 SMS O'G'LI, 998990198272 SMS UY,</t>
        </is>
      </c>
      <c r="G95" s="101" t="inlineStr">
        <is>
          <t xml:space="preserve">FARG’ONA VILOYATI QUVASOY SHAHAR ISFAYRAMSOY MFY MIRISHKOR KO’CHASI 8 A-XONADON</t>
        </is>
      </c>
      <c r="I95" s="102">
        <v>1876302.8</v>
      </c>
      <c r="J95" s="102">
        <v>1876302.8</v>
      </c>
      <c r="K95" s="101" t="inlineStr">
        <is>
          <t xml:space="preserve">1607</t>
        </is>
      </c>
    </row>
    <row r="96">
      <c r="A96" s="101" t="inlineStr">
        <is>
          <t xml:space="preserve">ФАРГОНА ВИЛОЯТИ</t>
        </is>
      </c>
      <c r="B96" s="101" t="inlineStr">
        <is>
          <t xml:space="preserve">SUPER BRANCH</t>
        </is>
      </c>
      <c r="C96" s="101" t="inlineStr">
        <is>
          <t xml:space="preserve">Оплатил дозвон</t>
        </is>
      </c>
      <c r="D96" s="101" t="inlineStr">
        <is>
          <t xml:space="preserve">Кр-99039833-1</t>
        </is>
      </c>
      <c r="E96" s="101" t="inlineStr">
        <is>
          <t xml:space="preserve">USMANOV RAXIM MUXAMEDOVICH</t>
        </is>
      </c>
      <c r="F96" s="101" t="inlineStr">
        <is>
          <t xml:space="preserve">998990409522 SMS OZI, 998900552185 SMS UKASI, 998132411102 SMS UKASI 2, 998910593282 SMS KELINI,</t>
        </is>
      </c>
      <c r="G96" s="101" t="inlineStr">
        <is>
          <t xml:space="preserve">FARG’ONA VILOYATI QO’QON SHAHAR YANGI CHORSU MFY NORBO’TABEK KO’CHASI 4-UY</t>
        </is>
      </c>
      <c r="H96" s="102">
        <v>3.0</v>
      </c>
      <c r="I96" s="102">
        <v>199392.81</v>
      </c>
      <c r="J96" s="102">
        <v>199392.81</v>
      </c>
      <c r="K96" s="101" t="inlineStr">
        <is>
          <t xml:space="preserve">ярим соатлада толов кберади | 896</t>
        </is>
      </c>
    </row>
    <row r="97">
      <c r="A97" s="103" t="inlineStr">
        <is>
          <t xml:space="preserve">ФАРГОНА ВИЛОЯТИ</t>
        </is>
      </c>
      <c r="B97" s="103" t="inlineStr">
        <is>
          <t xml:space="preserve">Фарғона филиали</t>
        </is>
      </c>
      <c r="C97" s="103" t="inlineStr">
        <is>
          <t xml:space="preserve">Оплатил дозвон</t>
        </is>
      </c>
      <c r="D97" s="103" t="inlineStr">
        <is>
          <t xml:space="preserve">Кр-99044631-3</t>
        </is>
      </c>
      <c r="E97" s="103" t="inlineStr">
        <is>
          <t xml:space="preserve">XAMIDOVA NAFISAXON XUSNIDDIN QIZI</t>
        </is>
      </c>
      <c r="F97" s="103" t="inlineStr">
        <is>
          <t xml:space="preserve">+998700283633 SMS O’ZI, 998774246212 ONASI, 998916516081 UKASI, 998992267314 ERI,</t>
        </is>
      </c>
      <c r="G97" s="103" t="inlineStr">
        <is>
          <t xml:space="preserve">FARG’ONA VILOYATI MARG’ILON SHAHAR CHILONZOR MFY TINCHILIK 181-UY 20-XONADON</t>
        </is>
      </c>
      <c r="H97" s="104">
        <v>3.0</v>
      </c>
      <c r="I97" s="104">
        <v>4512610.73</v>
      </c>
      <c r="J97" s="104">
        <v>4512610.73</v>
      </c>
      <c r="K97" s="103" t="inlineStr">
        <is>
          <t xml:space="preserve">1313</t>
        </is>
      </c>
    </row>
    <row r="98">
      <c r="A98" s="103" t="inlineStr">
        <is>
          <t xml:space="preserve">ФАРГОНА ВИЛОЯТИ</t>
        </is>
      </c>
      <c r="B98" s="103" t="inlineStr">
        <is>
          <t xml:space="preserve">Фарғона филиали</t>
        </is>
      </c>
      <c r="C98" s="103" t="inlineStr">
        <is>
          <t xml:space="preserve">Оплатил дозвон</t>
        </is>
      </c>
      <c r="D98" s="103" t="inlineStr">
        <is>
          <t xml:space="preserve">Кр-99041498-1</t>
        </is>
      </c>
      <c r="E98" s="103" t="inlineStr">
        <is>
          <t xml:space="preserve">XAMZAYEVA MUKARRAMXON GANIXONOVNA</t>
        </is>
      </c>
      <c r="F98" s="103" t="inlineStr">
        <is>
          <t xml:space="preserve">+998914524444 SMS O’ZI 2 begana, 998903005488 SMS O’ZI, 998907794977 ERI, 998954747111 O’G’LI,</t>
        </is>
      </c>
      <c r="G98" s="103" t="inlineStr">
        <is>
          <t xml:space="preserve">ХУЖАРИК МФЙ, Ж.МАНГУБЕРДИ КЎЧАСИ,  uy:,</t>
        </is>
      </c>
      <c r="H98" s="104">
        <v>3.0</v>
      </c>
      <c r="I98" s="104">
        <v>3953180.14</v>
      </c>
      <c r="J98" s="104">
        <v>3953180.14</v>
      </c>
      <c r="K98" s="103" t="inlineStr">
        <is>
          <t xml:space="preserve">1175</t>
        </is>
      </c>
    </row>
    <row r="99">
      <c r="A99" s="103" t="inlineStr">
        <is>
          <t xml:space="preserve">ФАРГОНА ВИЛОЯТИ</t>
        </is>
      </c>
      <c r="B99" s="103" t="inlineStr">
        <is>
          <t xml:space="preserve">Фарғона филиали</t>
        </is>
      </c>
      <c r="C99" s="103" t="inlineStr">
        <is>
          <t xml:space="preserve">Оплатил дозвон</t>
        </is>
      </c>
      <c r="D99" s="103" t="inlineStr">
        <is>
          <t xml:space="preserve">Кр-99048148-2</t>
        </is>
      </c>
      <c r="E99" s="103" t="inlineStr">
        <is>
          <t xml:space="preserve">XAMIDOVA TAVAKALXON ISAYEVNA</t>
        </is>
      </c>
      <c r="F99" s="103" t="inlineStr">
        <is>
          <t xml:space="preserve">998882102992 QIZI, 998887728808 O’G’LI 2, 998888112992 SMS O’ZI, 998997615500 O’G’LI,</t>
        </is>
      </c>
      <c r="G99" s="103" t="inlineStr">
        <is>
          <t xml:space="preserve">FARG’ONA VILOYATI FARG’ONA SHAHAR OQARIQ MFY OQARIQ KO’CHASI 311 A-UY</t>
        </is>
      </c>
      <c r="H99" s="104">
        <v>3.0</v>
      </c>
      <c r="I99" s="104">
        <v>3943330.88</v>
      </c>
      <c r="J99" s="104">
        <v>3943330.88</v>
      </c>
      <c r="K99" s="103" t="inlineStr">
        <is>
          <t xml:space="preserve">1406</t>
        </is>
      </c>
    </row>
    <row r="100">
      <c r="A100" s="103" t="inlineStr">
        <is>
          <t xml:space="preserve">ФАРГОНА ВИЛОЯТИ</t>
        </is>
      </c>
      <c r="B100" s="103" t="inlineStr">
        <is>
          <t xml:space="preserve">Фарғона филиали</t>
        </is>
      </c>
      <c r="C100" s="103" t="inlineStr">
        <is>
          <t xml:space="preserve">Оплатил дозвон</t>
        </is>
      </c>
      <c r="D100" s="103" t="inlineStr">
        <is>
          <t xml:space="preserve">Кр-99031813-4</t>
        </is>
      </c>
      <c r="E100" s="103" t="inlineStr">
        <is>
          <t xml:space="preserve">QOBILOV NORMURODJON SIROJIDDIN O’G’LI</t>
        </is>
      </c>
      <c r="F100" s="103" t="inlineStr">
        <is>
          <t xml:space="preserve">998900997097 SMS O’ZI, 998908483011 SMS ONASI, 998916706232 SMS AKASI, 998939792626 SMS AKASI 2,</t>
        </is>
      </c>
      <c r="G100" s="103" t="inlineStr">
        <is>
          <t xml:space="preserve">FARG’ONA VILOYATI FARG’ONA SHAHAR XUVAYDO MFY, XALQLAR DO’SLIGI 59-UY</t>
        </is>
      </c>
      <c r="H100" s="104">
        <v>3.0</v>
      </c>
      <c r="I100" s="104">
        <v>1131850.66</v>
      </c>
      <c r="J100" s="104">
        <v>1131850.66</v>
      </c>
      <c r="K100" s="103" t="inlineStr">
        <is>
          <t xml:space="preserve">406</t>
        </is>
      </c>
    </row>
    <row r="101">
      <c r="A101" s="103" t="inlineStr">
        <is>
          <t xml:space="preserve">ФАРГОНА ВИЛОЯТИ</t>
        </is>
      </c>
      <c r="B101" s="103" t="inlineStr">
        <is>
          <t xml:space="preserve">Фарғона филиали</t>
        </is>
      </c>
      <c r="C101" s="103" t="inlineStr">
        <is>
          <t xml:space="preserve">Оплатил дозвон</t>
        </is>
      </c>
      <c r="D101" s="103" t="inlineStr">
        <is>
          <t xml:space="preserve">Кр-99062967-1</t>
        </is>
      </c>
      <c r="E101" s="103" t="inlineStr">
        <is>
          <t xml:space="preserve">YUNUSALIYEV QAXRAMONJON RASULOVICH</t>
        </is>
      </c>
      <c r="F101" s="103" t="inlineStr">
        <is>
          <t xml:space="preserve">+998903609057 SMS O’ZI, 998336772616 KIYOVI, 998777162689 QIZI, 998908551566 AYOLI,</t>
        </is>
      </c>
      <c r="G101" s="103" t="inlineStr">
        <is>
          <t xml:space="preserve">FARG’ONA VILOYATI BOG’DOD TUMANI MATQULOBOD MFY YUKSAK KO’CHASI 240-UY</t>
        </is>
      </c>
      <c r="I101" s="104">
        <v>156636.6</v>
      </c>
      <c r="J101" s="104">
        <v>156636.6</v>
      </c>
      <c r="K101" s="103" t="inlineStr">
        <is>
          <t xml:space="preserve">1957</t>
        </is>
      </c>
    </row>
    <row r="102">
      <c r="A102" s="105" t="inlineStr">
        <is>
          <t xml:space="preserve">ХОРАЗМ ВИЛОЯТИ</t>
        </is>
      </c>
      <c r="B102" s="105" t="inlineStr">
        <is>
          <t xml:space="preserve">SUPER BRANCH</t>
        </is>
      </c>
      <c r="C102" s="105" t="inlineStr">
        <is>
          <t xml:space="preserve">Оплатил дозвон</t>
        </is>
      </c>
      <c r="D102" s="105" t="inlineStr">
        <is>
          <t xml:space="preserve">Кр-99024098-2</t>
        </is>
      </c>
      <c r="E102" s="105" t="inlineStr">
        <is>
          <t xml:space="preserve">AXMEDOV RUSLANBEK BAXODIROVICH</t>
        </is>
      </c>
      <c r="F102" s="105" t="inlineStr">
        <is>
          <t xml:space="preserve">99-135-99-59 SMS UZI, 91-093-65-95 SMS UZI, 93-743-23-09 SMS QIZI,</t>
        </is>
      </c>
      <c r="G102" s="105" t="inlineStr">
        <is>
          <t xml:space="preserve">XORAZM VILOYATI URGANCH SHAHAR XALQ SO’ZI KUCHASI 21 UY</t>
        </is>
      </c>
      <c r="H102" s="106">
        <v>3.0</v>
      </c>
      <c r="I102" s="106">
        <v>2961410.95</v>
      </c>
      <c r="J102" s="106">
        <v>2961410.95</v>
      </c>
      <c r="K102" s="105" t="inlineStr">
        <is>
          <t xml:space="preserve">kotarmad | 175</t>
        </is>
      </c>
    </row>
    <row r="103">
      <c r="A103" s="105" t="inlineStr">
        <is>
          <t xml:space="preserve">ХОРАЗМ ВИЛОЯТИ</t>
        </is>
      </c>
      <c r="B103" s="105" t="inlineStr">
        <is>
          <t xml:space="preserve">SUPER BRANCH</t>
        </is>
      </c>
      <c r="C103" s="105" t="inlineStr">
        <is>
          <t xml:space="preserve">Оплатил дозвон</t>
        </is>
      </c>
      <c r="D103" s="105" t="inlineStr">
        <is>
          <t xml:space="preserve">Кр-99046648-2</t>
        </is>
      </c>
      <c r="E103" s="105" t="inlineStr">
        <is>
          <t xml:space="preserve">KURBANOV MANSUR RUSTAMOVICH</t>
        </is>
      </c>
      <c r="F103" s="105" t="inlineStr">
        <is>
          <t xml:space="preserve">+998959856565 SMS UZI, 998772525545 SMS AYOLI begona, 998937445100 SMS OTASI,</t>
        </is>
      </c>
      <c r="G103" s="105" t="inlineStr">
        <is>
          <t xml:space="preserve">ХОРАЗМ ВИЛОЯТИ УРГАНЧ Ш., БИНОКОР МФЙ, БИНОКОР КЎЧАСИ,  uy:35</t>
        </is>
      </c>
      <c r="H103" s="106">
        <v>3.0</v>
      </c>
      <c r="I103" s="106">
        <v>2144399.39</v>
      </c>
      <c r="J103" s="106">
        <v>2144399.39</v>
      </c>
      <c r="K103" s="105" t="inlineStr">
        <is>
          <t xml:space="preserve">yopildi | 1367</t>
        </is>
      </c>
    </row>
    <row r="104">
      <c r="A104" s="105" t="inlineStr">
        <is>
          <t xml:space="preserve">ХОРАЗМ ВИЛОЯТИ</t>
        </is>
      </c>
      <c r="B104" s="105" t="inlineStr">
        <is>
          <t xml:space="preserve">SUPER BRANCH</t>
        </is>
      </c>
      <c r="C104" s="105" t="inlineStr">
        <is>
          <t xml:space="preserve">Оплатил дозвон</t>
        </is>
      </c>
      <c r="D104" s="105" t="inlineStr">
        <is>
          <t xml:space="preserve">Кр-99040248-2</t>
        </is>
      </c>
      <c r="E104" s="105" t="inlineStr">
        <is>
          <t xml:space="preserve">KARIMOV OG’ABEK MURODOVICH</t>
        </is>
      </c>
      <c r="F104" s="105" t="inlineStr">
        <is>
          <t xml:space="preserve">998975167776 SMS OZI, 998900770911 SMS ONASI, 998888587477 SMS AYOLI, 998885177776 SMS AYOLI2,</t>
        </is>
      </c>
      <c r="G104" s="105" t="inlineStr">
        <is>
          <t xml:space="preserve">XORAZM VILOYATI URGANCH TUMANI BAYNALMINALCHI MFY XUNARMAND 7-TOR KO’CHASI 1 A-UY</t>
        </is>
      </c>
      <c r="H104" s="106">
        <v>3.0</v>
      </c>
      <c r="I104" s="106">
        <v>1003504.22</v>
      </c>
      <c r="J104" s="106">
        <v>1003504.22</v>
      </c>
      <c r="K104" s="105" t="inlineStr">
        <is>
          <t xml:space="preserve">tolavotti | 979</t>
        </is>
      </c>
    </row>
    <row r="105">
      <c r="A105" s="105" t="inlineStr">
        <is>
          <t xml:space="preserve">ХОРАЗМ ВИЛОЯТИ</t>
        </is>
      </c>
      <c r="B105" s="105" t="inlineStr">
        <is>
          <t xml:space="preserve">SUPER BRANCH</t>
        </is>
      </c>
      <c r="C105" s="105" t="inlineStr">
        <is>
          <t xml:space="preserve">Оплатил дозвон</t>
        </is>
      </c>
      <c r="D105" s="105" t="inlineStr">
        <is>
          <t xml:space="preserve">Кр-99048302-1</t>
        </is>
      </c>
      <c r="E105" s="105" t="inlineStr">
        <is>
          <t xml:space="preserve">NURMATOV OG‘ABEK FAXRIDDIN O‘G‘LI</t>
        </is>
      </c>
      <c r="F105" s="105" t="inlineStr">
        <is>
          <t xml:space="preserve">+998919981626 Primary phone from road24, 998919981626 Primary phone from road24, 998905580815 SMS OTASI, 998910908909 SMS AKASI,</t>
        </is>
      </c>
      <c r="G105" s="105" t="inlineStr">
        <is>
          <t xml:space="preserve">Хорезмская область, Шаватский район, Каткалъа ССГ, Янги турмуш МСГ, ул. Бунёдкор, дом 33</t>
        </is>
      </c>
      <c r="I105" s="106">
        <v>144126.75</v>
      </c>
      <c r="J105" s="106">
        <v>144126.75</v>
      </c>
      <c r="K105" s="105" t="inlineStr">
        <is>
          <t xml:space="preserve">hozi tolid | 1408</t>
        </is>
      </c>
    </row>
    <row r="106">
      <c r="A106" s="107" t="inlineStr">
        <is>
          <t xml:space="preserve">ХОРАЗМ ВИЛОЯТИ</t>
        </is>
      </c>
      <c r="B106" s="107" t="inlineStr">
        <is>
          <t xml:space="preserve">Урганч филиали</t>
        </is>
      </c>
      <c r="C106" s="107" t="inlineStr">
        <is>
          <t xml:space="preserve">Оплатил дозвон</t>
        </is>
      </c>
      <c r="D106" s="107" t="inlineStr">
        <is>
          <t xml:space="preserve">Кр-99046032-1</t>
        </is>
      </c>
      <c r="E106" s="107" t="inlineStr">
        <is>
          <t xml:space="preserve">NURMETOV OTABEK ISMAILOVICH</t>
        </is>
      </c>
      <c r="F106" s="107" t="inlineStr">
        <is>
          <t xml:space="preserve">+998955903632 SMS O’G’LI, 998993134005 SMS AYOLI, 998993837328 SMS UZI,</t>
        </is>
      </c>
      <c r="G106" s="107" t="inlineStr">
        <is>
          <t xml:space="preserve">Хорезмская область, Ургенчский район, Чондиркиёт ССГ, Киллавут МСГ, ул. Проектная, дом 73</t>
        </is>
      </c>
      <c r="H106" s="108">
        <v>3.0</v>
      </c>
      <c r="I106" s="108">
        <v>3653019.78</v>
      </c>
      <c r="J106" s="108">
        <v>3653019.78</v>
      </c>
      <c r="K106" s="107" t="inlineStr">
        <is>
          <t xml:space="preserve">yopildi | 1344</t>
        </is>
      </c>
    </row>
    <row r="107">
      <c r="A107" s="107" t="inlineStr">
        <is>
          <t xml:space="preserve">ХОРАЗМ ВИЛОЯТИ</t>
        </is>
      </c>
      <c r="B107" s="107" t="inlineStr">
        <is>
          <t xml:space="preserve">Урганч филиали</t>
        </is>
      </c>
      <c r="C107" s="107" t="inlineStr">
        <is>
          <t xml:space="preserve">Оплатил дозвон</t>
        </is>
      </c>
      <c r="D107" s="107" t="inlineStr">
        <is>
          <t xml:space="preserve">Кр-99046648-1</t>
        </is>
      </c>
      <c r="E107" s="107" t="inlineStr">
        <is>
          <t xml:space="preserve">KURBANOV MANSUR RUSTAMOVICH</t>
        </is>
      </c>
      <c r="F107" s="107" t="inlineStr">
        <is>
          <t xml:space="preserve">+998959856565 SMS UZI, 998772525545 SMS AYOLI begona, 998937445100 SMS OTASI,</t>
        </is>
      </c>
      <c r="G107" s="107" t="inlineStr">
        <is>
          <t xml:space="preserve">ХОРАЗМ ВИЛОЯТИ УРГАНЧ Ш., БИНОКОР МФЙ, БИНОКОР КЎЧАСИ,  uy:35</t>
        </is>
      </c>
      <c r="H107" s="108">
        <v>3.0</v>
      </c>
      <c r="I107" s="108">
        <v>2136122.98</v>
      </c>
      <c r="J107" s="108">
        <v>2136122.98</v>
      </c>
      <c r="K107" s="107" t="inlineStr">
        <is>
          <t xml:space="preserve">yopildi | 1366</t>
        </is>
      </c>
    </row>
    <row r="108">
      <c r="A108" s="107" t="inlineStr">
        <is>
          <t xml:space="preserve">ХОРАЗМ ВИЛОЯТИ</t>
        </is>
      </c>
      <c r="B108" s="107" t="inlineStr">
        <is>
          <t xml:space="preserve">Урганч филиали</t>
        </is>
      </c>
      <c r="C108" s="107" t="inlineStr">
        <is>
          <t xml:space="preserve">Оплатил дозвон</t>
        </is>
      </c>
      <c r="D108" s="107" t="inlineStr">
        <is>
          <t xml:space="preserve">Кр-99041377-1</t>
        </is>
      </c>
      <c r="E108" s="107" t="inlineStr">
        <is>
          <t xml:space="preserve">JUMADURDIYEV BEKTEMIR XAJIYEVICH</t>
        </is>
      </c>
      <c r="F108" s="107" t="inlineStr">
        <is>
          <t xml:space="preserve">998885461411 SMS UZI, 998975133428 SMS ONASI, 998975136424 SMS POCHCHASI,</t>
        </is>
      </c>
      <c r="G108" s="107" t="inlineStr">
        <is>
          <t xml:space="preserve">ҒАЛАБА ҚФЙ, ОБОД МФЙ, ОБОД  КЎЧАСИ,  uy:22</t>
        </is>
      </c>
      <c r="H108" s="108">
        <v>3.0</v>
      </c>
      <c r="I108" s="108">
        <v>2046510.57</v>
      </c>
      <c r="J108" s="108">
        <v>2046510.57</v>
      </c>
      <c r="K108" s="107" t="inlineStr">
        <is>
          <t xml:space="preserve">oyligini kutvotti | 1156</t>
        </is>
      </c>
    </row>
    <row r="109">
      <c r="A109" s="107" t="inlineStr">
        <is>
          <t xml:space="preserve">ХОРАЗМ ВИЛОЯТИ</t>
        </is>
      </c>
      <c r="B109" s="107" t="inlineStr">
        <is>
          <t xml:space="preserve">Урганч филиали</t>
        </is>
      </c>
      <c r="C109" s="107" t="inlineStr">
        <is>
          <t xml:space="preserve">Оплатил дозвон</t>
        </is>
      </c>
      <c r="D109" s="107" t="inlineStr">
        <is>
          <t xml:space="preserve">Кр-99042982-1</t>
        </is>
      </c>
      <c r="E109" s="107" t="inlineStr">
        <is>
          <t xml:space="preserve">ISKANDAROV SHAVKAT O’KTAMOVICH</t>
        </is>
      </c>
      <c r="F109" s="107" t="inlineStr">
        <is>
          <t xml:space="preserve">+998995042130 SMS UZI, 998772507192 SMS AYOLI,</t>
        </is>
      </c>
      <c r="G109" s="107" t="inlineStr">
        <is>
          <t xml:space="preserve">ХОРАЗМ ВИЛОЯТИ БОГОТ ТУМАНИ НУРАФШОН ШФЙ, ТАНТАНА КЎЧАСИ,  uy:28</t>
        </is>
      </c>
      <c r="H109" s="108">
        <v>3.0</v>
      </c>
      <c r="I109" s="108">
        <v>1729157.46</v>
      </c>
      <c r="J109" s="108">
        <v>1729157.46</v>
      </c>
      <c r="K109" s="107" t="inlineStr">
        <is>
          <t xml:space="preserve">bugun kechga yopad,,,, 17,30 | 1276</t>
        </is>
      </c>
    </row>
    <row r="110">
      <c r="A110" s="107" t="inlineStr">
        <is>
          <t xml:space="preserve">ХОРАЗМ ВИЛОЯТИ</t>
        </is>
      </c>
      <c r="B110" s="107" t="inlineStr">
        <is>
          <t xml:space="preserve">Урганч филиали</t>
        </is>
      </c>
      <c r="C110" s="107" t="inlineStr">
        <is>
          <t xml:space="preserve">Оплатил дозвон</t>
        </is>
      </c>
      <c r="D110" s="107" t="inlineStr">
        <is>
          <t xml:space="preserve">Кр-99027635-1</t>
        </is>
      </c>
      <c r="E110" s="107" t="inlineStr">
        <is>
          <t xml:space="preserve">ATANAZAROV ELBEK TO’LQIN O’G’LI</t>
        </is>
      </c>
      <c r="F110" s="107" t="inlineStr">
        <is>
          <t xml:space="preserve">95-910-57-07 SMS OZI, 99-048-80-30 SMS ONASI, 99-909-43-73  SMS DADASI,</t>
        </is>
      </c>
      <c r="G110" s="107" t="inlineStr">
        <is>
          <t xml:space="preserve">XORAZM VILOYATI YANGIBOZOR TUMANI JAYXUN MAXALLASI TURON KUCHASI 8 UY</t>
        </is>
      </c>
      <c r="I110" s="108">
        <v>205770.9</v>
      </c>
      <c r="J110" s="108">
        <v>205770.9</v>
      </c>
      <c r="K110" s="107" t="inlineStr">
        <is>
          <t xml:space="preserve">yopildi | 239</t>
        </is>
      </c>
    </row>
  </sheetData>
  <autoFilter ref="A2:K110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30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SUPER BRANCH</t>
        </is>
      </c>
      <c r="C3" s="99" t="inlineStr">
        <is>
          <t xml:space="preserve">Ko'tarmadi</t>
        </is>
      </c>
      <c r="D3" s="99" t="inlineStr">
        <is>
          <t xml:space="preserve">Кр-99050899-1</t>
        </is>
      </c>
      <c r="E3" s="99" t="inlineStr">
        <is>
          <t xml:space="preserve">ERGASHOV ELYORBEK NE’MATJONOVICH</t>
        </is>
      </c>
      <c r="F3" s="99" t="inlineStr">
        <is>
          <t xml:space="preserve">998774544221 SMS OZI, 998902062924 SMS AYOLI, 998022181812 SMS OZI, 998902533553 SMS AKASI, 998902218181 SMS O'zi new,</t>
        </is>
      </c>
      <c r="G3" s="99" t="inlineStr">
        <is>
          <t xml:space="preserve">ANDIJON VILOYATI BO’Z TUMANI GUZAR MFY, O’ZBEKISTON  KO’CHASI 489-UY</t>
        </is>
      </c>
      <c r="H3" s="100">
        <v>125.0</v>
      </c>
      <c r="I3" s="100">
        <v>37784864.93</v>
      </c>
      <c r="K3" s="99" t="inlineStr">
        <is>
          <t xml:space="preserve">ishi sudda yurist opa shugillanyapti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SUPER BRANCH</t>
        </is>
      </c>
      <c r="C4" s="99" t="inlineStr">
        <is>
          <t xml:space="preserve">Ko'tarmadi</t>
        </is>
      </c>
      <c r="D4" s="99" t="inlineStr">
        <is>
          <t xml:space="preserve">Кр-99063829-1</t>
        </is>
      </c>
      <c r="E4" s="99" t="inlineStr">
        <is>
          <t xml:space="preserve">MIRZAYEV ABDULAZIZ RUSTAMOVICH</t>
        </is>
      </c>
      <c r="F4" s="99" t="inlineStr">
        <is>
          <t xml:space="preserve">998773674777 SMS ONASI, 998940207105 SMS UZI, 998970610099 SSM AKASI, 998990723095 SMS DOSTI,</t>
        </is>
      </c>
      <c r="G4" s="99" t="inlineStr">
        <is>
          <t xml:space="preserve">Quvvatmurod MFY, Dilkushod ko’chasi, 139-uy</t>
        </is>
      </c>
      <c r="H4" s="100">
        <v>24.0</v>
      </c>
      <c r="I4" s="100">
        <v>3340780.8</v>
      </c>
      <c r="K4" s="99" t="inlineStr">
        <is>
          <t xml:space="preserve">umuman yoq bu klent</t>
        </is>
      </c>
    </row>
    <row r="5">
      <c r="A5" s="99" t="inlineStr">
        <is>
          <t xml:space="preserve">АНДИЖОН ВИЛОЯТИ</t>
        </is>
      </c>
      <c r="B5" s="99" t="inlineStr">
        <is>
          <t xml:space="preserve">SUPER BRANCH</t>
        </is>
      </c>
      <c r="C5" s="99" t="inlineStr">
        <is>
          <t xml:space="preserve">Ko'tarmadi</t>
        </is>
      </c>
      <c r="D5" s="99" t="inlineStr">
        <is>
          <t xml:space="preserve">Кр-99020905-2</t>
        </is>
      </c>
      <c r="E5" s="99" t="inlineStr">
        <is>
          <t xml:space="preserve">QOBILOV BAYOZBEK MAXAMADSOLI O’G’LI</t>
        </is>
      </c>
      <c r="F5" s="99" t="inlineStr">
        <is>
          <t xml:space="preserve">33-615-57-57 SMS OZI, 99-194-20-20  SMS ZALOGADATEL, 50-075-07-47 SMS ZALOGADATEL, 91-483-70-00 SMS OZI,</t>
        </is>
      </c>
      <c r="G5" s="99" t="inlineStr">
        <is>
          <t xml:space="preserve">ANDIJON VILOYATI ANDIJON TUMANI XARTUM QFY YANGI TO’LQIN MFY YANGI TO’LQIN KO’CHASI 78-UY</t>
        </is>
      </c>
      <c r="H5" s="100">
        <v>3.0</v>
      </c>
      <c r="I5" s="100">
        <v>3112486.45</v>
      </c>
      <c r="K5" s="99" t="inlineStr">
        <is>
          <t xml:space="preserve">oilaviy rusda faqat tg orqali gaplashamiz 15  gacha yopib beradi</t>
        </is>
      </c>
    </row>
    <row r="6">
      <c r="A6" s="99" t="inlineStr">
        <is>
          <t xml:space="preserve">АНДИЖОН ВИЛОЯТИ</t>
        </is>
      </c>
      <c r="B6" s="99" t="inlineStr">
        <is>
          <t xml:space="preserve">SUPER BRANCH</t>
        </is>
      </c>
      <c r="C6" s="99" t="inlineStr">
        <is>
          <t xml:space="preserve">Ko'tarmadi</t>
        </is>
      </c>
      <c r="D6" s="99" t="inlineStr">
        <is>
          <t xml:space="preserve">Кр-99063829-2</t>
        </is>
      </c>
      <c r="E6" s="99" t="inlineStr">
        <is>
          <t xml:space="preserve">MIRZAYEV ABDULAZIZ RUSTAMOVICH</t>
        </is>
      </c>
      <c r="F6" s="99" t="inlineStr">
        <is>
          <t xml:space="preserve">998773674777 SMS ONASI, 998940207105 SMS UZI, 998970610099 SSM AKASI, 998990723095 SMS DOSTI,</t>
        </is>
      </c>
      <c r="G6" s="99" t="inlineStr">
        <is>
          <t xml:space="preserve">Quvvatmurod MFY, Dilkushod ko’chasi, 139-uy</t>
        </is>
      </c>
      <c r="H6" s="100">
        <v>24.0</v>
      </c>
      <c r="I6" s="100">
        <v>2672624.0</v>
      </c>
      <c r="K6" s="99" t="inlineStr">
        <is>
          <t xml:space="preserve">umuman yoq bu klent</t>
        </is>
      </c>
    </row>
    <row r="7">
      <c r="A7" s="99" t="inlineStr">
        <is>
          <t xml:space="preserve">АНДИЖОН ВИЛОЯТИ</t>
        </is>
      </c>
      <c r="B7" s="99" t="inlineStr">
        <is>
          <t xml:space="preserve">SUPER BRANCH</t>
        </is>
      </c>
      <c r="C7" s="99" t="inlineStr">
        <is>
          <t xml:space="preserve">Ko'tarmadi</t>
        </is>
      </c>
      <c r="D7" s="99" t="inlineStr">
        <is>
          <t xml:space="preserve">Кр-99020905-3</t>
        </is>
      </c>
      <c r="E7" s="99" t="inlineStr">
        <is>
          <t xml:space="preserve">QOBILOV BAYOZBEK MAXAMADSOLI O’G’LI</t>
        </is>
      </c>
      <c r="F7" s="99" t="inlineStr">
        <is>
          <t xml:space="preserve">33-615-57-57 SMS OZI, 99-194-20-20  SMS ZALOGADATEL, 50-075-07-47 SMS ZALOGADATEL, 91-483-70-00 SMS OZI,</t>
        </is>
      </c>
      <c r="G7" s="99" t="inlineStr">
        <is>
          <t xml:space="preserve">ANDIJON VILOYATI ANDIJON TUMANI XARTUM QFY YANGI TO’LQIN MFY YANGI TO’LQIN KO’CHASI 78-UY</t>
        </is>
      </c>
      <c r="H7" s="100">
        <v>3.0</v>
      </c>
      <c r="I7" s="100">
        <v>1867127.79</v>
      </c>
      <c r="K7" s="99" t="inlineStr">
        <is>
          <t xml:space="preserve">oilaviy rusda faqat tg orqali gaplashamiz 15  gacha yopib beradi</t>
        </is>
      </c>
    </row>
    <row r="8">
      <c r="A8" s="101" t="inlineStr">
        <is>
          <t xml:space="preserve">БУХОРО ВИЛОЯТИ</t>
        </is>
      </c>
      <c r="B8" s="101" t="inlineStr">
        <is>
          <t xml:space="preserve">SUPER BRANCH</t>
        </is>
      </c>
      <c r="C8" s="101" t="inlineStr">
        <is>
          <t xml:space="preserve">Ko'tarmadi</t>
        </is>
      </c>
      <c r="D8" s="101" t="inlineStr">
        <is>
          <t xml:space="preserve">Кр-99039543-1</t>
        </is>
      </c>
      <c r="E8" s="101" t="inlineStr">
        <is>
          <t xml:space="preserve">DJUMAYEV ZAVQIY LATIPOVICH</t>
        </is>
      </c>
      <c r="F8" s="101" t="inlineStr">
        <is>
          <t xml:space="preserve">998901180010 SMS OZI , 998770240926 SMS UKASI, +998901180010 Primary phone from road24, 998950000118 SMS asilbek o'g'li,</t>
        </is>
      </c>
      <c r="G8" s="101" t="inlineStr">
        <is>
          <t xml:space="preserve">Богча МФЙ, Гараншоҳ қишлоғи, 52-C-уй</t>
        </is>
      </c>
      <c r="H8" s="102">
        <v>149.0</v>
      </c>
      <c r="I8" s="102">
        <v>45153273.7</v>
      </c>
      <c r="K8" s="101" t="inlineStr">
        <is>
          <t xml:space="preserve">BUNI ISHI SUDDA AUKSIONGA QO'YIB SOTISH KERAK | 871</t>
        </is>
      </c>
    </row>
    <row r="9">
      <c r="A9" s="101" t="inlineStr">
        <is>
          <t xml:space="preserve">БУХОРО ВИЛОЯТИ</t>
        </is>
      </c>
      <c r="B9" s="101" t="inlineStr">
        <is>
          <t xml:space="preserve">SUPER BRANCH</t>
        </is>
      </c>
      <c r="C9" s="101" t="inlineStr">
        <is>
          <t xml:space="preserve">Ko'tarmadi</t>
        </is>
      </c>
      <c r="D9" s="101" t="inlineStr">
        <is>
          <t xml:space="preserve">Кр-99052919-1</t>
        </is>
      </c>
      <c r="E9" s="101" t="inlineStr">
        <is>
          <t xml:space="preserve">RO’ZIYEVA NAFISA ILXOMOVNA</t>
        </is>
      </c>
      <c r="F9" s="101" t="inlineStr">
        <is>
          <t xml:space="preserve">998938875127 SMS узи, 998941275006 SMSэри, 998884747005 SMS угли, 998938865006 узи2, 998508787766 eri 2,</t>
        </is>
      </c>
      <c r="G9" s="101" t="inlineStr">
        <is>
          <t xml:space="preserve">IIV6242</t>
        </is>
      </c>
      <c r="H9" s="102">
        <v>3.0</v>
      </c>
      <c r="I9" s="102">
        <v>8401531.89</v>
      </c>
      <c r="K9" s="101" t="inlineStr">
        <is>
          <t xml:space="preserve">7766 BUGUNGA DEGANDI BUGUN KO'TARMADI | 1502</t>
        </is>
      </c>
    </row>
    <row r="10">
      <c r="A10" s="101" t="inlineStr">
        <is>
          <t xml:space="preserve">БУХОРО ВИЛОЯТИ</t>
        </is>
      </c>
      <c r="B10" s="101" t="inlineStr">
        <is>
          <t xml:space="preserve">SUPER BRANCH</t>
        </is>
      </c>
      <c r="C10" s="101" t="inlineStr">
        <is>
          <t xml:space="preserve">Ko'tarmadi</t>
        </is>
      </c>
      <c r="D10" s="101" t="inlineStr">
        <is>
          <t xml:space="preserve">Кр-99039939-1</t>
        </is>
      </c>
      <c r="E10" s="101" t="inlineStr">
        <is>
          <t xml:space="preserve">TUXTAYEVA NARGIZA JURAYEVNA</t>
        </is>
      </c>
      <c r="F10" s="101" t="inlineStr">
        <is>
          <t xml:space="preserve">998918365488 SMS OZI, 998903407973 SMS ONASI, 998331951802 SMS ERI, 998994452534 SMS UY,</t>
        </is>
      </c>
      <c r="G10" s="101" t="inlineStr">
        <is>
          <t xml:space="preserve">BUXORO VILOYATI BUXORO SHAHAR FOSHUN MFY ALPOMISH KO'CHASI, 17/3 UY, 10-XONADON</t>
        </is>
      </c>
      <c r="H10" s="102">
        <v>3.0</v>
      </c>
      <c r="I10" s="102">
        <v>2508756.37</v>
      </c>
      <c r="K10" s="101" t="inlineStr">
        <is>
          <t xml:space="preserve">RAQAMLARI ISHLAMADI | 917</t>
        </is>
      </c>
    </row>
    <row r="11">
      <c r="A11" s="101" t="inlineStr">
        <is>
          <t xml:space="preserve">БУХОРО ВИЛОЯТИ</t>
        </is>
      </c>
      <c r="B11" s="101" t="inlineStr">
        <is>
          <t xml:space="preserve">SUPER BRANCH</t>
        </is>
      </c>
      <c r="C11" s="101" t="inlineStr">
        <is>
          <t xml:space="preserve">Ko'tarmadi</t>
        </is>
      </c>
      <c r="D11" s="101" t="inlineStr">
        <is>
          <t xml:space="preserve">Кр-99033006-2</t>
        </is>
      </c>
      <c r="E11" s="101" t="inlineStr">
        <is>
          <t xml:space="preserve">AMIRQULOV AZIZBEK FARXOD O’G’LI</t>
        </is>
      </c>
      <c r="F11" s="101" t="inlineStr">
        <is>
          <t xml:space="preserve">998943206655 SMS O’ZI , 998930065166 SMS AKASI, 998940514494 SMS UKASI,</t>
        </is>
      </c>
      <c r="G11" s="101" t="inlineStr">
        <is>
          <t xml:space="preserve">BUXORO VILOYATI KORAKO’L TUMANI DARG’ALI MFY OQG’UN QISHLOG’I 22-UY</t>
        </is>
      </c>
      <c r="H11" s="102">
        <v>6.0</v>
      </c>
      <c r="I11" s="102">
        <v>2272195.58</v>
      </c>
      <c r="K11" s="101" t="inlineStr">
        <is>
          <t xml:space="preserve">KO'TARMADI | 460</t>
        </is>
      </c>
    </row>
    <row r="12">
      <c r="A12" s="101" t="inlineStr">
        <is>
          <t xml:space="preserve">БУХОРО ВИЛОЯТИ</t>
        </is>
      </c>
      <c r="B12" s="101" t="inlineStr">
        <is>
          <t xml:space="preserve">SUPER BRANCH</t>
        </is>
      </c>
      <c r="C12" s="101" t="inlineStr">
        <is>
          <t xml:space="preserve">Ko'tarmadi</t>
        </is>
      </c>
      <c r="D12" s="101" t="inlineStr">
        <is>
          <t xml:space="preserve">Кр-99063054-1</t>
        </is>
      </c>
      <c r="E12" s="101" t="inlineStr">
        <is>
          <t xml:space="preserve">JAXONOV RUSLANBEK VALIJON O’G’LI</t>
        </is>
      </c>
      <c r="F12" s="101" t="inlineStr">
        <is>
          <t xml:space="preserve">998978556508 OZI, 998887822252 DOSTI TO'LOVCHI , 998930055804 DOSTI, 998978611976 ONASI,</t>
        </is>
      </c>
      <c r="G12" s="101" t="inlineStr">
        <is>
          <t xml:space="preserve">BUXORO VILOYATI QORAKO'L TUMANI DURMAN MFY KATTA DURMAN</t>
        </is>
      </c>
      <c r="H12" s="102">
        <v>3.0</v>
      </c>
      <c r="I12" s="102">
        <v>1369060.77</v>
      </c>
      <c r="K12" s="101" t="inlineStr">
        <is>
          <t xml:space="preserve">KO'TARMADI | 1984</t>
        </is>
      </c>
    </row>
    <row r="13">
      <c r="A13" s="101" t="inlineStr">
        <is>
          <t xml:space="preserve">БУХОРО ВИЛОЯТИ</t>
        </is>
      </c>
      <c r="B13" s="101" t="inlineStr">
        <is>
          <t xml:space="preserve">SUPER BRANCH</t>
        </is>
      </c>
      <c r="C13" s="101" t="inlineStr">
        <is>
          <t xml:space="preserve">Ko'tarmadi</t>
        </is>
      </c>
      <c r="D13" s="101" t="inlineStr">
        <is>
          <t xml:space="preserve">Кр-99057614-1</t>
        </is>
      </c>
      <c r="E13" s="101" t="inlineStr">
        <is>
          <t xml:space="preserve">RASULOV XAKIM RO’ZIYEVICH</t>
        </is>
      </c>
      <c r="F13" s="101" t="inlineStr">
        <is>
          <t xml:space="preserve">998914413241 SMS UZI, 998943434898 SMS UGLI, 998914158714 SMS TURMUSH O'RTOG'I, 998919256826 ozi2,</t>
        </is>
      </c>
      <c r="G13" s="101" t="inlineStr">
        <is>
          <t xml:space="preserve">NAVOIY VILOYATI,KOMNIMEX TUMANI,YUKSALISH MFY,CHORDARA QISHLOG'I,37 UY</t>
        </is>
      </c>
      <c r="H13" s="102">
        <v>3.0</v>
      </c>
      <c r="I13" s="102">
        <v>1139235.81</v>
      </c>
      <c r="K13" s="101" t="inlineStr">
        <is>
          <t xml:space="preserve">KO'TARMADI | 1663</t>
        </is>
      </c>
    </row>
    <row r="14">
      <c r="A14" s="103" t="inlineStr">
        <is>
          <t xml:space="preserve">БУХОРО ВИЛОЯТИ</t>
        </is>
      </c>
      <c r="B14" s="103" t="inlineStr">
        <is>
          <t xml:space="preserve">Бухоро филиали</t>
        </is>
      </c>
      <c r="C14" s="103" t="inlineStr">
        <is>
          <t xml:space="preserve">Ko'tarmadi</t>
        </is>
      </c>
      <c r="D14" s="103" t="inlineStr">
        <is>
          <t xml:space="preserve">Кр-99031012-1</t>
        </is>
      </c>
      <c r="E14" s="103" t="inlineStr">
        <is>
          <t xml:space="preserve">FARMONOVA GULCHEHRA MUSLIDDINOVNA</t>
        </is>
      </c>
      <c r="F14" s="103" t="inlineStr">
        <is>
          <t xml:space="preserve">33-524-05-05  SMS O'ZI, 91-240-39-39  SMS ERI, 90-635-09-93  SMS ONASI, 50-884-90-24  SMS AKASI, 998914483333 SMS ELDOR , 998908702747 SMS O'ZI,</t>
        </is>
      </c>
      <c r="G14" s="103" t="inlineStr">
        <is>
          <t xml:space="preserve">BUXORO VILOYATI G'IJDUVON TUMANI HAVZAK MFY, QATAG'AN KO'CHASI, 36-UY</t>
        </is>
      </c>
      <c r="H14" s="104">
        <v>41.0</v>
      </c>
      <c r="I14" s="104">
        <v>26767664.58</v>
      </c>
      <c r="K14" s="103" t="inlineStr">
        <is>
          <t xml:space="preserve">QAYNONASI KO'TARDI MANGA SHARTNOMA TAWAB BERSELA MAN AYTAMAN DEYABDI   TO'LOV | 369</t>
        </is>
      </c>
    </row>
    <row r="15">
      <c r="A15" s="105" t="inlineStr">
        <is>
          <t xml:space="preserve">ЖИЗЗАХ ВИЛОЯТИ</t>
        </is>
      </c>
      <c r="B15" s="105" t="inlineStr">
        <is>
          <t xml:space="preserve">BOSH OFIS</t>
        </is>
      </c>
      <c r="C15" s="105" t="inlineStr">
        <is>
          <t xml:space="preserve">Ko'tarmadi</t>
        </is>
      </c>
      <c r="D15" s="105" t="inlineStr">
        <is>
          <t xml:space="preserve">Кр-99039915-1</t>
        </is>
      </c>
      <c r="E15" s="105" t="inlineStr">
        <is>
          <t xml:space="preserve">SAYDIAXMATOVA ZILOLA SHADMANOVNA</t>
        </is>
      </c>
      <c r="F15" s="105" t="inlineStr">
        <is>
          <t xml:space="preserve">998881298980 SMS OZII, 998941959566 SMS DADASI, 998995738980 SMS ERI, 998941939385 SMS ONASI, 998945719566 SMS TO’LOVCHI DADASI,</t>
        </is>
      </c>
      <c r="G15" s="105" t="inlineStr">
        <is>
          <t xml:space="preserve">JIZZAX VILOYATI PAXTAKOR TUMANI DO’STLIK MFY JABBOROV KUCHASI 18/3-UY / JIZZAX VILOYATI PAXTAKOR TUMANI CHAMANZOR MFY YANGI MASSIV KO'CHASI 20-UY</t>
        </is>
      </c>
      <c r="H15" s="106">
        <v>3.0</v>
      </c>
      <c r="I15" s="106">
        <v>3906815.07</v>
      </c>
    </row>
    <row r="16">
      <c r="A16" s="107" t="inlineStr">
        <is>
          <t xml:space="preserve">ЖИЗЗАХ ВИЛОЯТИ</t>
        </is>
      </c>
      <c r="B16" s="107" t="inlineStr">
        <is>
          <t xml:space="preserve">SUPER BRANCH</t>
        </is>
      </c>
      <c r="C16" s="107" t="inlineStr">
        <is>
          <t xml:space="preserve">Ko'tarmadi</t>
        </is>
      </c>
      <c r="D16" s="107" t="inlineStr">
        <is>
          <t xml:space="preserve">Кр-99034935-2</t>
        </is>
      </c>
      <c r="E16" s="107" t="inlineStr">
        <is>
          <t xml:space="preserve">ABDULLAYEVA SHAHNOZA USMANALIYEVNA</t>
        </is>
      </c>
      <c r="F16" s="107" t="inlineStr">
        <is>
          <t xml:space="preserve">998938563666 SMS O’ZI, 998991831234 SMS ERI, 998932954000 SMS SHOGIRDI, 998992987070 SMS HAMKASBI,</t>
        </is>
      </c>
      <c r="G16" s="107" t="inlineStr">
        <is>
          <t xml:space="preserve">JIZZAX VILOYATI BAXMAL TUMANI NOVQA MFY KURBULOQ  QISHLOG’I  27-UY </t>
        </is>
      </c>
      <c r="H16" s="108">
        <v>6.0</v>
      </c>
      <c r="I16" s="108">
        <v>13173602.48</v>
      </c>
    </row>
    <row r="17">
      <c r="A17" s="107" t="inlineStr">
        <is>
          <t xml:space="preserve">ЖИЗЗАХ ВИЛОЯТИ</t>
        </is>
      </c>
      <c r="B17" s="107" t="inlineStr">
        <is>
          <t xml:space="preserve">SUPER BRANCH</t>
        </is>
      </c>
      <c r="C17" s="107" t="inlineStr">
        <is>
          <t xml:space="preserve">Ko'tarmadi</t>
        </is>
      </c>
      <c r="D17" s="107" t="inlineStr">
        <is>
          <t xml:space="preserve">Кр-99040190-1</t>
        </is>
      </c>
      <c r="E17" s="107" t="inlineStr">
        <is>
          <t xml:space="preserve">XODJIMURATOV MAMARAXIM USKANOVICH</t>
        </is>
      </c>
      <c r="F17" s="107" t="inlineStr">
        <is>
          <t xml:space="preserve">998994798433 SMS OZI, 998992780316 SMS OZI NEW, 998773162199  SMS SINGLISI, 998990301519 SMS  QIZI , 998773479799 SMS TO’LOVCHI,</t>
        </is>
      </c>
      <c r="G17" s="107" t="inlineStr">
        <is>
          <t xml:space="preserve">JIZZAX VILOYATI ZOMIN TUMANI NIHOL MFY YANGI OVUL QISHLOG’I 70-UY </t>
        </is>
      </c>
      <c r="H17" s="108">
        <v>3.0</v>
      </c>
      <c r="I17" s="108">
        <v>5745754.5</v>
      </c>
    </row>
    <row r="18">
      <c r="A18" s="107" t="inlineStr">
        <is>
          <t xml:space="preserve">ЖИЗЗАХ ВИЛОЯТИ</t>
        </is>
      </c>
      <c r="B18" s="107" t="inlineStr">
        <is>
          <t xml:space="preserve">SUPER BRANCH</t>
        </is>
      </c>
      <c r="C18" s="107" t="inlineStr">
        <is>
          <t xml:space="preserve">Ko'tarmadi</t>
        </is>
      </c>
      <c r="D18" s="107" t="inlineStr">
        <is>
          <t xml:space="preserve">Кр-99039291-1</t>
        </is>
      </c>
      <c r="E18" s="107" t="inlineStr">
        <is>
          <t xml:space="preserve">ASHUROV AVAZ UCHKUNOVICH</t>
        </is>
      </c>
      <c r="F18" s="107" t="inlineStr">
        <is>
          <t xml:space="preserve">998935875040 SMS O’ZI, 998975223757 SMS AYOLI, 998971270108 SMS SINGLISI, 998880707901 SMS O'ZI ,</t>
        </is>
      </c>
      <c r="G18" s="107" t="inlineStr">
        <is>
          <t xml:space="preserve">JIZZAX VILOYATI FORISH TUMANI XONBANDI MFY XONBANDI SHAXARCHASI 452-UY </t>
        </is>
      </c>
      <c r="H18" s="108">
        <v>6.0</v>
      </c>
      <c r="I18" s="108">
        <v>4502799.12</v>
      </c>
    </row>
    <row r="19">
      <c r="A19" s="107" t="inlineStr">
        <is>
          <t xml:space="preserve">ЖИЗЗАХ ВИЛОЯТИ</t>
        </is>
      </c>
      <c r="B19" s="107" t="inlineStr">
        <is>
          <t xml:space="preserve">SUPER BRANCH</t>
        </is>
      </c>
      <c r="C19" s="107" t="inlineStr">
        <is>
          <t xml:space="preserve">Ko'tarmadi</t>
        </is>
      </c>
      <c r="D19" s="107" t="inlineStr">
        <is>
          <t xml:space="preserve">Кр-99040996-1</t>
        </is>
      </c>
      <c r="E19" s="107" t="inlineStr">
        <is>
          <t xml:space="preserve">BOBAQULOV JASUR INOMOVICH</t>
        </is>
      </c>
      <c r="F19" s="107" t="inlineStr">
        <is>
          <t xml:space="preserve">998959118222 SMS OZI, 998888481114 SMS AYOLI, 998956311666 SMS UY, 998915935501 SMS SINGLISI,</t>
        </is>
      </c>
      <c r="G19" s="107" t="inlineStr">
        <is>
          <t xml:space="preserve">JIZZAX VILOYATI SH.RASHIDOV TUMANI UCHTEPA MFY BESHQAYRAGOCH KUCHASI 168-UY </t>
        </is>
      </c>
      <c r="H19" s="108">
        <v>3.0</v>
      </c>
      <c r="I19" s="108">
        <v>2984934.31</v>
      </c>
    </row>
    <row r="20">
      <c r="A20" s="107" t="inlineStr">
        <is>
          <t xml:space="preserve">ЖИЗЗАХ ВИЛОЯТИ</t>
        </is>
      </c>
      <c r="B20" s="107" t="inlineStr">
        <is>
          <t xml:space="preserve">SUPER BRANCH</t>
        </is>
      </c>
      <c r="C20" s="107" t="inlineStr">
        <is>
          <t xml:space="preserve">Ko'tarmadi</t>
        </is>
      </c>
      <c r="D20" s="107" t="inlineStr">
        <is>
          <t xml:space="preserve">Кр-99039896-1</t>
        </is>
      </c>
      <c r="E20" s="107" t="inlineStr">
        <is>
          <t xml:space="preserve">UMMATOV JAVLON MAVLONOVICH</t>
        </is>
      </c>
      <c r="F20" s="107" t="inlineStr">
        <is>
          <t xml:space="preserve">998959172024 SMS OZI, 998957701676 SMS UKASI, 998957741676 SMS SINGLIASI, 998911956219 SMS DADASI, 998995247977 sms uzi mew, 998995247977 sms uzi new,</t>
        </is>
      </c>
      <c r="G20" s="107" t="inlineStr">
        <is>
          <t xml:space="preserve">JIZZAX VILOYATI SH.RASHIDOV TUMANI UCH TEPA MFY GUNCHA KUCHASI 97-UY </t>
        </is>
      </c>
      <c r="H20" s="108">
        <v>3.0</v>
      </c>
      <c r="I20" s="108">
        <v>2851933.04</v>
      </c>
    </row>
    <row r="21">
      <c r="A21" s="107" t="inlineStr">
        <is>
          <t xml:space="preserve">ЖИЗЗАХ ВИЛОЯТИ</t>
        </is>
      </c>
      <c r="B21" s="107" t="inlineStr">
        <is>
          <t xml:space="preserve">SUPER BRANCH</t>
        </is>
      </c>
      <c r="C21" s="107" t="inlineStr">
        <is>
          <t xml:space="preserve">Ko'tarmadi</t>
        </is>
      </c>
      <c r="D21" s="107" t="inlineStr">
        <is>
          <t xml:space="preserve">Кр-99060382-1</t>
        </is>
      </c>
      <c r="E21" s="107" t="inlineStr">
        <is>
          <t xml:space="preserve">XONIMKULOV XURSHID UMARKUL O’G’LI</t>
        </is>
      </c>
      <c r="F21" s="107" t="inlineStr">
        <is>
          <t xml:space="preserve">998991027333 узи, 998915900150 аели, 998911968898 шериги,</t>
        </is>
      </c>
      <c r="G21" s="107" t="inlineStr">
        <is>
          <t xml:space="preserve">JIZZAX VILOYATI JIZZAX TUMANI BUNYODKOR MFY LOLAZOR KUCHASI 1A-UY</t>
        </is>
      </c>
      <c r="H21" s="108">
        <v>3.0</v>
      </c>
      <c r="I21" s="108">
        <v>2831889.29</v>
      </c>
      <c r="K21" s="107" t="inlineStr">
        <is>
          <t xml:space="preserve">qisman tolov qildi qoganini 10gaca tolaydi oylik tuwsa</t>
        </is>
      </c>
    </row>
    <row r="22">
      <c r="A22" s="107" t="inlineStr">
        <is>
          <t xml:space="preserve">ЖИЗЗАХ ВИЛОЯТИ</t>
        </is>
      </c>
      <c r="B22" s="107" t="inlineStr">
        <is>
          <t xml:space="preserve">SUPER BRANCH</t>
        </is>
      </c>
      <c r="C22" s="107" t="inlineStr">
        <is>
          <t xml:space="preserve">Ko'tarmadi</t>
        </is>
      </c>
      <c r="D22" s="107" t="inlineStr">
        <is>
          <t xml:space="preserve">Кр-99039815-1</t>
        </is>
      </c>
      <c r="E22" s="107" t="inlineStr">
        <is>
          <t xml:space="preserve">MAMAYUSUPOVA MAHLIYO FAXRIDDIN QIZI</t>
        </is>
      </c>
      <c r="F22" s="107" t="inlineStr">
        <is>
          <t xml:space="preserve">998905381611 SMSAKASI, 998931008231 SMS AKASI 2, 998919406665 SMS UKASI, 998945792828 SMS ERI,</t>
        </is>
      </c>
      <c r="G22" s="107" t="inlineStr">
        <is>
          <t xml:space="preserve">JIZZAX VILOYATI G’ALLAOROL TUMANI BERUNIY MFY BERUNIY KUCHASI 54-UY</t>
        </is>
      </c>
      <c r="H22" s="108">
        <v>3.0</v>
      </c>
      <c r="I22" s="108">
        <v>2606254.81</v>
      </c>
    </row>
    <row r="23">
      <c r="A23" s="107" t="inlineStr">
        <is>
          <t xml:space="preserve">ЖИЗЗАХ ВИЛОЯТИ</t>
        </is>
      </c>
      <c r="B23" s="107" t="inlineStr">
        <is>
          <t xml:space="preserve">SUPER BRANCH</t>
        </is>
      </c>
      <c r="C23" s="107" t="inlineStr">
        <is>
          <t xml:space="preserve">Ko'tarmadi</t>
        </is>
      </c>
      <c r="D23" s="107" t="inlineStr">
        <is>
          <t xml:space="preserve">Кр-99039412-1</t>
        </is>
      </c>
      <c r="E23" s="107" t="inlineStr">
        <is>
          <t xml:space="preserve">NORQULOV SULTON ABDUSALOMOVICH</t>
        </is>
      </c>
      <c r="F23" s="107" t="inlineStr">
        <is>
          <t xml:space="preserve">998995290861 SMS OZI, 998881011263 SMS AYOLI, 998993392325 SMS SINGLISI, 998943499552 SMS KELINI,</t>
        </is>
      </c>
      <c r="G23" s="107" t="inlineStr">
        <is>
          <t xml:space="preserve">JIZZAX VILOYATI BAXMAL TUMANI FIDOKOR MFY  ALAMLI QISHLOG'I </t>
        </is>
      </c>
      <c r="H23" s="108">
        <v>1.0</v>
      </c>
      <c r="I23" s="108">
        <v>2168641.11</v>
      </c>
    </row>
    <row r="24">
      <c r="A24" s="107" t="inlineStr">
        <is>
          <t xml:space="preserve">ЖИЗЗАХ ВИЛОЯТИ</t>
        </is>
      </c>
      <c r="B24" s="107" t="inlineStr">
        <is>
          <t xml:space="preserve">SUPER BRANCH</t>
        </is>
      </c>
      <c r="C24" s="107" t="inlineStr">
        <is>
          <t xml:space="preserve">Ko'tarmadi</t>
        </is>
      </c>
      <c r="D24" s="107" t="inlineStr">
        <is>
          <t xml:space="preserve">Кр-99033705-2</t>
        </is>
      </c>
      <c r="E24" s="107" t="inlineStr">
        <is>
          <t xml:space="preserve">ABDIYEV IBRAIM RAXMONOVICH</t>
        </is>
      </c>
      <c r="F24" s="107" t="inlineStr">
        <is>
          <t xml:space="preserve">998937753867 SMS O’ZI, 998937723867 SMS AYOLI, 998931210076 SMS UKASI, 998948762276 SMS OVSINI,</t>
        </is>
      </c>
      <c r="G24" s="107" t="inlineStr">
        <is>
          <t xml:space="preserve">JIZZAX VILOYATI ZAFAROBOD TUMANI UZUN QFY MUSTAQILLIK KUCHASI 24-UY </t>
        </is>
      </c>
      <c r="H24" s="108">
        <v>3.0</v>
      </c>
      <c r="I24" s="108">
        <v>1739172.87</v>
      </c>
    </row>
    <row r="25">
      <c r="A25" s="107" t="inlineStr">
        <is>
          <t xml:space="preserve">ЖИЗЗАХ ВИЛОЯТИ</t>
        </is>
      </c>
      <c r="B25" s="107" t="inlineStr">
        <is>
          <t xml:space="preserve">SUPER BRANCH</t>
        </is>
      </c>
      <c r="C25" s="107" t="inlineStr">
        <is>
          <t xml:space="preserve">Ko'tarmadi</t>
        </is>
      </c>
      <c r="D25" s="107" t="inlineStr">
        <is>
          <t xml:space="preserve">Кр-99063888-2</t>
        </is>
      </c>
      <c r="E25" s="107" t="inlineStr">
        <is>
          <t xml:space="preserve">SULTONOV OTAJON KOMIL O’G’LI</t>
        </is>
      </c>
      <c r="F25" s="107" t="inlineStr">
        <is>
          <t xml:space="preserve">998700561007 SMS JIYANI, 998952124508 SMS UZI2, 998972930722 SMS UZI,</t>
        </is>
      </c>
      <c r="G25" s="107" t="inlineStr">
        <is>
          <t xml:space="preserve">Джизакская область, Джизак г., Маданият, Бауман, дом 27, кв. 7</t>
        </is>
      </c>
      <c r="H25" s="108">
        <v>3.0</v>
      </c>
      <c r="I25" s="108">
        <v>1701597.89</v>
      </c>
      <c r="K25" s="107" t="inlineStr">
        <is>
          <t xml:space="preserve">ucgan hamma nomerr</t>
        </is>
      </c>
    </row>
    <row r="26">
      <c r="A26" s="107" t="inlineStr">
        <is>
          <t xml:space="preserve">ЖИЗЗАХ ВИЛОЯТИ</t>
        </is>
      </c>
      <c r="B26" s="107" t="inlineStr">
        <is>
          <t xml:space="preserve">SUPER BRANCH</t>
        </is>
      </c>
      <c r="C26" s="107" t="inlineStr">
        <is>
          <t xml:space="preserve">Ko'tarmadi</t>
        </is>
      </c>
      <c r="D26" s="107" t="inlineStr">
        <is>
          <t xml:space="preserve">Кр-99039157-2</t>
        </is>
      </c>
      <c r="E26" s="107" t="inlineStr">
        <is>
          <t xml:space="preserve">NORMATOV NORMUROD RAXMONOVICH</t>
        </is>
      </c>
      <c r="F26" s="107" t="inlineStr">
        <is>
          <t xml:space="preserve">998886454883 SMS OZI, 998945843236 SMS AKASI, 998971390201 SMS SIN, 998882152232 SMS KATTA SINI,</t>
        </is>
      </c>
      <c r="G26" s="107" t="inlineStr">
        <is>
          <t xml:space="preserve">JIZZAX VILOYATI JIZZAX TUMANI OLMACHI MFY ADOLAT KUCHASI </t>
        </is>
      </c>
      <c r="H26" s="108">
        <v>3.0</v>
      </c>
      <c r="I26" s="108">
        <v>1641020.25</v>
      </c>
      <c r="K26" s="107" t="inlineStr">
        <is>
          <t xml:space="preserve">hamma nomer ucgan</t>
        </is>
      </c>
    </row>
    <row r="27">
      <c r="A27" s="107" t="inlineStr">
        <is>
          <t xml:space="preserve">ЖИЗЗАХ ВИЛОЯТИ</t>
        </is>
      </c>
      <c r="B27" s="107" t="inlineStr">
        <is>
          <t xml:space="preserve">SUPER BRANCH</t>
        </is>
      </c>
      <c r="C27" s="107" t="inlineStr">
        <is>
          <t xml:space="preserve">Ko'tarmadi</t>
        </is>
      </c>
      <c r="D27" s="107" t="inlineStr">
        <is>
          <t xml:space="preserve">Кр-99052917-1</t>
        </is>
      </c>
      <c r="E27" s="107" t="inlineStr">
        <is>
          <t xml:space="preserve">ABDUALIMOV OZODJON ABDURAXIM O’G’LI</t>
        </is>
      </c>
      <c r="F27" s="107" t="inlineStr">
        <is>
          <t xml:space="preserve">998911972123 SMS OZI, 998915681200 SMS AYOLI, 999156813002 SMS OZI 2,</t>
        </is>
      </c>
      <c r="G27" s="107" t="inlineStr">
        <is>
          <t xml:space="preserve">JIZZAX VILOYATI JIZZAX SHAHRI OQQURG'ONLIK MAHALLASI YU SALIMOV KUCHASI 70-UY</t>
        </is>
      </c>
      <c r="H27" s="108">
        <v>3.0</v>
      </c>
      <c r="I27" s="108">
        <v>1440479.64</v>
      </c>
      <c r="K27" s="107" t="inlineStr">
        <is>
          <t xml:space="preserve">ucgan</t>
        </is>
      </c>
    </row>
    <row r="28">
      <c r="A28" s="107" t="inlineStr">
        <is>
          <t xml:space="preserve">ЖИЗЗАХ ВИЛОЯТИ</t>
        </is>
      </c>
      <c r="B28" s="107" t="inlineStr">
        <is>
          <t xml:space="preserve">SUPER BRANCH</t>
        </is>
      </c>
      <c r="C28" s="107" t="inlineStr">
        <is>
          <t xml:space="preserve">Ko'tarmadi</t>
        </is>
      </c>
      <c r="D28" s="107" t="inlineStr">
        <is>
          <t xml:space="preserve">Кр-99046629-2</t>
        </is>
      </c>
      <c r="E28" s="107" t="inlineStr">
        <is>
          <t xml:space="preserve">UMAROV VAXOB VALIYEVICH</t>
        </is>
      </c>
      <c r="F28" s="107" t="inlineStr">
        <is>
          <t xml:space="preserve">+998904908890 SMS, 998940358890 SMS, 998999968799 SMS, 998993662364 SMS,</t>
        </is>
      </c>
      <c r="G28" s="107" t="inlineStr">
        <is>
          <t xml:space="preserve">Джизакская область, Джизак г., Хамзаобод, Ойбек, дом 23</t>
        </is>
      </c>
      <c r="H28" s="108">
        <v>3.0</v>
      </c>
      <c r="I28" s="108">
        <v>1397404.99</v>
      </c>
      <c r="K28" s="107" t="inlineStr">
        <is>
          <t xml:space="preserve">ertaga tolaydi</t>
        </is>
      </c>
    </row>
    <row r="29">
      <c r="A29" s="107" t="inlineStr">
        <is>
          <t xml:space="preserve">ЖИЗЗАХ ВИЛОЯТИ</t>
        </is>
      </c>
      <c r="B29" s="107" t="inlineStr">
        <is>
          <t xml:space="preserve">SUPER BRANCH</t>
        </is>
      </c>
      <c r="C29" s="107" t="inlineStr">
        <is>
          <t xml:space="preserve">Ko'tarmadi</t>
        </is>
      </c>
      <c r="D29" s="107" t="inlineStr">
        <is>
          <t xml:space="preserve">Кр-99029361-2</t>
        </is>
      </c>
      <c r="E29" s="107" t="inlineStr">
        <is>
          <t xml:space="preserve">ERGASHEV ERALI RAXMON O’G’LI</t>
        </is>
      </c>
      <c r="F29" s="107" t="inlineStr">
        <is>
          <t xml:space="preserve">88-645-03-15  SMS UZI, 97-707-57-18  SMS AKASI, 97-911-72-80  SMS DADASI, 998978987280 SMS ONASI, 998770525718 SMS ukasi  tolovchi ,</t>
        </is>
      </c>
      <c r="G29" s="107" t="inlineStr">
        <is>
          <t xml:space="preserve">JIZZAX VILOYATI BAXMAL TUMANI MADANIYAT MFY UZUN BULOQ QYF </t>
        </is>
      </c>
      <c r="H29" s="108">
        <v>3.0</v>
      </c>
      <c r="I29" s="108">
        <v>1369755.3</v>
      </c>
    </row>
    <row r="30">
      <c r="A30" s="107" t="inlineStr">
        <is>
          <t xml:space="preserve">ЖИЗЗАХ ВИЛОЯТИ</t>
        </is>
      </c>
      <c r="B30" s="107" t="inlineStr">
        <is>
          <t xml:space="preserve">SUPER BRANCH</t>
        </is>
      </c>
      <c r="C30" s="107" t="inlineStr">
        <is>
          <t xml:space="preserve">Ko'tarmadi</t>
        </is>
      </c>
      <c r="D30" s="107" t="inlineStr">
        <is>
          <t xml:space="preserve">Кр-99039305-1</t>
        </is>
      </c>
      <c r="E30" s="107" t="inlineStr">
        <is>
          <t xml:space="preserve">G’ANIYEV LAZIZ G’ULOM O’G’LI</t>
        </is>
      </c>
      <c r="F30" s="107" t="inlineStr">
        <is>
          <t xml:space="preserve">998952401313 SMS OZI, 998975682026 SMS ONASI, 998915682026 SMS DADASI, 998950895353 SMS UKASI,</t>
        </is>
      </c>
      <c r="G30" s="107" t="inlineStr">
        <is>
          <t xml:space="preserve">JIZZAX VILOYATI SH.RASHIDOV TUMANI SOVUNGARLIK MFY MAROQAND KUCHASI 52-UY </t>
        </is>
      </c>
      <c r="H30" s="108">
        <v>6.0</v>
      </c>
      <c r="I30" s="108">
        <v>1325931.87</v>
      </c>
    </row>
    <row r="31">
      <c r="A31" s="107" t="inlineStr">
        <is>
          <t xml:space="preserve">ЖИЗЗАХ ВИЛОЯТИ</t>
        </is>
      </c>
      <c r="B31" s="107" t="inlineStr">
        <is>
          <t xml:space="preserve">SUPER BRANCH</t>
        </is>
      </c>
      <c r="C31" s="107" t="inlineStr">
        <is>
          <t xml:space="preserve">Ko'tarmadi</t>
        </is>
      </c>
      <c r="D31" s="107" t="inlineStr">
        <is>
          <t xml:space="preserve">Кр-99057414-1</t>
        </is>
      </c>
      <c r="E31" s="107" t="inlineStr">
        <is>
          <t xml:space="preserve">KARSHIBAYEV SHUXRAT URALOVICH</t>
        </is>
      </c>
      <c r="F31" s="107" t="inlineStr">
        <is>
          <t xml:space="preserve">998991231880 SMS UZI, 998958914146 SMS UZI 2, 998938265151 SMS AKASI,</t>
        </is>
      </c>
      <c r="G31" s="107" t="inlineStr">
        <is>
          <t xml:space="preserve">JIZZAX VILOYATI ARNASOY TUMANI BO'STON MFY A.QARSHIYEV KUCHASI 30/2-UY</t>
        </is>
      </c>
      <c r="H31" s="108">
        <v>3.0</v>
      </c>
      <c r="I31" s="108">
        <v>593350.54</v>
      </c>
    </row>
    <row r="32">
      <c r="A32" s="109" t="inlineStr">
        <is>
          <t xml:space="preserve">ЖИЗЗАХ ВИЛОЯТИ</t>
        </is>
      </c>
      <c r="B32" s="109" t="inlineStr">
        <is>
          <t xml:space="preserve">Жиззах филиали</t>
        </is>
      </c>
      <c r="C32" s="109" t="inlineStr">
        <is>
          <t xml:space="preserve">Ko'tarmadi</t>
        </is>
      </c>
      <c r="D32" s="109" t="inlineStr">
        <is>
          <t xml:space="preserve">Кр-99062963-2</t>
        </is>
      </c>
      <c r="E32" s="109" t="inlineStr">
        <is>
          <t xml:space="preserve">RAJABOV BAXODIR BOZARBOYEVICH</t>
        </is>
      </c>
      <c r="F32" s="109" t="inlineStr">
        <is>
          <t xml:space="preserve">998941996644 AYOLI,</t>
        </is>
      </c>
      <c r="G32" s="109" t="inlineStr">
        <is>
          <t xml:space="preserve">Саройлик МФЙ, Эркинлик кучаси, 45-уй</t>
        </is>
      </c>
      <c r="H32" s="110">
        <v>3.0</v>
      </c>
      <c r="I32" s="110">
        <v>12443921.99</v>
      </c>
    </row>
    <row r="33">
      <c r="A33" s="109" t="inlineStr">
        <is>
          <t xml:space="preserve">ЖИЗЗАХ ВИЛОЯТИ</t>
        </is>
      </c>
      <c r="B33" s="109" t="inlineStr">
        <is>
          <t xml:space="preserve">Жиззах филиали</t>
        </is>
      </c>
      <c r="C33" s="109" t="inlineStr">
        <is>
          <t xml:space="preserve">Ko'tarmadi</t>
        </is>
      </c>
      <c r="D33" s="109" t="inlineStr">
        <is>
          <t xml:space="preserve">Кр-99063460-1</t>
        </is>
      </c>
      <c r="E33" s="109" t="inlineStr">
        <is>
          <t xml:space="preserve">AXMEDOV ALISHER KAMALOVICH</t>
        </is>
      </c>
      <c r="F33" s="109" t="inlineStr">
        <is>
          <t xml:space="preserve">998991041481 AYOLI, 998993573881 UKASI,</t>
        </is>
      </c>
      <c r="G33" s="109" t="inlineStr">
        <is>
          <t xml:space="preserve">ШИРИН ҚФЙ, ШИРИН ҚФЙ, ҚУДУҚЧА ҚИШЛОҒИ,  uy:Р.С</t>
        </is>
      </c>
      <c r="H33" s="110">
        <v>3.0</v>
      </c>
      <c r="I33" s="110">
        <v>8492612.17</v>
      </c>
      <c r="K33" s="109" t="inlineStr">
        <is>
          <t xml:space="preserve">ucrilgan</t>
        </is>
      </c>
    </row>
    <row r="34">
      <c r="A34" s="109" t="inlineStr">
        <is>
          <t xml:space="preserve">ЖИЗЗАХ ВИЛОЯТИ</t>
        </is>
      </c>
      <c r="B34" s="109" t="inlineStr">
        <is>
          <t xml:space="preserve">Жиззах филиали</t>
        </is>
      </c>
      <c r="C34" s="109" t="inlineStr">
        <is>
          <t xml:space="preserve">Ko'tarmadi</t>
        </is>
      </c>
      <c r="D34" s="109" t="inlineStr">
        <is>
          <t xml:space="preserve">Кр-99052135-1</t>
        </is>
      </c>
      <c r="E34" s="109" t="inlineStr">
        <is>
          <t xml:space="preserve">TURAKULOV SIROJIDDIN SUNNAT O’G’LI</t>
        </is>
      </c>
      <c r="F34" s="109" t="inlineStr">
        <is>
          <t xml:space="preserve">998919421111 UY, 998993447700 sms new uz,</t>
        </is>
      </c>
      <c r="G34" s="109" t="inlineStr">
        <is>
          <t xml:space="preserve">ЗИЛОЛ, ЗИЛОЛ, ЯНГИОБОД,  uy:30</t>
        </is>
      </c>
      <c r="H34" s="110">
        <v>3.0</v>
      </c>
      <c r="I34" s="110">
        <v>6342586.49</v>
      </c>
    </row>
    <row r="35">
      <c r="A35" s="109" t="inlineStr">
        <is>
          <t xml:space="preserve">ЖИЗЗАХ ВИЛОЯТИ</t>
        </is>
      </c>
      <c r="B35" s="109" t="inlineStr">
        <is>
          <t xml:space="preserve">Жиззах филиали</t>
        </is>
      </c>
      <c r="C35" s="109" t="inlineStr">
        <is>
          <t xml:space="preserve">Ko'tarmadi</t>
        </is>
      </c>
      <c r="D35" s="109" t="inlineStr">
        <is>
          <t xml:space="preserve">Кр-99063392-1</t>
        </is>
      </c>
      <c r="E35" s="109" t="inlineStr">
        <is>
          <t xml:space="preserve">BERDIYAROV TO’RAMUROD XUDOYKULOVICH</t>
        </is>
      </c>
      <c r="F35" s="109" t="inlineStr">
        <is>
          <t xml:space="preserve">998501568064 UZI, 998939931883 AYOLI, 998943438583 ONAS,</t>
        </is>
      </c>
      <c r="G35" s="109" t="inlineStr">
        <is>
          <t xml:space="preserve">БОГИШАМОЛ КФЙ, БОГИШАМОЛ КФЙ, МУГОЛ КИШЛОГИ,  uy:РАКАМСИЗ</t>
        </is>
      </c>
      <c r="H35" s="110">
        <v>3.0</v>
      </c>
      <c r="I35" s="110">
        <v>6257551.56</v>
      </c>
    </row>
    <row r="36">
      <c r="A36" s="109" t="inlineStr">
        <is>
          <t xml:space="preserve">ЖИЗЗАХ ВИЛОЯТИ</t>
        </is>
      </c>
      <c r="B36" s="109" t="inlineStr">
        <is>
          <t xml:space="preserve">Жиззах филиали</t>
        </is>
      </c>
      <c r="C36" s="109" t="inlineStr">
        <is>
          <t xml:space="preserve">Ko'tarmadi</t>
        </is>
      </c>
      <c r="D36" s="109" t="inlineStr">
        <is>
          <t xml:space="preserve">Кр-99038849-3</t>
        </is>
      </c>
      <c r="E36" s="109" t="inlineStr">
        <is>
          <t xml:space="preserve">XASANOV INOMJON USMONOVICH</t>
        </is>
      </c>
      <c r="F36" s="109" t="inlineStr">
        <is>
          <t xml:space="preserve">998977931100 SMS SINGLISI, 998916262046 SMS OZI, 998976831100 SMS SINGLISI 2, 998915665348 SMS AYOLI,</t>
        </is>
      </c>
      <c r="G36" s="109" t="inlineStr">
        <is>
          <t xml:space="preserve">ДУСТЛИК, ДУСТЛИК, Э.АШИРМАТОВ,  uy:Р/С</t>
        </is>
      </c>
      <c r="H36" s="110">
        <v>3.0</v>
      </c>
      <c r="I36" s="110">
        <v>4956280.86</v>
      </c>
    </row>
    <row r="37">
      <c r="A37" s="109" t="inlineStr">
        <is>
          <t xml:space="preserve">ЖИЗЗАХ ВИЛОЯТИ</t>
        </is>
      </c>
      <c r="B37" s="109" t="inlineStr">
        <is>
          <t xml:space="preserve">Жиззах филиали</t>
        </is>
      </c>
      <c r="C37" s="109" t="inlineStr">
        <is>
          <t xml:space="preserve">Ko'tarmadi</t>
        </is>
      </c>
      <c r="D37" s="109" t="inlineStr">
        <is>
          <t xml:space="preserve">Кр-99063375-1</t>
        </is>
      </c>
      <c r="E37" s="109" t="inlineStr">
        <is>
          <t xml:space="preserve">AG’LAMOV AZIMXON AKRAM O’G’LI</t>
        </is>
      </c>
      <c r="F37" s="109" t="inlineStr">
        <is>
          <t xml:space="preserve">998881511212 AKASI, 998915981212 AKASI, 998970105070 UZI,</t>
        </is>
      </c>
      <c r="G37" s="109" t="inlineStr">
        <is>
          <t xml:space="preserve">УЧАРИК МФЙ, ХАМЗАОБОД, ФИРДАВСИЙ,  uy:9</t>
        </is>
      </c>
      <c r="H37" s="110">
        <v>3.0</v>
      </c>
      <c r="I37" s="110">
        <v>4489348.87</v>
      </c>
    </row>
    <row r="38">
      <c r="A38" s="109" t="inlineStr">
        <is>
          <t xml:space="preserve">ЖИЗЗАХ ВИЛОЯТИ</t>
        </is>
      </c>
      <c r="B38" s="109" t="inlineStr">
        <is>
          <t xml:space="preserve">Жиззах филиали</t>
        </is>
      </c>
      <c r="C38" s="109" t="inlineStr">
        <is>
          <t xml:space="preserve">Ko'tarmadi</t>
        </is>
      </c>
      <c r="D38" s="109" t="inlineStr">
        <is>
          <t xml:space="preserve">Кр-99042221-2</t>
        </is>
      </c>
      <c r="E38" s="109" t="inlineStr">
        <is>
          <t xml:space="preserve">MAMATQOSIMOV DOSTONJON YUSUF O’G’LI</t>
        </is>
      </c>
      <c r="F38" s="109" t="inlineStr">
        <is>
          <t xml:space="preserve">+998919420024 SMS, 998911963666 SMS, 998919430024 SMS,</t>
        </is>
      </c>
      <c r="G38" s="109" t="inlineStr">
        <is>
          <t xml:space="preserve">JIZZAX VILOYATI JIZZAX SHAHRI ULUG’BEK MFY SHIRIN KUCHASI 16/2-UY</t>
        </is>
      </c>
      <c r="H38" s="110">
        <v>3.0</v>
      </c>
      <c r="I38" s="110">
        <v>4388296.0</v>
      </c>
    </row>
    <row r="39">
      <c r="A39" s="109" t="inlineStr">
        <is>
          <t xml:space="preserve">ЖИЗЗАХ ВИЛОЯТИ</t>
        </is>
      </c>
      <c r="B39" s="109" t="inlineStr">
        <is>
          <t xml:space="preserve">Жиззах филиали</t>
        </is>
      </c>
      <c r="C39" s="109" t="inlineStr">
        <is>
          <t xml:space="preserve">Ko'tarmadi</t>
        </is>
      </c>
      <c r="D39" s="109" t="inlineStr">
        <is>
          <t xml:space="preserve">Кр-99044129-2</t>
        </is>
      </c>
      <c r="E39" s="109" t="inlineStr">
        <is>
          <t xml:space="preserve">ANORBOYEV RABBIM QURBONOVICH</t>
        </is>
      </c>
      <c r="F39" s="109" t="inlineStr">
        <is>
          <t xml:space="preserve">+998911993133 SMS, 998915963134 SMS, 998918038686 SMS,</t>
        </is>
      </c>
      <c r="G39" s="109" t="inlineStr">
        <is>
          <t xml:space="preserve">JIZZAX VILOYATI JIZZAX SHAHRI ITTIFOQ MFY ITTIFOQ KUCHASI 36/30 - UY</t>
        </is>
      </c>
      <c r="H39" s="110">
        <v>3.0</v>
      </c>
      <c r="I39" s="110">
        <v>3930709.0</v>
      </c>
    </row>
    <row r="40">
      <c r="A40" s="109" t="inlineStr">
        <is>
          <t xml:space="preserve">ЖИЗЗАХ ВИЛОЯТИ</t>
        </is>
      </c>
      <c r="B40" s="109" t="inlineStr">
        <is>
          <t xml:space="preserve">Жиззах филиали</t>
        </is>
      </c>
      <c r="C40" s="109" t="inlineStr">
        <is>
          <t xml:space="preserve">Ko'tarmadi</t>
        </is>
      </c>
      <c r="D40" s="109" t="inlineStr">
        <is>
          <t xml:space="preserve">Кр-99038849-2</t>
        </is>
      </c>
      <c r="E40" s="109" t="inlineStr">
        <is>
          <t xml:space="preserve">XASANOV INOMJON USMONOVICH</t>
        </is>
      </c>
      <c r="F40" s="109" t="inlineStr">
        <is>
          <t xml:space="preserve">998977931100 SMS SINGLISI, 998916262046 SMS OZI, 998976831100 SMS SINGLISI 2, 998915665348 SMS AYOLI,</t>
        </is>
      </c>
      <c r="G40" s="109" t="inlineStr">
        <is>
          <t xml:space="preserve">ДУСТЛИК, ДУСТЛИК, Э.АШИРМАТОВ,  uy:Р/С</t>
        </is>
      </c>
      <c r="H40" s="110">
        <v>3.0</v>
      </c>
      <c r="I40" s="110">
        <v>3632073.88</v>
      </c>
    </row>
    <row r="41">
      <c r="A41" s="109" t="inlineStr">
        <is>
          <t xml:space="preserve">ЖИЗЗАХ ВИЛОЯТИ</t>
        </is>
      </c>
      <c r="B41" s="109" t="inlineStr">
        <is>
          <t xml:space="preserve">Жиззах филиали</t>
        </is>
      </c>
      <c r="C41" s="109" t="inlineStr">
        <is>
          <t xml:space="preserve">Ko'tarmadi</t>
        </is>
      </c>
      <c r="D41" s="109" t="inlineStr">
        <is>
          <t xml:space="preserve">Кр-99063845-1</t>
        </is>
      </c>
      <c r="E41" s="109" t="inlineStr">
        <is>
          <t xml:space="preserve">ISMAILOV O’KTAM MANSUROVICH</t>
        </is>
      </c>
      <c r="F41" s="109" t="inlineStr">
        <is>
          <t xml:space="preserve">998958900049 UG’LI, 998991435960 UZI, 998996254284 ONASI,</t>
        </is>
      </c>
      <c r="G41" s="109" t="inlineStr">
        <is>
          <t xml:space="preserve">КОРАОБДОЛ ҚФЙ, КОРАОБДОЛ ҚФЙ, ШОХ УСМОН КИШЛОГИ,  uy:РАКАМСИЗ</t>
        </is>
      </c>
      <c r="H41" s="110">
        <v>3.0</v>
      </c>
      <c r="I41" s="110">
        <v>2786182.52</v>
      </c>
    </row>
    <row r="42">
      <c r="A42" s="109" t="inlineStr">
        <is>
          <t xml:space="preserve">ЖИЗЗАХ ВИЛОЯТИ</t>
        </is>
      </c>
      <c r="B42" s="109" t="inlineStr">
        <is>
          <t xml:space="preserve">Жиззах филиали</t>
        </is>
      </c>
      <c r="C42" s="109" t="inlineStr">
        <is>
          <t xml:space="preserve">Ko'tarmadi</t>
        </is>
      </c>
      <c r="D42" s="109" t="inlineStr">
        <is>
          <t xml:space="preserve">Кр-99041692-1</t>
        </is>
      </c>
      <c r="E42" s="109" t="inlineStr">
        <is>
          <t xml:space="preserve">XAYDAROVA MUHABBAT KAMOL QIZI</t>
        </is>
      </c>
      <c r="F42" s="109" t="inlineStr">
        <is>
          <t xml:space="preserve">+998871055002 SMS OZI, 998879530070 SMS AYOLI, 998918910095 SMS AKASI, 998918910095 SMS UKASI,</t>
        </is>
      </c>
      <c r="G42" s="109" t="inlineStr">
        <is>
          <t xml:space="preserve">JIZZAX VILOYATI JIZZAX TUMANI QANGLI MFY FAROVON KUCHASI 36-UY</t>
        </is>
      </c>
      <c r="H42" s="110">
        <v>3.0</v>
      </c>
      <c r="I42" s="110">
        <v>2390875.73</v>
      </c>
    </row>
    <row r="43">
      <c r="A43" s="109" t="inlineStr">
        <is>
          <t xml:space="preserve">ЖИЗЗАХ ВИЛОЯТИ</t>
        </is>
      </c>
      <c r="B43" s="109" t="inlineStr">
        <is>
          <t xml:space="preserve">Жиззах филиали</t>
        </is>
      </c>
      <c r="C43" s="109" t="inlineStr">
        <is>
          <t xml:space="preserve">Ko'tarmadi</t>
        </is>
      </c>
      <c r="D43" s="109" t="inlineStr">
        <is>
          <t xml:space="preserve">Кр-99046629-1</t>
        </is>
      </c>
      <c r="E43" s="109" t="inlineStr">
        <is>
          <t xml:space="preserve">UMAROV VAXOB VALIYEVICH</t>
        </is>
      </c>
      <c r="F43" s="109" t="inlineStr">
        <is>
          <t xml:space="preserve">+998904908890 SMS, 998940358890 SMS, 998999968799 SMS, 998993662364 SMS,</t>
        </is>
      </c>
      <c r="G43" s="109" t="inlineStr">
        <is>
          <t xml:space="preserve">Джизакская область, Джизак г., Хамзаобод, Ойбек, дом 23</t>
        </is>
      </c>
      <c r="H43" s="110">
        <v>3.0</v>
      </c>
      <c r="I43" s="110">
        <v>2339566.57</v>
      </c>
      <c r="K43" s="109" t="inlineStr">
        <is>
          <t xml:space="preserve">ertaga tolaydi</t>
        </is>
      </c>
    </row>
    <row r="44">
      <c r="A44" s="109" t="inlineStr">
        <is>
          <t xml:space="preserve">ЖИЗЗАХ ВИЛОЯТИ</t>
        </is>
      </c>
      <c r="B44" s="109" t="inlineStr">
        <is>
          <t xml:space="preserve">Жиззах филиали</t>
        </is>
      </c>
      <c r="C44" s="109" t="inlineStr">
        <is>
          <t xml:space="preserve">Ko'tarmadi</t>
        </is>
      </c>
      <c r="D44" s="109" t="inlineStr">
        <is>
          <t xml:space="preserve">Кр-99038618-4</t>
        </is>
      </c>
      <c r="E44" s="109" t="inlineStr">
        <is>
          <t xml:space="preserve">QO’SHBOQOV FAXRIDDIN SHAVKAT O’G’LI</t>
        </is>
      </c>
      <c r="F44" s="109" t="inlineStr">
        <is>
          <t xml:space="preserve">998902961330 SMS OZI, 998995573434 SMS OZI 2, 998902653331 SMS AYOLI, 998995504525 SMS AKASI, 998882221330 UZI, +998882221330 UZI,</t>
        </is>
      </c>
      <c r="G44" s="109" t="inlineStr">
        <is>
          <t xml:space="preserve">JIZZAX VILOYATI SH.RASHIDOV TUMANI OLMACHI MFY BOGBON KUCHASI 111-UY</t>
        </is>
      </c>
      <c r="H44" s="110">
        <v>3.0</v>
      </c>
      <c r="I44" s="110">
        <v>2210649.35</v>
      </c>
    </row>
    <row r="45">
      <c r="A45" s="109" t="inlineStr">
        <is>
          <t xml:space="preserve">ЖИЗЗАХ ВИЛОЯТИ</t>
        </is>
      </c>
      <c r="B45" s="109" t="inlineStr">
        <is>
          <t xml:space="preserve">Жиззах филиали</t>
        </is>
      </c>
      <c r="C45" s="109" t="inlineStr">
        <is>
          <t xml:space="preserve">Ko'tarmadi</t>
        </is>
      </c>
      <c r="D45" s="109" t="inlineStr">
        <is>
          <t xml:space="preserve">Кр-99044722-1</t>
        </is>
      </c>
      <c r="E45" s="109" t="inlineStr">
        <is>
          <t xml:space="preserve">BERDIYEVA GULNORA KENJAYEVNA</t>
        </is>
      </c>
      <c r="F45" s="109" t="inlineStr">
        <is>
          <t xml:space="preserve">+998931257179 SMS, 998932347179 SMS, 998946894222 SMS Nomer xato,</t>
        </is>
      </c>
      <c r="G45" s="109" t="inlineStr">
        <is>
          <t xml:space="preserve">JIZZAX VILOYATI ARNASOY TUMANI G’OFUR G’ULOM MFY G’OFUR G’ULOM KUCHASI 15/1-UY</t>
        </is>
      </c>
      <c r="H45" s="110">
        <v>3.0</v>
      </c>
      <c r="I45" s="110">
        <v>1874121.64</v>
      </c>
    </row>
    <row r="46">
      <c r="A46" s="109" t="inlineStr">
        <is>
          <t xml:space="preserve">ЖИЗЗАХ ВИЛОЯТИ</t>
        </is>
      </c>
      <c r="B46" s="109" t="inlineStr">
        <is>
          <t xml:space="preserve">Жиззах филиали</t>
        </is>
      </c>
      <c r="C46" s="109" t="inlineStr">
        <is>
          <t xml:space="preserve">Ko'tarmadi</t>
        </is>
      </c>
      <c r="D46" s="109" t="inlineStr">
        <is>
          <t xml:space="preserve">Кр-99045574-1</t>
        </is>
      </c>
      <c r="E46" s="109" t="inlineStr">
        <is>
          <t xml:space="preserve">CHORIYEV ANVAR SHODI O’G’LI</t>
        </is>
      </c>
      <c r="F46" s="109" t="inlineStr">
        <is>
          <t xml:space="preserve">+998979349212 SMS, 998937710271 SMS, 998993009308 SMS,</t>
        </is>
      </c>
      <c r="G46" s="109" t="inlineStr">
        <is>
          <t xml:space="preserve">JIZZAX VILOYATI JIZZAX SHAHRI OLMAZOR MFY OLMAZOR KUCHASI 30/1-UY</t>
        </is>
      </c>
      <c r="H46" s="110">
        <v>6.0</v>
      </c>
      <c r="I46" s="110">
        <v>1763802.37</v>
      </c>
    </row>
    <row r="47">
      <c r="A47" s="109" t="inlineStr">
        <is>
          <t xml:space="preserve">ЖИЗЗАХ ВИЛОЯТИ</t>
        </is>
      </c>
      <c r="B47" s="109" t="inlineStr">
        <is>
          <t xml:space="preserve">Жиззах филиали</t>
        </is>
      </c>
      <c r="C47" s="109" t="inlineStr">
        <is>
          <t xml:space="preserve">Ko'tarmadi</t>
        </is>
      </c>
      <c r="D47" s="109" t="inlineStr">
        <is>
          <t xml:space="preserve">Кр-99031804-2</t>
        </is>
      </c>
      <c r="E47" s="109" t="inlineStr">
        <is>
          <t xml:space="preserve">USMANOV GAYRAT IMAMOVICH</t>
        </is>
      </c>
      <c r="F47" s="109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47" s="109" t="inlineStr">
        <is>
          <t xml:space="preserve">JIZZAX VILOYATI SH.RASHIDOV TUMANI QO’SHBARMOQ QFY UCHARIQ MAHALLASI ROHAT KUCHASI 15-UY</t>
        </is>
      </c>
      <c r="H47" s="110">
        <v>3.0</v>
      </c>
      <c r="I47" s="110">
        <v>1591321.45</v>
      </c>
      <c r="K47" s="109" t="inlineStr">
        <is>
          <t xml:space="preserve">8008 tolovci</t>
        </is>
      </c>
    </row>
    <row r="48">
      <c r="A48" s="109" t="inlineStr">
        <is>
          <t xml:space="preserve">ЖИЗЗАХ ВИЛОЯТИ</t>
        </is>
      </c>
      <c r="B48" s="109" t="inlineStr">
        <is>
          <t xml:space="preserve">Жиззах филиали</t>
        </is>
      </c>
      <c r="C48" s="109" t="inlineStr">
        <is>
          <t xml:space="preserve">Ko'tarmadi</t>
        </is>
      </c>
      <c r="D48" s="109" t="inlineStr">
        <is>
          <t xml:space="preserve">Кр-99046629-4</t>
        </is>
      </c>
      <c r="E48" s="109" t="inlineStr">
        <is>
          <t xml:space="preserve">UMAROV VAXOB VALIYEVICH</t>
        </is>
      </c>
      <c r="F48" s="109" t="inlineStr">
        <is>
          <t xml:space="preserve">+998904908890 SMS, 998940358890 SMS, 998999968799 SMS, 998993662364 SMS,</t>
        </is>
      </c>
      <c r="G48" s="109" t="inlineStr">
        <is>
          <t xml:space="preserve">Джизакская область, Джизак г., Хамзаобод, Ойбек, дом 23</t>
        </is>
      </c>
      <c r="H48" s="110">
        <v>3.0</v>
      </c>
      <c r="I48" s="110">
        <v>1400415.28</v>
      </c>
      <c r="K48" s="109" t="inlineStr">
        <is>
          <t xml:space="preserve">ertaga tolaydi</t>
        </is>
      </c>
    </row>
    <row r="49">
      <c r="A49" s="109" t="inlineStr">
        <is>
          <t xml:space="preserve">ЖИЗЗАХ ВИЛОЯТИ</t>
        </is>
      </c>
      <c r="B49" s="109" t="inlineStr">
        <is>
          <t xml:space="preserve">Жиззах филиали</t>
        </is>
      </c>
      <c r="C49" s="109" t="inlineStr">
        <is>
          <t xml:space="preserve">Ko'tarmadi</t>
        </is>
      </c>
      <c r="D49" s="109" t="inlineStr">
        <is>
          <t xml:space="preserve">Кр-99041954-1</t>
        </is>
      </c>
      <c r="E49" s="109" t="inlineStr">
        <is>
          <t xml:space="preserve">G’ANIYEV XUSANBEK XONIMQUL O’G’LI</t>
        </is>
      </c>
      <c r="F49" s="109" t="inlineStr">
        <is>
          <t xml:space="preserve">+998770667202 SMS OZI, 998779760777 SMS AYOLI, 998937670670 SMS OGLI,</t>
        </is>
      </c>
      <c r="G49" s="109" t="inlineStr">
        <is>
          <t xml:space="preserve">JIZZAX VILOYATI BAXMAL TUMANI BOGISHAMOL QFY NAVRUZ QISHLOGI</t>
        </is>
      </c>
      <c r="I49" s="110">
        <v>1383261.32</v>
      </c>
    </row>
    <row r="50">
      <c r="A50" s="109" t="inlineStr">
        <is>
          <t xml:space="preserve">ЖИЗЗАХ ВИЛОЯТИ</t>
        </is>
      </c>
      <c r="B50" s="109" t="inlineStr">
        <is>
          <t xml:space="preserve">Жиззах филиали</t>
        </is>
      </c>
      <c r="C50" s="109" t="inlineStr">
        <is>
          <t xml:space="preserve">Ko'tarmadi</t>
        </is>
      </c>
      <c r="D50" s="109" t="inlineStr">
        <is>
          <t xml:space="preserve">Кр-99063407-1</t>
        </is>
      </c>
      <c r="E50" s="109" t="inlineStr">
        <is>
          <t xml:space="preserve">DUSBAYEV FARXOD G’AFFAROVICH</t>
        </is>
      </c>
      <c r="F50" s="109" t="inlineStr">
        <is>
          <t xml:space="preserve">998903111601 TULOVCHI, 998909868228 TULOVCHINI ERI, 998945772444 UZI,</t>
        </is>
      </c>
      <c r="G50" s="109" t="inlineStr">
        <is>
          <t xml:space="preserve">КАНГЛИ КФЙ, ЯНГИОБОД МАХАЛЛАСИ, ТАРАХЛИ КУЧАСИ 10-УЙ</t>
        </is>
      </c>
      <c r="H50" s="110">
        <v>3.0</v>
      </c>
      <c r="I50" s="110">
        <v>248154.54</v>
      </c>
    </row>
    <row r="51">
      <c r="A51" s="109" t="inlineStr">
        <is>
          <t xml:space="preserve">ЖИЗЗАХ ВИЛОЯТИ</t>
        </is>
      </c>
      <c r="B51" s="109" t="inlineStr">
        <is>
          <t xml:space="preserve">Жиззах филиали</t>
        </is>
      </c>
      <c r="C51" s="109" t="inlineStr">
        <is>
          <t xml:space="preserve">Ko'tarmadi</t>
        </is>
      </c>
      <c r="D51" s="109" t="inlineStr">
        <is>
          <t xml:space="preserve">Кр-99041710-1</t>
        </is>
      </c>
      <c r="E51" s="109" t="inlineStr">
        <is>
          <t xml:space="preserve">MAMARAJABOVA ZULOYXA ABDUMALIK QIZI</t>
        </is>
      </c>
      <c r="F51" s="109" t="inlineStr">
        <is>
          <t xml:space="preserve">998339269697 SMS, 998931049616 SMS,</t>
        </is>
      </c>
      <c r="G51" s="109" t="inlineStr">
        <is>
          <t xml:space="preserve">JIZZAX VILOYATI BAXMAL TUMANI TONGOTAR MFY QUSHTEPA QISHLOGI 65-UY</t>
        </is>
      </c>
      <c r="H51" s="110">
        <v>3.0</v>
      </c>
      <c r="I51" s="110">
        <v>215838.24</v>
      </c>
      <c r="K51" s="109" t="inlineStr">
        <is>
          <t xml:space="preserve">ucrilgan</t>
        </is>
      </c>
    </row>
    <row r="52">
      <c r="A52" s="109" t="inlineStr">
        <is>
          <t xml:space="preserve">ЖИЗЗАХ ВИЛОЯТИ</t>
        </is>
      </c>
      <c r="B52" s="109" t="inlineStr">
        <is>
          <t xml:space="preserve">Жиззах филиали</t>
        </is>
      </c>
      <c r="C52" s="109" t="inlineStr">
        <is>
          <t xml:space="preserve">Ko'tarmadi</t>
        </is>
      </c>
      <c r="D52" s="109" t="inlineStr">
        <is>
          <t xml:space="preserve">Кр-99063760-1</t>
        </is>
      </c>
      <c r="E52" s="109" t="inlineStr">
        <is>
          <t xml:space="preserve">KAXAROV ASROR BAXRAMOVICH</t>
        </is>
      </c>
      <c r="F52" s="109" t="inlineStr">
        <is>
          <t xml:space="preserve">998500016485 JIYANI, 998915646485 UZI, 998939646485 O’G’LI,</t>
        </is>
      </c>
      <c r="G52" s="109" t="inlineStr">
        <is>
          <t xml:space="preserve">Уратепалик МФЙ, А.Мелиев кучаси, 38-уй</t>
        </is>
      </c>
      <c r="I52" s="110">
        <v>35231.88</v>
      </c>
    </row>
    <row r="53">
      <c r="A53" s="111" t="inlineStr">
        <is>
          <t xml:space="preserve">КАШКАДАРЁ ВИЛОЯТИ</t>
        </is>
      </c>
      <c r="B53" s="111" t="inlineStr">
        <is>
          <t xml:space="preserve">SUPER BRANCH</t>
        </is>
      </c>
      <c r="C53" s="111" t="inlineStr">
        <is>
          <t xml:space="preserve">Ko'tarmadi</t>
        </is>
      </c>
      <c r="D53" s="111" t="inlineStr">
        <is>
          <t xml:space="preserve">Кр-99034348-3</t>
        </is>
      </c>
      <c r="E53" s="111" t="inlineStr">
        <is>
          <t xml:space="preserve">MURATOV AKTAM ABDIRAZZAQOVICH</t>
        </is>
      </c>
      <c r="F53" s="111" t="inlineStr">
        <is>
          <t xml:space="preserve">998919517995 SMS O’ZI, 998939311300 SMS QO'SHNISI, 998908814003 SMS JO’RASI  UZIIII, 998932703285 SMS AKASI (BEGONAAA), 998500217995 SMS ZALOG EGASI TO'LOVCHI,</t>
        </is>
      </c>
      <c r="G53" s="111" t="inlineStr">
        <is>
          <t xml:space="preserve">QASHQADARYO VILOYATI KO’KDALA MANGU YURUR MFY QILBURUN QISHLOG’I</t>
        </is>
      </c>
      <c r="H53" s="112">
        <v>3.0</v>
      </c>
      <c r="I53" s="112">
        <v>0.0</v>
      </c>
      <c r="K53" s="111" t="inlineStr">
        <is>
          <t xml:space="preserve">raqamlari ishlamidi | 534 | 4871713.58</t>
        </is>
      </c>
    </row>
    <row r="54">
      <c r="A54" s="111" t="inlineStr">
        <is>
          <t xml:space="preserve">КАШКАДАРЁ ВИЛОЯТИ</t>
        </is>
      </c>
      <c r="B54" s="111" t="inlineStr">
        <is>
          <t xml:space="preserve">SUPER BRANCH</t>
        </is>
      </c>
      <c r="C54" s="111" t="inlineStr">
        <is>
          <t xml:space="preserve">Ko'tarmadi</t>
        </is>
      </c>
      <c r="D54" s="111" t="inlineStr">
        <is>
          <t xml:space="preserve">Кр-99036325-4</t>
        </is>
      </c>
      <c r="E54" s="111" t="inlineStr">
        <is>
          <t xml:space="preserve">AVLOKULOVA OZODA SUNNATILLOYEVNA</t>
        </is>
      </c>
      <c r="F54" s="111" t="inlineStr">
        <is>
          <t xml:space="preserve">998993739998 SMS O’ZI, 998975886080 SMS AKASI , 998883810758 SMS ONASI , 998977817878 SMS O’ZI 2,</t>
        </is>
      </c>
      <c r="G54" s="111" t="inlineStr">
        <is>
          <t xml:space="preserve">TOSHKENT SHAHRI MIRZOULUG’BEK TUMANI, BUZBOZOR,7- TOR KOCHASI ,36-UY,65-XONADON</t>
        </is>
      </c>
      <c r="H54" s="112">
        <v>3.0</v>
      </c>
      <c r="I54" s="112">
        <v>0.0</v>
      </c>
      <c r="K54" s="111" t="inlineStr">
        <is>
          <t xml:space="preserve">kotarmadi | 648 | 6199480</t>
        </is>
      </c>
    </row>
    <row r="55">
      <c r="A55" s="111" t="inlineStr">
        <is>
          <t xml:space="preserve">КАШКАДАРЁ ВИЛОЯТИ</t>
        </is>
      </c>
      <c r="B55" s="111" t="inlineStr">
        <is>
          <t xml:space="preserve">SUPER BRANCH</t>
        </is>
      </c>
      <c r="C55" s="111" t="inlineStr">
        <is>
          <t xml:space="preserve">Ko'tarmadi</t>
        </is>
      </c>
      <c r="D55" s="111" t="inlineStr">
        <is>
          <t xml:space="preserve">Кр-99036546-1</t>
        </is>
      </c>
      <c r="E55" s="111" t="inlineStr">
        <is>
          <t xml:space="preserve">YULDASHEV RUSTAM QURBONAZAR O’G’LI</t>
        </is>
      </c>
      <c r="F55" s="111" t="inlineStr">
        <is>
          <t xml:space="preserve">998976711771 SMS OZI, 998987770193 SMS OZI 2, 998904252808 SMS OILASI , 998880062055 SMS AKASI ,</t>
        </is>
      </c>
      <c r="G55" s="111" t="inlineStr">
        <is>
          <t xml:space="preserve">QASHQADARYO VILOYATI G’UZOR TUMANI ERKIN KUCHASI 27-UY</t>
        </is>
      </c>
      <c r="I55" s="112">
        <v>0.0</v>
      </c>
      <c r="K55" s="111" t="inlineStr">
        <is>
          <t xml:space="preserve">kotarmayapti umuman | 664 | 911947.45</t>
        </is>
      </c>
    </row>
    <row r="56">
      <c r="A56" s="111" t="inlineStr">
        <is>
          <t xml:space="preserve">КАШКАДАРЁ ВИЛОЯТИ</t>
        </is>
      </c>
      <c r="B56" s="111" t="inlineStr">
        <is>
          <t xml:space="preserve">SUPER BRANCH</t>
        </is>
      </c>
      <c r="C56" s="111" t="inlineStr">
        <is>
          <t xml:space="preserve">Ko'tarmadi</t>
        </is>
      </c>
      <c r="D56" s="111" t="inlineStr">
        <is>
          <t xml:space="preserve">Кр-99037055-2</t>
        </is>
      </c>
      <c r="E56" s="111" t="inlineStr">
        <is>
          <t xml:space="preserve">ISKANDAROV NURIDDIN NIZOMIDDIN O’G’LI</t>
        </is>
      </c>
      <c r="F56" s="111" t="inlineStr">
        <is>
          <t xml:space="preserve">998881202280 SMS O’ZI, 998507104532 SMS OZI 2, 998880485080 SMS OSHNASI, 998200030241 SMS OSHNASI (begona),</t>
        </is>
      </c>
      <c r="G56" s="111" t="inlineStr">
        <is>
          <t xml:space="preserve">QASHQADARYO VILOYATI SHAHRISABZ TUMANI QUTCHI MFY,GULZOR KO’CHASI 80-UY</t>
        </is>
      </c>
      <c r="H56" s="112">
        <v>3.0</v>
      </c>
      <c r="I56" s="112">
        <v>0.0</v>
      </c>
      <c r="K56" s="111" t="inlineStr">
        <is>
          <t xml:space="preserve">raqami ishlamidi | 682 | 1295764.05</t>
        </is>
      </c>
    </row>
    <row r="57">
      <c r="A57" s="111" t="inlineStr">
        <is>
          <t xml:space="preserve">КАШКАДАРЁ ВИЛОЯТИ</t>
        </is>
      </c>
      <c r="B57" s="111" t="inlineStr">
        <is>
          <t xml:space="preserve">SUPER BRANCH</t>
        </is>
      </c>
      <c r="C57" s="111" t="inlineStr">
        <is>
          <t xml:space="preserve">Ko'tarmadi</t>
        </is>
      </c>
      <c r="D57" s="111" t="inlineStr">
        <is>
          <t xml:space="preserve">Кр-99037164-1</t>
        </is>
      </c>
      <c r="E57" s="111" t="inlineStr">
        <is>
          <t xml:space="preserve">IMOMOV FAYZULLA PARDAYEVICH</t>
        </is>
      </c>
      <c r="F57" s="111" t="inlineStr">
        <is>
          <t xml:space="preserve">998919553110 SMS OZI, 998807931102 SMS OZI 2, 998906672203 SMS OILASI, 998889883110 SMS O’G’LI,</t>
        </is>
      </c>
      <c r="G57" s="111" t="inlineStr">
        <is>
          <t xml:space="preserve">QASHQADARYO VILOYATI YAKKABOG’ TUMANI SEROB MFY MINJIR QISHLOQI</t>
        </is>
      </c>
      <c r="H57" s="112">
        <v>3.0</v>
      </c>
      <c r="I57" s="112">
        <v>0.0</v>
      </c>
      <c r="K57" s="111" t="inlineStr">
        <is>
          <t xml:space="preserve">ishlamidi raqamlari | 695 | 1795376.05</t>
        </is>
      </c>
    </row>
    <row r="58">
      <c r="A58" s="111" t="inlineStr">
        <is>
          <t xml:space="preserve">КАШКАДАРЁ ВИЛОЯТИ</t>
        </is>
      </c>
      <c r="B58" s="111" t="inlineStr">
        <is>
          <t xml:space="preserve">SUPER BRANCH</t>
        </is>
      </c>
      <c r="C58" s="111" t="inlineStr">
        <is>
          <t xml:space="preserve">Ko'tarmadi</t>
        </is>
      </c>
      <c r="D58" s="111" t="inlineStr">
        <is>
          <t xml:space="preserve">Кр-99037316-2</t>
        </is>
      </c>
      <c r="E58" s="111" t="inlineStr">
        <is>
          <t xml:space="preserve">XAMROYEVA DILRABO KUYLIYEVNA</t>
        </is>
      </c>
      <c r="F58" s="111" t="inlineStr">
        <is>
          <t xml:space="preserve">998908819972 SMS OZI, 998906606361 SMS ONASI BEGONA QIZCHA, 998906851166 SMS OTASI, 998906831166 SMS AKASI (UZIII),</t>
        </is>
      </c>
      <c r="G58" s="111" t="inlineStr">
        <is>
          <t xml:space="preserve">QASHQADARYO VILOYATI QARSHI TUMANI NAVRUZ MFY BOBUR KUCHASI 16-UY</t>
        </is>
      </c>
      <c r="H58" s="112">
        <v>3.0</v>
      </c>
      <c r="I58" s="112">
        <v>0.0</v>
      </c>
      <c r="K58" s="111" t="inlineStr">
        <is>
          <t xml:space="preserve">707 | 1247032.03</t>
        </is>
      </c>
    </row>
    <row r="59">
      <c r="A59" s="111" t="inlineStr">
        <is>
          <t xml:space="preserve">КАШКАДАРЁ ВИЛОЯТИ</t>
        </is>
      </c>
      <c r="B59" s="111" t="inlineStr">
        <is>
          <t xml:space="preserve">SUPER BRANCH</t>
        </is>
      </c>
      <c r="C59" s="111" t="inlineStr">
        <is>
          <t xml:space="preserve">Ko'tarmadi</t>
        </is>
      </c>
      <c r="D59" s="111" t="inlineStr">
        <is>
          <t xml:space="preserve">Кр-99037785-1</t>
        </is>
      </c>
      <c r="E59" s="111" t="inlineStr">
        <is>
          <t xml:space="preserve">ESHBAYEV ADXAM JOVLI O’G’LI</t>
        </is>
      </c>
      <c r="F59" s="111" t="inlineStr">
        <is>
          <t xml:space="preserve">998976703494 SMS OZI, 998884860002 SMS AKASI, 998886792168 SMS UKASI, 998771091102 SMS ALISHER AKA OZIMIZI XODIM,</t>
        </is>
      </c>
      <c r="G59" s="111" t="inlineStr">
        <is>
          <t xml:space="preserve">QASHQADARYO VILOYATI NISHON TUMANI UMR BUNYODKORI MFY MUSTAQILLIK KUCHASI 20-UY</t>
        </is>
      </c>
      <c r="H59" s="112">
        <v>2.0</v>
      </c>
      <c r="I59" s="112">
        <v>0.0</v>
      </c>
      <c r="K59" s="111" t="inlineStr">
        <is>
          <t xml:space="preserve">735 | 1445169.12</t>
        </is>
      </c>
    </row>
    <row r="60">
      <c r="A60" s="111" t="inlineStr">
        <is>
          <t xml:space="preserve">КАШКАДАРЁ ВИЛОЯТИ</t>
        </is>
      </c>
      <c r="B60" s="111" t="inlineStr">
        <is>
          <t xml:space="preserve">SUPER BRANCH</t>
        </is>
      </c>
      <c r="C60" s="111" t="inlineStr">
        <is>
          <t xml:space="preserve">Ko'tarmadi</t>
        </is>
      </c>
      <c r="D60" s="111" t="inlineStr">
        <is>
          <t xml:space="preserve">Кр-99039397-1</t>
        </is>
      </c>
      <c r="E60" s="111" t="inlineStr">
        <is>
          <t xml:space="preserve">YO’LDOSHEV G’AYRAT BEKMURODOVICH</t>
        </is>
      </c>
      <c r="F60" s="111" t="inlineStr">
        <is>
          <t xml:space="preserve">998770392787 SMS OZI, 998992423608 SMS AYOLI, 998991070648 SMS DADASI, 998886661004 SMS ONASI,</t>
        </is>
      </c>
      <c r="G60" s="111" t="inlineStr">
        <is>
          <t xml:space="preserve">QASHQADARYO VILOYATI KASBI TUMANI MESIT MFY MESIT QISHLOG’I OBOD TEPA KUCHASI</t>
        </is>
      </c>
      <c r="I60" s="112">
        <v>0.0</v>
      </c>
      <c r="K60" s="111" t="inlineStr">
        <is>
          <t xml:space="preserve">ishlamayapti | 854 | 358186.1 | birorta nomeri ishlamayapti mahallasiga chiqish kk</t>
        </is>
      </c>
    </row>
    <row r="61">
      <c r="A61" s="111" t="inlineStr">
        <is>
          <t xml:space="preserve">КАШКАДАРЁ ВИЛОЯТИ</t>
        </is>
      </c>
      <c r="B61" s="111" t="inlineStr">
        <is>
          <t xml:space="preserve">SUPER BRANCH</t>
        </is>
      </c>
      <c r="C61" s="111" t="inlineStr">
        <is>
          <t xml:space="preserve">Ko'tarmadi</t>
        </is>
      </c>
      <c r="D61" s="111" t="inlineStr">
        <is>
          <t xml:space="preserve">Кр-99040060-1</t>
        </is>
      </c>
      <c r="E61" s="111" t="inlineStr">
        <is>
          <t xml:space="preserve">XAMROKULOV ASILBEK QAHHOR O’G’LI</t>
        </is>
      </c>
      <c r="F61" s="111" t="inlineStr">
        <is>
          <t xml:space="preserve">998957769119 SMS OZI, 998887169119 SMS OPASI, 998886169119 SMS DADASI, 998907169119 SMS OZI,</t>
        </is>
      </c>
      <c r="G61" s="111" t="inlineStr">
        <is>
          <t xml:space="preserve">QASHQADARYO VILOYATI NISHON TUMANI NAVBAXOR MFY ZAKOVAT KUCHASI 3/1 UY</t>
        </is>
      </c>
      <c r="H61" s="112">
        <v>3.0</v>
      </c>
      <c r="I61" s="112">
        <v>0.0</v>
      </c>
      <c r="K61" s="111" t="inlineStr">
        <is>
          <t xml:space="preserve">937 | 4346831.46</t>
        </is>
      </c>
    </row>
    <row r="62">
      <c r="A62" s="111" t="inlineStr">
        <is>
          <t xml:space="preserve">КАШКАДАРЁ ВИЛОЯТИ</t>
        </is>
      </c>
      <c r="B62" s="111" t="inlineStr">
        <is>
          <t xml:space="preserve">SUPER BRANCH</t>
        </is>
      </c>
      <c r="C62" s="111" t="inlineStr">
        <is>
          <t xml:space="preserve">Ko'tarmadi</t>
        </is>
      </c>
      <c r="D62" s="111" t="inlineStr">
        <is>
          <t xml:space="preserve">Кр-99040396-1</t>
        </is>
      </c>
      <c r="E62" s="111" t="inlineStr">
        <is>
          <t xml:space="preserve">KENJAYEV OTABEK ABDIRAXIM O’G’LI</t>
        </is>
      </c>
      <c r="F62" s="111" t="inlineStr">
        <is>
          <t xml:space="preserve">998975897577 SMS OZI (BEGONA), 998990482034 SMS UKASI, 998770612003 SMS DADASI,</t>
        </is>
      </c>
      <c r="G62" s="111" t="inlineStr">
        <is>
          <t xml:space="preserve">QASHQADARYO VILOYATI SHAXRISABZ TUMANI OQ OLTIN MFY ANDAY KUCHASI 62-UY</t>
        </is>
      </c>
      <c r="H62" s="112">
        <v>3.0</v>
      </c>
      <c r="I62" s="112">
        <v>0.0</v>
      </c>
      <c r="K62" s="111" t="inlineStr">
        <is>
          <t xml:space="preserve">raqami ishlamayapti | 1009 | 774785.18</t>
        </is>
      </c>
    </row>
    <row r="63">
      <c r="A63" s="113" t="inlineStr">
        <is>
          <t xml:space="preserve">КАШКАДАРЁ ВИЛОЯТИ</t>
        </is>
      </c>
      <c r="B63" s="113" t="inlineStr">
        <is>
          <t xml:space="preserve">Қарши филиали</t>
        </is>
      </c>
      <c r="C63" s="113" t="inlineStr">
        <is>
          <t xml:space="preserve">Ko'tarmadi</t>
        </is>
      </c>
      <c r="D63" s="113" t="inlineStr">
        <is>
          <t xml:space="preserve">Кр-99029105-1</t>
        </is>
      </c>
      <c r="E63" s="113" t="inlineStr">
        <is>
          <t xml:space="preserve">MAHMUDOV OLIM OTAQULOVICH</t>
        </is>
      </c>
      <c r="F63" s="113" t="inlineStr">
        <is>
          <t xml:space="preserve">95-178-02-25 SMS OZI TULOVCHISI, 99-152-62-55 SMS ONASI, 97-803-97-77  SMS AYOLI, 97-743-33-66 SMS ZALOGADATEL, 98-366-82-72 SMS ZALOGADATEL, 998777420100 UZI NEWW,</t>
        </is>
      </c>
      <c r="G63" s="113" t="inlineStr">
        <is>
          <t xml:space="preserve">QASHQADARYO VILOYATI QARSHI TUMANI CHAROG'ON QFY 33-UY</t>
        </is>
      </c>
      <c r="H63" s="114">
        <v>3.0</v>
      </c>
      <c r="I63" s="114">
        <v>0.0</v>
      </c>
      <c r="K63" s="113" t="inlineStr">
        <is>
          <t xml:space="preserve">301 | 1185882.06 | yibanni ishi mibda moshinasi</t>
        </is>
      </c>
    </row>
    <row r="64">
      <c r="A64" s="113" t="inlineStr">
        <is>
          <t xml:space="preserve">КАШКАДАРЁ ВИЛОЯТИ</t>
        </is>
      </c>
      <c r="B64" s="113" t="inlineStr">
        <is>
          <t xml:space="preserve">Қарши филиали</t>
        </is>
      </c>
      <c r="C64" s="113" t="inlineStr">
        <is>
          <t xml:space="preserve">Ko'tarmadi</t>
        </is>
      </c>
      <c r="D64" s="113" t="inlineStr">
        <is>
          <t xml:space="preserve">Кр-99032971-3</t>
        </is>
      </c>
      <c r="E64" s="113" t="inlineStr">
        <is>
          <t xml:space="preserve">SHODIYEV NAMOZ ERKIN O’G’LI</t>
        </is>
      </c>
      <c r="F64" s="113" t="inlineStr">
        <is>
          <t xml:space="preserve">998900111050 SMS O’ZI, 998332232320 SMS UY, 998882911130 SMS BEGONA, 998990400306 SMS Ozi, 998973125615 SMS AMAKISINI O'G'LI,</t>
        </is>
      </c>
      <c r="G64" s="113" t="inlineStr">
        <is>
          <t xml:space="preserve">QASHQADARYO VILOYATI MUBORAK TUMANI PAXTAKOR MFY QARLIQ QISHLOG’I 7-UY</t>
        </is>
      </c>
      <c r="H64" s="114">
        <v>3.0</v>
      </c>
      <c r="I64" s="114">
        <v>0.0</v>
      </c>
      <c r="K64" s="113" t="inlineStr">
        <is>
          <t xml:space="preserve">454 | 2241875.41 | bu yiban oyni oxirida to'laydi</t>
        </is>
      </c>
    </row>
    <row r="65">
      <c r="A65" s="113" t="inlineStr">
        <is>
          <t xml:space="preserve">КАШКАДАРЁ ВИЛОЯТИ</t>
        </is>
      </c>
      <c r="B65" s="113" t="inlineStr">
        <is>
          <t xml:space="preserve">Қарши филиали</t>
        </is>
      </c>
      <c r="C65" s="113" t="inlineStr">
        <is>
          <t xml:space="preserve">Ko'tarmadi</t>
        </is>
      </c>
      <c r="D65" s="113" t="inlineStr">
        <is>
          <t xml:space="preserve">Кр-99033221-1</t>
        </is>
      </c>
      <c r="E65" s="113" t="inlineStr">
        <is>
          <t xml:space="preserve">XAYDAROVA DILSHODA XOLBOYEVNA</t>
        </is>
      </c>
      <c r="F65" s="113" t="inlineStr">
        <is>
          <t xml:space="preserve">998908248676 SMS O’ZI, 998904645959 SMS UKASI( BEGONA), 998980603836 SMS O'zi , 998918192079 SMS O'ZI, 998906737970 SMS new ozi ,</t>
        </is>
      </c>
      <c r="G65" s="113" t="inlineStr">
        <is>
          <t xml:space="preserve">QASHQADARYO VILOYATI QARSHI SHAHAR</t>
        </is>
      </c>
      <c r="H65" s="114">
        <v>3.0</v>
      </c>
      <c r="I65" s="114">
        <v>0.0</v>
      </c>
      <c r="K65" s="113" t="inlineStr">
        <is>
          <t xml:space="preserve">465 | 1281226.29</t>
        </is>
      </c>
    </row>
    <row r="66">
      <c r="A66" s="113" t="inlineStr">
        <is>
          <t xml:space="preserve">КАШКАДАРЁ ВИЛОЯТИ</t>
        </is>
      </c>
      <c r="B66" s="113" t="inlineStr">
        <is>
          <t xml:space="preserve">Қарши филиали</t>
        </is>
      </c>
      <c r="C66" s="113" t="inlineStr">
        <is>
          <t xml:space="preserve">Ko'tarmadi</t>
        </is>
      </c>
      <c r="D66" s="113" t="inlineStr">
        <is>
          <t xml:space="preserve">Кр-99035313-4</t>
        </is>
      </c>
      <c r="E66" s="113" t="inlineStr">
        <is>
          <t xml:space="preserve">OMONOV RO’YIDDIN ADASH O’G’LI</t>
        </is>
      </c>
      <c r="F66" s="113" t="inlineStr">
        <is>
          <t xml:space="preserve">998906167214 SMS OILASI, 998913830559 SMS AKASI  UZIII TO'LOVCHI, 998993830559 SMS OILASI, 998914682525 SMS UKASI (POCHCHASI),</t>
        </is>
      </c>
      <c r="G66" s="113" t="inlineStr">
        <is>
          <t xml:space="preserve">QASHQADARYO VILOYATI QARSHI TUMANI TINCHLIK MFY PARMITON QISHLOG’I 13-UY</t>
        </is>
      </c>
      <c r="H66" s="114">
        <v>3.0</v>
      </c>
      <c r="I66" s="114">
        <v>0.0</v>
      </c>
      <c r="K66" s="113" t="inlineStr">
        <is>
          <t xml:space="preserve">teli ishlamayapti | 575 | 2862542.72</t>
        </is>
      </c>
    </row>
    <row r="67">
      <c r="A67" s="113" t="inlineStr">
        <is>
          <t xml:space="preserve">КАШКАДАРЁ ВИЛОЯТИ</t>
        </is>
      </c>
      <c r="B67" s="113" t="inlineStr">
        <is>
          <t xml:space="preserve">Қарши филиали</t>
        </is>
      </c>
      <c r="C67" s="113" t="inlineStr">
        <is>
          <t xml:space="preserve">Ko'tarmadi</t>
        </is>
      </c>
      <c r="D67" s="113" t="inlineStr">
        <is>
          <t xml:space="preserve">Кр-99037441-4</t>
        </is>
      </c>
      <c r="E67" s="113" t="inlineStr">
        <is>
          <t xml:space="preserve">KOSIMOV ABROR ABDISALOMOVICH</t>
        </is>
      </c>
      <c r="F67" s="113" t="inlineStr">
        <is>
          <t xml:space="preserve">998887417117 SMS OZI, 998905175558 SMS AKASI  BEGONA, 998941729897 SMS JURASI,</t>
        </is>
      </c>
      <c r="G67" s="113" t="inlineStr">
        <is>
          <t xml:space="preserve">QASHQADARYO VILOYATI G’UZOR TUMANI TINCHLIK MFY YANGI TONG KO’CHASI 765-UY</t>
        </is>
      </c>
      <c r="H67" s="114">
        <v>3.0</v>
      </c>
      <c r="I67" s="114">
        <v>0.0</v>
      </c>
      <c r="K67" s="113" t="inlineStr">
        <is>
          <t xml:space="preserve">raqamlari ioshlamayapti | 713 | 6165206.87</t>
        </is>
      </c>
    </row>
    <row r="68">
      <c r="A68" s="113" t="inlineStr">
        <is>
          <t xml:space="preserve">КАШКАДАРЁ ВИЛОЯТИ</t>
        </is>
      </c>
      <c r="B68" s="113" t="inlineStr">
        <is>
          <t xml:space="preserve">Қарши филиали</t>
        </is>
      </c>
      <c r="C68" s="113" t="inlineStr">
        <is>
          <t xml:space="preserve">Ko'tarmadi</t>
        </is>
      </c>
      <c r="D68" s="113" t="inlineStr">
        <is>
          <t xml:space="preserve">Кр-99037758-2</t>
        </is>
      </c>
      <c r="E68" s="113" t="inlineStr">
        <is>
          <t xml:space="preserve">QURBANOVA HURRIYAT JALILOVNA</t>
        </is>
      </c>
      <c r="F68" s="113" t="inlineStr">
        <is>
          <t xml:space="preserve">998883134545 SMS O’ZI, 998907211508 SMS ONASI, 998943380255 SMS AKASI, 998912278600 SMS SINGLISI,</t>
        </is>
      </c>
      <c r="G68" s="113" t="inlineStr">
        <is>
          <t xml:space="preserve">QASHQADARYO VILOYATI G’UZOR TUMANI QORAKO’L MFY MASH’AL SHAHARCHASI 01-UY</t>
        </is>
      </c>
      <c r="H68" s="114">
        <v>3.0</v>
      </c>
      <c r="I68" s="114">
        <v>0.0</v>
      </c>
      <c r="K68" s="113" t="inlineStr">
        <is>
          <t xml:space="preserve">943380255 dadasi   singlisi aytaman ddi | 732 | 6076103.46</t>
        </is>
      </c>
    </row>
    <row r="69">
      <c r="A69" s="113" t="inlineStr">
        <is>
          <t xml:space="preserve">КАШКАДАРЁ ВИЛОЯТИ</t>
        </is>
      </c>
      <c r="B69" s="113" t="inlineStr">
        <is>
          <t xml:space="preserve">Қарши филиали</t>
        </is>
      </c>
      <c r="C69" s="113" t="inlineStr">
        <is>
          <t xml:space="preserve">Ko'tarmadi</t>
        </is>
      </c>
      <c r="D69" s="113" t="inlineStr">
        <is>
          <t xml:space="preserve">Кр-99038371-4</t>
        </is>
      </c>
      <c r="E69" s="113" t="inlineStr">
        <is>
          <t xml:space="preserve">NAMOZOVA SOHIBA SAYFULLAYEVNA</t>
        </is>
      </c>
      <c r="F69" s="113" t="inlineStr">
        <is>
          <t xml:space="preserve">998889498189 SMS OZI, 998767391002 SMS OZI 2, 998888029100 SMS AYOLI, 998770306991 uzi neww,</t>
        </is>
      </c>
      <c r="G69" s="113" t="inlineStr">
        <is>
          <t xml:space="preserve">QASHQADARYO VILOYATI KOSON TUMANI BOYGUNDI MFY BOYGUNDI QISHLOGI</t>
        </is>
      </c>
      <c r="H69" s="114">
        <v>3.0</v>
      </c>
      <c r="I69" s="114">
        <v>0.0</v>
      </c>
      <c r="K69" s="113" t="inlineStr">
        <is>
          <t xml:space="preserve">767 | 3875184.6</t>
        </is>
      </c>
    </row>
    <row r="70">
      <c r="A70" s="115" t="inlineStr">
        <is>
          <t xml:space="preserve">КОРАКАЛПОГИСТОН РЕСПУБЛИКАСИ</t>
        </is>
      </c>
      <c r="B70" s="115" t="inlineStr">
        <is>
          <t xml:space="preserve">SUPER BRANCH</t>
        </is>
      </c>
      <c r="C70" s="115" t="inlineStr">
        <is>
          <t xml:space="preserve">Ko'tarmadi</t>
        </is>
      </c>
      <c r="D70" s="115" t="inlineStr">
        <is>
          <t xml:space="preserve">Кр-99035767-1</t>
        </is>
      </c>
      <c r="E70" s="115" t="inlineStr">
        <is>
          <t xml:space="preserve">DJUMANIYAZOV XUJAAXMAD BERDIBAYEVICH</t>
        </is>
      </c>
      <c r="F70" s="115" t="inlineStr">
        <is>
          <t xml:space="preserve">998974749400 SMS OZI(Begona), 998336771006 SMS UY, 998975056865 SMS DOSTI(begona), 998331240571 SMS DOSTI,</t>
        </is>
      </c>
      <c r="G70" s="115" t="inlineStr">
        <is>
          <t xml:space="preserve">XORAZM VILOYATI ELLIKQALA TUMANI KASHKURA MAXALLASI YOSH KUCH KUCHASI 2 UY</t>
        </is>
      </c>
      <c r="H70" s="116">
        <v>6.0</v>
      </c>
      <c r="I70" s="116">
        <v>2120990.03</v>
      </c>
    </row>
    <row r="71">
      <c r="A71" s="117" t="inlineStr">
        <is>
          <t xml:space="preserve">КОРАКАЛПОГИСТОН РЕСПУБЛИКАСИ</t>
        </is>
      </c>
      <c r="B71" s="117" t="inlineStr">
        <is>
          <t xml:space="preserve">Нукус филиали</t>
        </is>
      </c>
      <c r="C71" s="117" t="inlineStr">
        <is>
          <t xml:space="preserve">Ko'tarmadi</t>
        </is>
      </c>
      <c r="D71" s="117" t="inlineStr">
        <is>
          <t xml:space="preserve">Кр-99063824-1</t>
        </is>
      </c>
      <c r="E71" s="117" t="inlineStr">
        <is>
          <t xml:space="preserve">BISENOV NURATDIN KDIRBAEVICH</t>
        </is>
      </c>
      <c r="F71" s="117" t="inlineStr">
        <is>
          <t xml:space="preserve">998905949096 OZI, 998913949096 OYALI, 998932028814 OPASI,</t>
        </is>
      </c>
      <c r="G71" s="117" t="inlineStr">
        <is>
          <t xml:space="preserve">QORAQALPOGISTON RES  NUKUS SHAHAR KUM AWIL MFY BELEWKI KUSHASI 2 UY</t>
        </is>
      </c>
      <c r="H71" s="118">
        <v>3.0</v>
      </c>
      <c r="I71" s="118">
        <v>3563984.09</v>
      </c>
    </row>
    <row r="72">
      <c r="A72" s="117" t="inlineStr">
        <is>
          <t xml:space="preserve">КОРАКАЛПОГИСТОН РЕСПУБЛИКАСИ</t>
        </is>
      </c>
      <c r="B72" s="117" t="inlineStr">
        <is>
          <t xml:space="preserve">Нукус филиали</t>
        </is>
      </c>
      <c r="C72" s="117" t="inlineStr">
        <is>
          <t xml:space="preserve">Ko'tarmadi</t>
        </is>
      </c>
      <c r="D72" s="117" t="inlineStr">
        <is>
          <t xml:space="preserve">Кр-99063812-1</t>
        </is>
      </c>
      <c r="E72" s="117" t="inlineStr">
        <is>
          <t xml:space="preserve">PRIMBAEV ALLAYAR JOLDASBAEVICH</t>
        </is>
      </c>
      <c r="F72" s="117" t="inlineStr">
        <is>
          <t xml:space="preserve">998505070888 OZI, 998505151715 OYALI, 998913000209 ONASI,</t>
        </is>
      </c>
      <c r="G72" s="117" t="inlineStr">
        <is>
          <t xml:space="preserve">Qoraqalpogiston res Nukus shahar  Shimbay chayxana MFY, Islom Karimov shoh ko’chasi, 151-uy</t>
        </is>
      </c>
      <c r="H72" s="118">
        <v>3.0</v>
      </c>
      <c r="I72" s="118">
        <v>3099150.64</v>
      </c>
    </row>
    <row r="73">
      <c r="A73" s="99" t="inlineStr">
        <is>
          <t xml:space="preserve">КОРАКАЛПОГИСТОН РЕСПУБЛИКАСИ</t>
        </is>
      </c>
      <c r="B73" s="99" t="inlineStr">
        <is>
          <t xml:space="preserve">Урганч филиали</t>
        </is>
      </c>
      <c r="C73" s="99" t="inlineStr">
        <is>
          <t xml:space="preserve">Ko'tarmadi</t>
        </is>
      </c>
      <c r="D73" s="99" t="inlineStr">
        <is>
          <t xml:space="preserve">Кр-99062856-1</t>
        </is>
      </c>
      <c r="E73" s="99" t="inlineStr">
        <is>
          <t xml:space="preserve">EGAMBERDIYEVA UMIDA KASIMOVNA</t>
        </is>
      </c>
      <c r="F73" s="99" t="inlineStr">
        <is>
          <t xml:space="preserve">+998883582424 SMS UZI  79858567159 WAT SAP NOMERI, 998885005655 SMS QAYNONASI, 998996814160 SMS QAYNOPASI,</t>
        </is>
      </c>
      <c r="G73" s="99" t="inlineStr">
        <is>
          <t xml:space="preserve">КОРАКАЛПОГИСТОН РЕСПУБЛИКАСИ ТУРТКУЛ ТУМАНИ ТИНЧЛИК МФЙ, ЭРКИН КЎЧАСИ,  uy:49</t>
        </is>
      </c>
      <c r="H73" s="100">
        <v>31.0</v>
      </c>
      <c r="I73" s="100">
        <v>11688397.58</v>
      </c>
      <c r="K73" s="99" t="inlineStr">
        <is>
          <t xml:space="preserve">muammo</t>
        </is>
      </c>
    </row>
    <row r="74">
      <c r="A74" s="101" t="inlineStr">
        <is>
          <t xml:space="preserve">НАВОИЙ ВИЛОЯТИ</t>
        </is>
      </c>
      <c r="B74" s="101" t="inlineStr">
        <is>
          <t xml:space="preserve">Навоий филиали</t>
        </is>
      </c>
      <c r="C74" s="101" t="inlineStr">
        <is>
          <t xml:space="preserve">Ko'tarmadi</t>
        </is>
      </c>
      <c r="D74" s="101" t="inlineStr">
        <is>
          <t xml:space="preserve">Кр-99063463-1</t>
        </is>
      </c>
      <c r="E74" s="101" t="inlineStr">
        <is>
          <t xml:space="preserve">TO’RAYEVA MARXABO SHOYIMOVNA</t>
        </is>
      </c>
      <c r="F74" s="101" t="inlineStr">
        <is>
          <t xml:space="preserve">998505258778 TURMUSH O’RTOG’I, 998933187578 O’ZI, 998938601701 QIZI, 998997349060 O’G’LI,</t>
        </is>
      </c>
      <c r="G74" s="101" t="inlineStr">
        <is>
          <t xml:space="preserve">NAVOIY VILOYATI,ZARAFSHON SHAXRI,YANGI ZARAFSHON MFY,BARCHINOY KO’CHASI,56 A UY</t>
        </is>
      </c>
      <c r="H74" s="102">
        <v>3.0</v>
      </c>
      <c r="I74" s="102">
        <v>2810986.42</v>
      </c>
    </row>
    <row r="75">
      <c r="A75" s="103" t="inlineStr">
        <is>
          <t xml:space="preserve">НАМАНГАН ВИЛОЯТИ</t>
        </is>
      </c>
      <c r="B75" s="103" t="inlineStr">
        <is>
          <t xml:space="preserve">BOSH OFIS</t>
        </is>
      </c>
      <c r="C75" s="103" t="inlineStr">
        <is>
          <t xml:space="preserve">Ko'tarmadi</t>
        </is>
      </c>
      <c r="D75" s="103" t="inlineStr">
        <is>
          <t xml:space="preserve">Кр-99021267-4</t>
        </is>
      </c>
      <c r="E75" s="103" t="inlineStr">
        <is>
          <t xml:space="preserve">TOXIROV AZIZBEK AVAZBEK O’G’LI</t>
        </is>
      </c>
      <c r="F75" s="103" t="inlineStr">
        <is>
          <t xml:space="preserve">97-758-02-02 SMS BEGONA EKAN, 94-611-46-45 SMS OZI, 99-879-56-56 SMS ADASI, 88-700-75-74 SMS UKASI, 998772100909 SMS TOLOV QILISH BO,</t>
        </is>
      </c>
      <c r="G75" s="103" t="inlineStr">
        <is>
          <t xml:space="preserve">NAMANGAN VILOYATI NORIN TUMANI YANGI FARG’NA KO’CHASI 3 UY</t>
        </is>
      </c>
      <c r="H75" s="104">
        <v>3.0</v>
      </c>
      <c r="I75" s="104">
        <v>2746385.25</v>
      </c>
      <c r="K75" s="103" t="inlineStr">
        <is>
          <t xml:space="preserve">umuman kotarmayabdi | Стандартрый</t>
        </is>
      </c>
    </row>
    <row r="76">
      <c r="A76" s="103" t="inlineStr">
        <is>
          <t xml:space="preserve">НАМАНГАН ВИЛОЯТИ</t>
        </is>
      </c>
      <c r="B76" s="103" t="inlineStr">
        <is>
          <t xml:space="preserve">BOSH OFIS</t>
        </is>
      </c>
      <c r="C76" s="103" t="inlineStr">
        <is>
          <t xml:space="preserve">Ko'tarmadi</t>
        </is>
      </c>
      <c r="D76" s="103" t="inlineStr">
        <is>
          <t xml:space="preserve">Кр-99039926-2</t>
        </is>
      </c>
      <c r="E76" s="103" t="inlineStr">
        <is>
          <t xml:space="preserve">AZIZOV RAVSHANJON XAKIMJON O’G’LI</t>
        </is>
      </c>
      <c r="F76" s="103" t="inlineStr">
        <is>
          <t xml:space="preserve">998931731298 SMS OZI, 998931545616 SMS AKASI, 998932119301 SMS AKASI, 998939246202 SMS OTASI,</t>
        </is>
      </c>
      <c r="G76" s="103" t="inlineStr">
        <is>
          <t xml:space="preserve">NAMANGAN VILOYATI NORIN TUMANI SUZOQOVUL MFY TOSHQO'RG'ON  KO'CHASI 52-UY</t>
        </is>
      </c>
      <c r="H76" s="104">
        <v>3.0</v>
      </c>
      <c r="I76" s="104">
        <v>1009794.25</v>
      </c>
      <c r="K76" s="103" t="inlineStr">
        <is>
          <t xml:space="preserve">umuman kotarmayabdi | Стандартрый</t>
        </is>
      </c>
    </row>
    <row r="77">
      <c r="A77" s="105" t="inlineStr">
        <is>
          <t xml:space="preserve">НАМАНГАН ВИЛОЯТИ</t>
        </is>
      </c>
      <c r="B77" s="105" t="inlineStr">
        <is>
          <t xml:space="preserve">SUPER BRANCH</t>
        </is>
      </c>
      <c r="C77" s="105" t="inlineStr">
        <is>
          <t xml:space="preserve">Ko'tarmadi</t>
        </is>
      </c>
      <c r="D77" s="105" t="inlineStr">
        <is>
          <t xml:space="preserve">Кр-99036518-2</t>
        </is>
      </c>
      <c r="E77" s="105" t="inlineStr">
        <is>
          <t xml:space="preserve">XADJIMIRZAYEVA NAZOKAT MAXMUDOVNA</t>
        </is>
      </c>
      <c r="F77" s="105" t="inlineStr">
        <is>
          <t xml:space="preserve">998902793272 SMS OZI TO’LQIN AKANI SINGLI BU, 998905545758 SMS AKASI, 998880501317 SMS QIZI, 998972503003 SMS AKASI, 998907415736 SMS ERI NAZOKATNI ,</t>
        </is>
      </c>
      <c r="G77" s="105" t="inlineStr">
        <is>
          <t xml:space="preserve">NAMANGAN VILOYATI NAMANGAN SHAHAR TUKUVCHI  MFY AEROPORT KO’CHASI 3 A UY</t>
        </is>
      </c>
      <c r="H77" s="106">
        <v>125.0</v>
      </c>
      <c r="I77" s="106">
        <v>114120827.91</v>
      </c>
      <c r="K77" s="105" t="inlineStr">
        <is>
          <t xml:space="preserve">filial xal qiladi | Плохой</t>
        </is>
      </c>
    </row>
    <row r="78">
      <c r="A78" s="105" t="inlineStr">
        <is>
          <t xml:space="preserve">НАМАНГАН ВИЛОЯТИ</t>
        </is>
      </c>
      <c r="B78" s="105" t="inlineStr">
        <is>
          <t xml:space="preserve">SUPER BRANCH</t>
        </is>
      </c>
      <c r="C78" s="105" t="inlineStr">
        <is>
          <t xml:space="preserve">Ko'tarmadi</t>
        </is>
      </c>
      <c r="D78" s="105" t="inlineStr">
        <is>
          <t xml:space="preserve">Кр-99035789-2</t>
        </is>
      </c>
      <c r="E78" s="105" t="inlineStr">
        <is>
          <t xml:space="preserve">MAVLONOVA MUQADDAM BOQIYEVNA</t>
        </is>
      </c>
      <c r="F78" s="105" t="inlineStr">
        <is>
          <t xml:space="preserve">998943491849 SMS O’ZI, 998930587200 SMS BEGONA EKAN , 998993907200 SMS O’G’LI , 998505005495 SMS O’G’LI 2, 998947452200 O'G'LI WU ISHLAYDI,</t>
        </is>
      </c>
      <c r="G78" s="105" t="inlineStr">
        <is>
          <t xml:space="preserve">NAMANGAN VILOYATI NORIN TUMANI QOZOQOVUL MFY LOXHIN KO’CHA 248 UY</t>
        </is>
      </c>
      <c r="H78" s="106">
        <v>153.0</v>
      </c>
      <c r="I78" s="106">
        <v>44020739.34</v>
      </c>
      <c r="K78" s="105" t="inlineStr">
        <is>
          <t xml:space="preserve">filial xal qiladi | Плохой</t>
        </is>
      </c>
    </row>
    <row r="79">
      <c r="A79" s="105" t="inlineStr">
        <is>
          <t xml:space="preserve">НАМАНГАН ВИЛОЯТИ</t>
        </is>
      </c>
      <c r="B79" s="105" t="inlineStr">
        <is>
          <t xml:space="preserve">SUPER BRANCH</t>
        </is>
      </c>
      <c r="C79" s="105" t="inlineStr">
        <is>
          <t xml:space="preserve">Ko'tarmadi</t>
        </is>
      </c>
      <c r="D79" s="105" t="inlineStr">
        <is>
          <t xml:space="preserve">Кр-99035342-1</t>
        </is>
      </c>
      <c r="E79" s="105" t="inlineStr">
        <is>
          <t xml:space="preserve">QORABOYEVA INOYATXON SHERTOYEVNA</t>
        </is>
      </c>
      <c r="F79" s="105" t="inlineStr">
        <is>
          <t xml:space="preserve">998950780375 SMS O’ZI, 998332577277 SMS ERI, 998932577277 SMS ERI, 998944049919 SMS O’G’LI,</t>
        </is>
      </c>
      <c r="G79" s="105" t="inlineStr">
        <is>
          <t xml:space="preserve">ANDIQJON VILOYATI BALIQCHI TUMANI GO’ROVON MFY GO’ROVON KO’CHA 20 UY</t>
        </is>
      </c>
      <c r="H79" s="106">
        <v>175.0</v>
      </c>
      <c r="I79" s="106">
        <v>20202829.03</v>
      </c>
      <c r="K79" s="105" t="inlineStr">
        <is>
          <t xml:space="preserve">filial xal qiladi | Плохой</t>
        </is>
      </c>
    </row>
    <row r="80">
      <c r="A80" s="105" t="inlineStr">
        <is>
          <t xml:space="preserve">НАМАНГАН ВИЛОЯТИ</t>
        </is>
      </c>
      <c r="B80" s="105" t="inlineStr">
        <is>
          <t xml:space="preserve">SUPER BRANCH</t>
        </is>
      </c>
      <c r="C80" s="105" t="inlineStr">
        <is>
          <t xml:space="preserve">Ko'tarmadi</t>
        </is>
      </c>
      <c r="D80" s="105" t="inlineStr">
        <is>
          <t xml:space="preserve">Кр-99039848-1</t>
        </is>
      </c>
      <c r="E80" s="105" t="inlineStr">
        <is>
          <t xml:space="preserve">ABDURAXMONOV ABRORBEK ODILJON O’G’LI</t>
        </is>
      </c>
      <c r="F80" s="105" t="inlineStr">
        <is>
          <t xml:space="preserve">998931910095 SMS OZI, 998946730089 SMS AYOLI, 998938523989 SMS DADASI, 998938471965 SMS ONASI,</t>
        </is>
      </c>
      <c r="G80" s="105" t="inlineStr">
        <is>
          <t xml:space="preserve">NAMANGAN VILOYATI NORIN TUMANI QORATERI MFY GULZOR KOCHASI 42-UYNI</t>
        </is>
      </c>
      <c r="H80" s="106">
        <v>3.0</v>
      </c>
      <c r="I80" s="106">
        <v>9406764.47</v>
      </c>
      <c r="K80" s="105" t="inlineStr">
        <is>
          <t xml:space="preserve">umuman kotarmayabdi | Стандартрый</t>
        </is>
      </c>
    </row>
    <row r="81">
      <c r="A81" s="105" t="inlineStr">
        <is>
          <t xml:space="preserve">НАМАНГАН ВИЛОЯТИ</t>
        </is>
      </c>
      <c r="B81" s="105" t="inlineStr">
        <is>
          <t xml:space="preserve">SUPER BRANCH</t>
        </is>
      </c>
      <c r="C81" s="105" t="inlineStr">
        <is>
          <t xml:space="preserve">Ko'tarmadi</t>
        </is>
      </c>
      <c r="D81" s="105" t="inlineStr">
        <is>
          <t xml:space="preserve">Кр-99039132-1</t>
        </is>
      </c>
      <c r="E81" s="105" t="inlineStr">
        <is>
          <t xml:space="preserve">AZIMOV MUXAMMADAZIM ABDUG’OPUR O’G’LI</t>
        </is>
      </c>
      <c r="F81" s="105" t="inlineStr">
        <is>
          <t xml:space="preserve">998332090009 SMS OZI, 998995240770 SMS AKASI, 998996466206 SMS DADASI, 998913602980 SMS ONASI уртогини онаси, 998934068282 SMS QIZI ,</t>
        </is>
      </c>
      <c r="G81" s="105" t="inlineStr">
        <is>
          <t xml:space="preserve">NAMANGAN VILOYATI NAMANGAN SHAHAR ISHONCH MFY YANGI QURG’ON KO’CHASI 44-XONADON</t>
        </is>
      </c>
      <c r="H81" s="106">
        <v>171.0</v>
      </c>
      <c r="I81" s="106">
        <v>8442308.64</v>
      </c>
      <c r="K81" s="105" t="inlineStr">
        <is>
          <t xml:space="preserve">filial xal qiladi | Плохой</t>
        </is>
      </c>
    </row>
    <row r="82">
      <c r="A82" s="105" t="inlineStr">
        <is>
          <t xml:space="preserve">НАМАНГАН ВИЛОЯТИ</t>
        </is>
      </c>
      <c r="B82" s="105" t="inlineStr">
        <is>
          <t xml:space="preserve">SUPER BRANCH</t>
        </is>
      </c>
      <c r="C82" s="105" t="inlineStr">
        <is>
          <t xml:space="preserve">Ko'tarmadi</t>
        </is>
      </c>
      <c r="D82" s="105" t="inlineStr">
        <is>
          <t xml:space="preserve">Кр-99025455-6</t>
        </is>
      </c>
      <c r="E82" s="105" t="inlineStr">
        <is>
          <t xml:space="preserve">XALBEKOV ULUGBEK NURMAMATOVICH</t>
        </is>
      </c>
      <c r="F82" s="105" t="inlineStr">
        <is>
          <t xml:space="preserve">90-215-47-43 SMS OZI, 93-677-72-02  SMS OZI 2, 93-495-27-03 SMS ONASI (BEGONA),</t>
        </is>
      </c>
      <c r="G82" s="105" t="inlineStr">
        <is>
          <t xml:space="preserve">NAMANGAN SHAHAR  DASHTBOG’ MFY 3-PROEZD G’IRVONSOY KO’CHA 18 UY</t>
        </is>
      </c>
      <c r="H82" s="106">
        <v>3.0</v>
      </c>
      <c r="I82" s="106">
        <v>5231528.04</v>
      </c>
      <c r="K82" s="105" t="inlineStr">
        <is>
          <t xml:space="preserve">umuman kotarmayabdi | Стандартрый</t>
        </is>
      </c>
    </row>
    <row r="83">
      <c r="A83" s="105" t="inlineStr">
        <is>
          <t xml:space="preserve">НАМАНГАН ВИЛОЯТИ</t>
        </is>
      </c>
      <c r="B83" s="105" t="inlineStr">
        <is>
          <t xml:space="preserve">SUPER BRANCH</t>
        </is>
      </c>
      <c r="C83" s="105" t="inlineStr">
        <is>
          <t xml:space="preserve">Ko'tarmadi</t>
        </is>
      </c>
      <c r="D83" s="105" t="inlineStr">
        <is>
          <t xml:space="preserve">Кр-99021020-4</t>
        </is>
      </c>
      <c r="E83" s="105" t="inlineStr">
        <is>
          <t xml:space="preserve">ABDULLAYEV RAXMATULLOX MUXSIN O‘G‘LI</t>
        </is>
      </c>
      <c r="F83" s="105" t="inlineStr">
        <is>
          <t xml:space="preserve">93-816-22-22 SMS UZI  BEGONA, 90-792-00-77 SMS UZI 2, 88-250-00-05 SMS AKASI, 88-254-00-05 SMS ISHXONA begona,</t>
        </is>
      </c>
      <c r="G83" s="105" t="inlineStr">
        <is>
          <t xml:space="preserve">NAMANGAN SHAHRI G‘UNCHA MFY G‘UNCHA TOR KO‘CHASI 2 UY</t>
        </is>
      </c>
      <c r="H83" s="106">
        <v>6.0</v>
      </c>
      <c r="I83" s="106">
        <v>4938578.37</v>
      </c>
      <c r="K83" s="105" t="inlineStr">
        <is>
          <t xml:space="preserve">umuman kotarmayabdi | Стандартрый</t>
        </is>
      </c>
    </row>
    <row r="84">
      <c r="A84" s="105" t="inlineStr">
        <is>
          <t xml:space="preserve">НАМАНГАН ВИЛОЯТИ</t>
        </is>
      </c>
      <c r="B84" s="105" t="inlineStr">
        <is>
          <t xml:space="preserve">SUPER BRANCH</t>
        </is>
      </c>
      <c r="C84" s="105" t="inlineStr">
        <is>
          <t xml:space="preserve">Ko'tarmadi</t>
        </is>
      </c>
      <c r="D84" s="105" t="inlineStr">
        <is>
          <t xml:space="preserve">Кр-99040215-1</t>
        </is>
      </c>
      <c r="E84" s="105" t="inlineStr">
        <is>
          <t xml:space="preserve">TURSINOV ISROIL IBRAXIMOVICH</t>
        </is>
      </c>
      <c r="F84" s="105" t="inlineStr">
        <is>
          <t xml:space="preserve">998946169088 SMS OZI, 998931272590 SMS AYOLI, 998943002955 SMS DADASI, 998333633339 SMS Orifjon begona,</t>
        </is>
      </c>
      <c r="G84" s="105" t="inlineStr">
        <is>
          <t xml:space="preserve">NAMANGAN VILOYATI KOSONSOY TUMANI CHAK MFY MO'YNOQ KO'CHASI </t>
        </is>
      </c>
      <c r="H84" s="106">
        <v>3.0</v>
      </c>
      <c r="I84" s="106">
        <v>3787838.71</v>
      </c>
      <c r="K84" s="105" t="inlineStr">
        <is>
          <t xml:space="preserve">umuman kotarmayabdi | Стандартрый</t>
        </is>
      </c>
    </row>
    <row r="85">
      <c r="A85" s="105" t="inlineStr">
        <is>
          <t xml:space="preserve">НАМАНГАН ВИЛОЯТИ</t>
        </is>
      </c>
      <c r="B85" s="105" t="inlineStr">
        <is>
          <t xml:space="preserve">SUPER BRANCH</t>
        </is>
      </c>
      <c r="C85" s="105" t="inlineStr">
        <is>
          <t xml:space="preserve">Ko'tarmadi</t>
        </is>
      </c>
      <c r="D85" s="105" t="inlineStr">
        <is>
          <t xml:space="preserve">Кр-99039958-1</t>
        </is>
      </c>
      <c r="E85" s="105" t="inlineStr">
        <is>
          <t xml:space="preserve">MUSABOYEVA MASHHURAXON BOYMIRZA QIZI</t>
        </is>
      </c>
      <c r="F85" s="105" t="inlineStr">
        <is>
          <t xml:space="preserve">998504005151 SMS OZI, 998947580220 SMS MOSHINANI SOTGAN ODAM, 998942701133 SMS OZI,</t>
        </is>
      </c>
      <c r="G85" s="105" t="inlineStr">
        <is>
          <t xml:space="preserve">NAMANGAN VILOYATI YANGIQO’RG’ON TUMANI QIZILYOZI MFY TEMURIYLAR KO’CHASI 41 UY</t>
        </is>
      </c>
      <c r="H85" s="106">
        <v>3.0</v>
      </c>
      <c r="I85" s="106">
        <v>3302501.58</v>
      </c>
      <c r="K85" s="105" t="inlineStr">
        <is>
          <t xml:space="preserve">umuman kotarmayabdi | Стандартрый</t>
        </is>
      </c>
    </row>
    <row r="86">
      <c r="A86" s="105" t="inlineStr">
        <is>
          <t xml:space="preserve">НАМАНГАН ВИЛОЯТИ</t>
        </is>
      </c>
      <c r="B86" s="105" t="inlineStr">
        <is>
          <t xml:space="preserve">SUPER BRANCH</t>
        </is>
      </c>
      <c r="C86" s="105" t="inlineStr">
        <is>
          <t xml:space="preserve">Ko'tarmadi</t>
        </is>
      </c>
      <c r="D86" s="105" t="inlineStr">
        <is>
          <t xml:space="preserve">Кр-99027270-3</t>
        </is>
      </c>
      <c r="E86" s="105" t="inlineStr">
        <is>
          <t xml:space="preserve">ISLOMOV MAMADALIXON TOLIBXON O’G’LI</t>
        </is>
      </c>
      <c r="F86" s="105" t="inlineStr">
        <is>
          <t xml:space="preserve">95-000-22-92 SMS O'ZI, 99-398-23-92 SMS OZ'I 2, 91-365-08-04 SMS AYOLI, 91-355-24-41 SMS UKASI, 93-490-51-33 ozi , 913552441 SMS UKASI, 913650804 SMS AYOLI, 934905133 ozi, 950002292 SMS O’ZI, 993982392 SMS OZ’I 2,</t>
        </is>
      </c>
      <c r="G86" s="105" t="inlineStr">
        <is>
          <t xml:space="preserve">ЧИНДОВУЛ ҚФЙ, ЧИНДОВУЛ МФЙ, ЯНГИ АВЛОД КЎЧАСИ,  uy:Р/С</t>
        </is>
      </c>
      <c r="H86" s="106">
        <v>3.0</v>
      </c>
      <c r="I86" s="106">
        <v>2789623.0</v>
      </c>
      <c r="K86" s="105" t="inlineStr">
        <is>
          <t xml:space="preserve">umuman kotarmayabdi | Хороший</t>
        </is>
      </c>
    </row>
    <row r="87">
      <c r="A87" s="105" t="inlineStr">
        <is>
          <t xml:space="preserve">НАМАНГАН ВИЛОЯТИ</t>
        </is>
      </c>
      <c r="B87" s="105" t="inlineStr">
        <is>
          <t xml:space="preserve">SUPER BRANCH</t>
        </is>
      </c>
      <c r="C87" s="105" t="inlineStr">
        <is>
          <t xml:space="preserve">Ko'tarmadi</t>
        </is>
      </c>
      <c r="D87" s="105" t="inlineStr">
        <is>
          <t xml:space="preserve">Кр-99037202-1</t>
        </is>
      </c>
      <c r="E87" s="105" t="inlineStr">
        <is>
          <t xml:space="preserve">MAMAJONOV MIRZOXID NE’MATJON O’G’LI</t>
        </is>
      </c>
      <c r="F87" s="105" t="inlineStr">
        <is>
          <t xml:space="preserve">998944202213 SMS OZI, 998941872322 SMS TOGASI BEGONA, 998936603332 SMS AYOLI, 998947541016 SMS KELINOYISI,</t>
        </is>
      </c>
      <c r="G87" s="105" t="inlineStr">
        <is>
          <t xml:space="preserve">NAMANGAN VILOYATI UYCHI TUMANI BO’STON MFY SHAFTOLI KO’CHA 73 UY</t>
        </is>
      </c>
      <c r="H87" s="106">
        <v>1.0</v>
      </c>
      <c r="I87" s="106">
        <v>2731382.3</v>
      </c>
      <c r="K87" s="105" t="inlineStr">
        <is>
          <t xml:space="preserve">umuman kotarmayabdi | Стандартрый</t>
        </is>
      </c>
    </row>
    <row r="88">
      <c r="A88" s="105" t="inlineStr">
        <is>
          <t xml:space="preserve">НАМАНГАН ВИЛОЯТИ</t>
        </is>
      </c>
      <c r="B88" s="105" t="inlineStr">
        <is>
          <t xml:space="preserve">SUPER BRANCH</t>
        </is>
      </c>
      <c r="C88" s="105" t="inlineStr">
        <is>
          <t xml:space="preserve">Ko'tarmadi</t>
        </is>
      </c>
      <c r="D88" s="105" t="inlineStr">
        <is>
          <t xml:space="preserve">Кр-99037174-1</t>
        </is>
      </c>
      <c r="E88" s="105" t="inlineStr">
        <is>
          <t xml:space="preserve">VAXOBOV AZIZBEK VOXIDJON O’G’LI</t>
        </is>
      </c>
      <c r="F88" s="105" t="inlineStr">
        <is>
          <t xml:space="preserve">998330919599 SMS OZI qozogistinda, 998880368678 SMS AMMASI, 998936662067 SMS DADASI, 998975712323 SMS OSHNASI 2 yildan beri gaplashmagan,</t>
        </is>
      </c>
      <c r="G88" s="105" t="inlineStr">
        <is>
          <t xml:space="preserve">NAMANGAN VILOYATI NORIN TUMANI NORINKAPA MFY ISLOMOBOD KO’CHA 15 UY</t>
        </is>
      </c>
      <c r="H88" s="106">
        <v>3.0</v>
      </c>
      <c r="I88" s="106">
        <v>2596607.5</v>
      </c>
      <c r="K88" s="105" t="inlineStr">
        <is>
          <t xml:space="preserve">umuman kotarmayabdi | Стандартрый</t>
        </is>
      </c>
    </row>
    <row r="89">
      <c r="A89" s="105" t="inlineStr">
        <is>
          <t xml:space="preserve">НАМАНГАН ВИЛОЯТИ</t>
        </is>
      </c>
      <c r="B89" s="105" t="inlineStr">
        <is>
          <t xml:space="preserve">SUPER BRANCH</t>
        </is>
      </c>
      <c r="C89" s="105" t="inlineStr">
        <is>
          <t xml:space="preserve">Ko'tarmadi</t>
        </is>
      </c>
      <c r="D89" s="105" t="inlineStr">
        <is>
          <t xml:space="preserve">Кр-99040273-1</t>
        </is>
      </c>
      <c r="E89" s="105" t="inlineStr">
        <is>
          <t xml:space="preserve">EGAMBERDIYEV BOBUR SOLIJON O’G’LI</t>
        </is>
      </c>
      <c r="F89" s="105" t="inlineStr">
        <is>
          <t xml:space="preserve">+998500790294 SMS O’ZI, 998939411407 SMS AYOLI, 998945040008 SMS AKASI,</t>
        </is>
      </c>
      <c r="G89" s="105" t="inlineStr">
        <is>
          <t xml:space="preserve">Наманганская область, Нарынский район, Учтепа ССГ, Пастки Чужа МСГ, ул. Ахмаджон Мингбоев, дом 12</t>
        </is>
      </c>
      <c r="H89" s="106">
        <v>3.0</v>
      </c>
      <c r="I89" s="106">
        <v>2478833.79</v>
      </c>
      <c r="K89" s="105" t="inlineStr">
        <is>
          <t xml:space="preserve">umuman kotarmayabdi | Хороший</t>
        </is>
      </c>
    </row>
    <row r="90">
      <c r="A90" s="105" t="inlineStr">
        <is>
          <t xml:space="preserve">НАМАНГАН ВИЛОЯТИ</t>
        </is>
      </c>
      <c r="B90" s="105" t="inlineStr">
        <is>
          <t xml:space="preserve">SUPER BRANCH</t>
        </is>
      </c>
      <c r="C90" s="105" t="inlineStr">
        <is>
          <t xml:space="preserve">Ko'tarmadi</t>
        </is>
      </c>
      <c r="D90" s="105" t="inlineStr">
        <is>
          <t xml:space="preserve">Кр-99035765-1</t>
        </is>
      </c>
      <c r="E90" s="105" t="inlineStr">
        <is>
          <t xml:space="preserve">AZIMOV XURSANBOY XUSANBOY O’G’LI</t>
        </is>
      </c>
      <c r="F90" s="105" t="inlineStr">
        <is>
          <t xml:space="preserve">998930378995 SMS O’ZI, 998907965952 SMS O’ZI 2, 998935030429 SMS AYOLI BEGONA, 998958186263 SMS ONASI ,</t>
        </is>
      </c>
      <c r="G90" s="105" t="inlineStr">
        <is>
          <t xml:space="preserve">NAMANGAN VILOYATI NORIN TUMANI KATTA O’LMAS MFY SHODLIK KO’CHA 21 UY</t>
        </is>
      </c>
      <c r="H90" s="106">
        <v>6.0</v>
      </c>
      <c r="I90" s="106">
        <v>2378656.26</v>
      </c>
      <c r="K90" s="105" t="inlineStr">
        <is>
          <t xml:space="preserve">umuman kotarmayabdi | Стандартрый</t>
        </is>
      </c>
    </row>
    <row r="91">
      <c r="A91" s="105" t="inlineStr">
        <is>
          <t xml:space="preserve">НАМАНГАН ВИЛОЯТИ</t>
        </is>
      </c>
      <c r="B91" s="105" t="inlineStr">
        <is>
          <t xml:space="preserve">SUPER BRANCH</t>
        </is>
      </c>
      <c r="C91" s="105" t="inlineStr">
        <is>
          <t xml:space="preserve">Ko'tarmadi</t>
        </is>
      </c>
      <c r="D91" s="105" t="inlineStr">
        <is>
          <t xml:space="preserve">Кр-99033809-2</t>
        </is>
      </c>
      <c r="E91" s="105" t="inlineStr">
        <is>
          <t xml:space="preserve">BAYXANOV OLIM GULAMOVICH</t>
        </is>
      </c>
      <c r="F91" s="105" t="inlineStr">
        <is>
          <t xml:space="preserve">998886267771 SMS O’ZI, 998935700636 SMS UKASI, 998339852021 SMS DADASI, 998882548111 SMS ONASI, 998999752666 SMS O'ZI, 998953000016 SMS uzi new,</t>
        </is>
      </c>
      <c r="G91" s="105" t="inlineStr">
        <is>
          <t xml:space="preserve">NAMANGAN VILOYATI NAMANGAN SHAHAR OBOD MFY  ILG’OR 1 TOR KO’CHA  8 A UY</t>
        </is>
      </c>
      <c r="H91" s="106">
        <v>3.0</v>
      </c>
      <c r="I91" s="106">
        <v>1951084.53</v>
      </c>
      <c r="K91" s="105" t="inlineStr">
        <is>
          <t xml:space="preserve">umuman kotarmayabdi | Стандартрый</t>
        </is>
      </c>
    </row>
    <row r="92">
      <c r="A92" s="105" t="inlineStr">
        <is>
          <t xml:space="preserve">НАМАНГАН ВИЛОЯТИ</t>
        </is>
      </c>
      <c r="B92" s="105" t="inlineStr">
        <is>
          <t xml:space="preserve">SUPER BRANCH</t>
        </is>
      </c>
      <c r="C92" s="105" t="inlineStr">
        <is>
          <t xml:space="preserve">Ko'tarmadi</t>
        </is>
      </c>
      <c r="D92" s="105" t="inlineStr">
        <is>
          <t xml:space="preserve">Кр-99029040-3</t>
        </is>
      </c>
      <c r="E92" s="105" t="inlineStr">
        <is>
          <t xml:space="preserve">IKRAMOV MA’RUFXON AYUBXON O’G’LI</t>
        </is>
      </c>
      <c r="F92" s="105" t="inlineStr">
        <is>
          <t xml:space="preserve">91-369-67-69  SMS O'ZI, 91-266-66-61  SMS OSHNASI, 93-497-65-72  SMS DEDASI, 93-675-41-81 SMS  ISH XONA,</t>
        </is>
      </c>
      <c r="G92" s="105" t="inlineStr">
        <is>
          <t xml:space="preserve">NAMANGAN VILOYATI NAMANGAN SHAHAR BUNYODKOR MFY USTALAR KO’CHASI 40-UY</t>
        </is>
      </c>
      <c r="H92" s="106">
        <v>3.0</v>
      </c>
      <c r="I92" s="106">
        <v>1742231.67</v>
      </c>
      <c r="K92" s="105" t="inlineStr">
        <is>
          <t xml:space="preserve">umuman kotarmayabdi | Стандартрый</t>
        </is>
      </c>
    </row>
    <row r="93">
      <c r="A93" s="105" t="inlineStr">
        <is>
          <t xml:space="preserve">НАМАНГАН ВИЛОЯТИ</t>
        </is>
      </c>
      <c r="B93" s="105" t="inlineStr">
        <is>
          <t xml:space="preserve">SUPER BRANCH</t>
        </is>
      </c>
      <c r="C93" s="105" t="inlineStr">
        <is>
          <t xml:space="preserve">Ko'tarmadi</t>
        </is>
      </c>
      <c r="D93" s="105" t="inlineStr">
        <is>
          <t xml:space="preserve">Кр-99034285-2</t>
        </is>
      </c>
      <c r="E93" s="105" t="inlineStr">
        <is>
          <t xml:space="preserve">NURIDDINOV MURODJON ABDULVOXIT O’G’LI</t>
        </is>
      </c>
      <c r="F93" s="105" t="inlineStr">
        <is>
          <t xml:space="preserve">998990903636 SMS O’ZI, 998945087459 SMS DADASI, 998956751004 SMS AYOLI, 998933554343 SMS UKASI,</t>
        </is>
      </c>
      <c r="G93" s="105" t="inlineStr">
        <is>
          <t xml:space="preserve">NAMANGAN VILOYATI UYCHI TUMANI YORQO’RG’ON QFY OQTOSH MFY TARAQQIYOT KO’CHA 22 UY</t>
        </is>
      </c>
      <c r="H93" s="106">
        <v>3.0</v>
      </c>
      <c r="I93" s="106">
        <v>1672506.92</v>
      </c>
      <c r="K93" s="105" t="inlineStr">
        <is>
          <t xml:space="preserve">umuman kotarmayabdi | Стандартрый</t>
        </is>
      </c>
    </row>
    <row r="94">
      <c r="A94" s="105" t="inlineStr">
        <is>
          <t xml:space="preserve">НАМАНГАН ВИЛОЯТИ</t>
        </is>
      </c>
      <c r="B94" s="105" t="inlineStr">
        <is>
          <t xml:space="preserve">SUPER BRANCH</t>
        </is>
      </c>
      <c r="C94" s="105" t="inlineStr">
        <is>
          <t xml:space="preserve">Ko'tarmadi</t>
        </is>
      </c>
      <c r="D94" s="105" t="inlineStr">
        <is>
          <t xml:space="preserve">Кр-99036496-1</t>
        </is>
      </c>
      <c r="E94" s="105" t="inlineStr">
        <is>
          <t xml:space="preserve">KARIMOV MUZAFFAR MAXAMMADJON O’G’LI</t>
        </is>
      </c>
      <c r="F94" s="105" t="inlineStr">
        <is>
          <t xml:space="preserve">998886888608 SMS OZI, 998881671727 SMS ZALOGADATEL, 998336068608 SMS UKASI, 998919543767 SMS ZALOGADATEL,</t>
        </is>
      </c>
      <c r="G94" s="105" t="inlineStr">
        <is>
          <t xml:space="preserve">NAMANGAN VILOYATI TO’RAQO’RG’ON TUMANI SHARQ MFY HAQIQAT KO’CHASI 197-UY</t>
        </is>
      </c>
      <c r="H94" s="106">
        <v>3.0</v>
      </c>
      <c r="I94" s="106">
        <v>1601061.14</v>
      </c>
      <c r="K94" s="105" t="inlineStr">
        <is>
          <t xml:space="preserve">umuman kotarmayabdi | Стандартрый</t>
        </is>
      </c>
    </row>
    <row r="95">
      <c r="A95" s="105" t="inlineStr">
        <is>
          <t xml:space="preserve">НАМАНГАН ВИЛОЯТИ</t>
        </is>
      </c>
      <c r="B95" s="105" t="inlineStr">
        <is>
          <t xml:space="preserve">SUPER BRANCH</t>
        </is>
      </c>
      <c r="C95" s="105" t="inlineStr">
        <is>
          <t xml:space="preserve">Ko'tarmadi</t>
        </is>
      </c>
      <c r="D95" s="105" t="inlineStr">
        <is>
          <t xml:space="preserve">Кр-99040214-1</t>
        </is>
      </c>
      <c r="E95" s="105" t="inlineStr">
        <is>
          <t xml:space="preserve">O’LMASOV BARKAMOL BAXODIR O’G’LI</t>
        </is>
      </c>
      <c r="F95" s="105" t="inlineStr">
        <is>
          <t xml:space="preserve">998880708060 SMS OZI, 998901547476 SMS AYOLI, 998933636893 SMS AKASI,</t>
        </is>
      </c>
      <c r="G95" s="105" t="inlineStr">
        <is>
          <t xml:space="preserve">NAMANGAN VILOYATI NAMANGAN TUMANI OLAXAMAK MFY ZIYOKOR KO'CHASI 35 UY</t>
        </is>
      </c>
      <c r="H95" s="106">
        <v>3.0</v>
      </c>
      <c r="I95" s="106">
        <v>1567558.35</v>
      </c>
      <c r="K95" s="105" t="inlineStr">
        <is>
          <t xml:space="preserve">umuman kotarmayabdi | Стандартрый</t>
        </is>
      </c>
    </row>
    <row r="96">
      <c r="A96" s="105" t="inlineStr">
        <is>
          <t xml:space="preserve">НАМАНГАН ВИЛОЯТИ</t>
        </is>
      </c>
      <c r="B96" s="105" t="inlineStr">
        <is>
          <t xml:space="preserve">SUPER BRANCH</t>
        </is>
      </c>
      <c r="C96" s="105" t="inlineStr">
        <is>
          <t xml:space="preserve">Ko'tarmadi</t>
        </is>
      </c>
      <c r="D96" s="105" t="inlineStr">
        <is>
          <t xml:space="preserve">Кр-99035740-1</t>
        </is>
      </c>
      <c r="E96" s="105" t="inlineStr">
        <is>
          <t xml:space="preserve">BAXTIYOROVA GULCHEXRA BAXTIYOR QIZI</t>
        </is>
      </c>
      <c r="F96" s="105" t="inlineStr">
        <is>
          <t xml:space="preserve">998945099419 SMS OZI, 998998874348 SMS AKASI, 998993969419 SMS BEGONA,</t>
        </is>
      </c>
      <c r="G96" s="105" t="inlineStr">
        <is>
          <t xml:space="preserve">NAMANGAN VILOYATI UCHQO’RG’ON TUMANI KO’PRIKBOSHI MFY A TEMUR KO’CHASI 21 UY</t>
        </is>
      </c>
      <c r="H96" s="106">
        <v>6.0</v>
      </c>
      <c r="I96" s="106">
        <v>1554982.55</v>
      </c>
      <c r="K96" s="105" t="inlineStr">
        <is>
          <t xml:space="preserve">umuman kotarmayabdi | Стандартрый</t>
        </is>
      </c>
    </row>
    <row r="97">
      <c r="A97" s="105" t="inlineStr">
        <is>
          <t xml:space="preserve">НАМАНГАН ВИЛОЯТИ</t>
        </is>
      </c>
      <c r="B97" s="105" t="inlineStr">
        <is>
          <t xml:space="preserve">SUPER BRANCH</t>
        </is>
      </c>
      <c r="C97" s="105" t="inlineStr">
        <is>
          <t xml:space="preserve">Ko'tarmadi</t>
        </is>
      </c>
      <c r="D97" s="105" t="inlineStr">
        <is>
          <t xml:space="preserve">Кр-99036121-3</t>
        </is>
      </c>
      <c r="E97" s="105" t="inlineStr">
        <is>
          <t xml:space="preserve">NURMATOVA SABOXAT SADIKOVNA</t>
        </is>
      </c>
      <c r="F97" s="105" t="inlineStr">
        <is>
          <t xml:space="preserve">998949090002 SMS O’ZI , 998333700000 SMS O’G’LI , 998945007000 SMS O’G’LI, 998500405566 SMS O’G’LI  BEGONA, 998947102552 SMS KELINI, 998913599253 SMS O'ZI ,</t>
        </is>
      </c>
      <c r="G97" s="105" t="inlineStr">
        <is>
          <t xml:space="preserve">NAMANGAN VILOYATI CHUST TUMANI BOFANDA MFY UYG’UN KO’CHA 15 UY</t>
        </is>
      </c>
      <c r="H97" s="106">
        <v>3.0</v>
      </c>
      <c r="I97" s="106">
        <v>1427557.38</v>
      </c>
      <c r="K97" s="105" t="inlineStr">
        <is>
          <t xml:space="preserve">umuman kotarmayabdi | Стандартрый</t>
        </is>
      </c>
    </row>
    <row r="98">
      <c r="A98" s="105" t="inlineStr">
        <is>
          <t xml:space="preserve">НАМАНГАН ВИЛОЯТИ</t>
        </is>
      </c>
      <c r="B98" s="105" t="inlineStr">
        <is>
          <t xml:space="preserve">SUPER BRANCH</t>
        </is>
      </c>
      <c r="C98" s="105" t="inlineStr">
        <is>
          <t xml:space="preserve">Ko'tarmadi</t>
        </is>
      </c>
      <c r="D98" s="105" t="inlineStr">
        <is>
          <t xml:space="preserve">Кр-99033357-2</t>
        </is>
      </c>
      <c r="E98" s="105" t="inlineStr">
        <is>
          <t xml:space="preserve">NE’MATULLAYEV ISLOMBEK LUTFILLO O’G’LI</t>
        </is>
      </c>
      <c r="F98" s="105" t="inlineStr">
        <is>
          <t xml:space="preserve">998930585058 SMS O’ZI, 998934055580 SMS DADASI, 998939555058 UKASI, 998975206006 OSHNASI,</t>
        </is>
      </c>
      <c r="G98" s="105" t="inlineStr">
        <is>
          <t xml:space="preserve">NAMANGAN VILOYATI DAVLATOBOD TUMANI PORLOQ MFY 3-KICHIK NOXIYA 54 UY 10 XONADON</t>
        </is>
      </c>
      <c r="H98" s="106">
        <v>3.0</v>
      </c>
      <c r="I98" s="106">
        <v>1242636.25</v>
      </c>
      <c r="K98" s="105" t="inlineStr">
        <is>
          <t xml:space="preserve">umuman kotarmayabdi | Стандартрый</t>
        </is>
      </c>
    </row>
    <row r="99">
      <c r="A99" s="105" t="inlineStr">
        <is>
          <t xml:space="preserve">НАМАНГАН ВИЛОЯТИ</t>
        </is>
      </c>
      <c r="B99" s="105" t="inlineStr">
        <is>
          <t xml:space="preserve">SUPER BRANCH</t>
        </is>
      </c>
      <c r="C99" s="105" t="inlineStr">
        <is>
          <t xml:space="preserve">Ko'tarmadi</t>
        </is>
      </c>
      <c r="D99" s="105" t="inlineStr">
        <is>
          <t xml:space="preserve">Кр-99039983-1</t>
        </is>
      </c>
      <c r="E99" s="105" t="inlineStr">
        <is>
          <t xml:space="preserve">USMANOV BAXROM FAZLIDDINOVICH</t>
        </is>
      </c>
      <c r="F99" s="105" t="inlineStr">
        <is>
          <t xml:space="preserve">998972303462 SMS OZI, 998999711191 SMS AYOLI, 998941509197 SMS OGLI, 998913451191 SMS KELINI,</t>
        </is>
      </c>
      <c r="G99" s="105" t="inlineStr">
        <is>
          <t xml:space="preserve">NAMANGAN VILOYATI UYCHI TUMANI SHIFOKOR MFY SPORTCULAR KO’CHASI 6 UY</t>
        </is>
      </c>
      <c r="H99" s="106">
        <v>3.0</v>
      </c>
      <c r="I99" s="106">
        <v>1219580.42</v>
      </c>
      <c r="K99" s="105" t="inlineStr">
        <is>
          <t xml:space="preserve">umuman kotarmayabdi | Стандартрый</t>
        </is>
      </c>
    </row>
    <row r="100">
      <c r="A100" s="105" t="inlineStr">
        <is>
          <t xml:space="preserve">НАМАНГАН ВИЛОЯТИ</t>
        </is>
      </c>
      <c r="B100" s="105" t="inlineStr">
        <is>
          <t xml:space="preserve">SUPER BRANCH</t>
        </is>
      </c>
      <c r="C100" s="105" t="inlineStr">
        <is>
          <t xml:space="preserve">Ko'tarmadi</t>
        </is>
      </c>
      <c r="D100" s="105" t="inlineStr">
        <is>
          <t xml:space="preserve">Кр-99039409-1</t>
        </is>
      </c>
      <c r="E100" s="105" t="inlineStr">
        <is>
          <t xml:space="preserve">SIDDIQOVA BARCHINOY G’ANIJON QIZI</t>
        </is>
      </c>
      <c r="F100" s="105" t="inlineStr">
        <is>
          <t xml:space="preserve">998906985658 SMS ERI, 998507171089 SMS ZALOGADATEL (BEGONA),</t>
        </is>
      </c>
      <c r="G100" s="105" t="inlineStr">
        <is>
          <t xml:space="preserve">NAMANGAN VILOYATI YANGIQO’RG’ON TUMANI YANGIARIQ MFY YANGIARIQ KO’CHA 76 UY</t>
        </is>
      </c>
      <c r="H100" s="106">
        <v>1.0</v>
      </c>
      <c r="I100" s="106">
        <v>1177743.8</v>
      </c>
      <c r="K100" s="105" t="inlineStr">
        <is>
          <t xml:space="preserve">umuman kotarmayabdi | Стандартрый</t>
        </is>
      </c>
    </row>
    <row r="101">
      <c r="A101" s="105" t="inlineStr">
        <is>
          <t xml:space="preserve">НАМАНГАН ВИЛОЯТИ</t>
        </is>
      </c>
      <c r="B101" s="105" t="inlineStr">
        <is>
          <t xml:space="preserve">SUPER BRANCH</t>
        </is>
      </c>
      <c r="C101" s="105" t="inlineStr">
        <is>
          <t xml:space="preserve">Ko'tarmadi</t>
        </is>
      </c>
      <c r="D101" s="105" t="inlineStr">
        <is>
          <t xml:space="preserve">Кр-99038737-2</t>
        </is>
      </c>
      <c r="E101" s="105" t="inlineStr">
        <is>
          <t xml:space="preserve">HOJIXONOV MUZAFFARXON VALIXON O’G’LI</t>
        </is>
      </c>
      <c r="F101" s="105" t="inlineStr">
        <is>
          <t xml:space="preserve">998942839800 SMS OZI, 998770779822 SMS OZI 2, 998996058770 SMS Onas, 998993630991 SMS AKASI begona,</t>
        </is>
      </c>
      <c r="G101" s="105" t="inlineStr">
        <is>
          <t xml:space="preserve">NAMANGAN VILOYATI KOSONSOY TUMANI CHINDOVUL MFY ZAMONBOSHI KO’CHASI 66-UY</t>
        </is>
      </c>
      <c r="H101" s="106">
        <v>3.0</v>
      </c>
      <c r="I101" s="106">
        <v>766672.5</v>
      </c>
      <c r="K101" s="105" t="inlineStr">
        <is>
          <t xml:space="preserve">umuman kotarmayabdi | Хороший</t>
        </is>
      </c>
    </row>
    <row r="102">
      <c r="A102" s="105" t="inlineStr">
        <is>
          <t xml:space="preserve">НАМАНГАН ВИЛОЯТИ</t>
        </is>
      </c>
      <c r="B102" s="105" t="inlineStr">
        <is>
          <t xml:space="preserve">SUPER BRANCH</t>
        </is>
      </c>
      <c r="C102" s="105" t="inlineStr">
        <is>
          <t xml:space="preserve">Ko'tarmadi</t>
        </is>
      </c>
      <c r="D102" s="105" t="inlineStr">
        <is>
          <t xml:space="preserve">Кр-99039111-2</t>
        </is>
      </c>
      <c r="E102" s="105" t="inlineStr">
        <is>
          <t xml:space="preserve">ISMAILOV BAXTIYOR ERGASHEVICH</t>
        </is>
      </c>
      <c r="F102" s="105" t="inlineStr">
        <is>
          <t xml:space="preserve">998934581968 SMS OZI, 998508071970 SMS OZI 2, 998934975550 SMS OGLI, 998937939200 SMS KELINI,</t>
        </is>
      </c>
      <c r="G102" s="105" t="inlineStr">
        <is>
          <t xml:space="preserve">NAMANGAN VILOYATI UYCHI TUMAI SOKU MFY SAMARA KO’CHASI 32 UY</t>
        </is>
      </c>
      <c r="H102" s="106">
        <v>3.0</v>
      </c>
      <c r="I102" s="106">
        <v>741917.86</v>
      </c>
      <c r="K102" s="105" t="inlineStr">
        <is>
          <t xml:space="preserve">umuman kotarmayabdi | Стандартрый</t>
        </is>
      </c>
    </row>
    <row r="103">
      <c r="A103" s="105" t="inlineStr">
        <is>
          <t xml:space="preserve">НАМАНГАН ВИЛОЯТИ</t>
        </is>
      </c>
      <c r="B103" s="105" t="inlineStr">
        <is>
          <t xml:space="preserve">SUPER BRANCH</t>
        </is>
      </c>
      <c r="C103" s="105" t="inlineStr">
        <is>
          <t xml:space="preserve">Ko'tarmadi</t>
        </is>
      </c>
      <c r="D103" s="105" t="inlineStr">
        <is>
          <t xml:space="preserve">Кр-99039352-1</t>
        </is>
      </c>
      <c r="E103" s="105" t="inlineStr">
        <is>
          <t xml:space="preserve">YUSUFJONOV MURODJON MA’RUFJON O’G’LI</t>
        </is>
      </c>
      <c r="F103" s="105" t="inlineStr">
        <is>
          <t xml:space="preserve">998932656616 SMS OZI, 998932656616 SMS OZI 2, 998913526616 SMS UYI, 998994732622 SMS OPASI,</t>
        </is>
      </c>
      <c r="G103" s="105" t="inlineStr">
        <is>
          <t xml:space="preserve">NAMANGAN SHAXAR ZARBDOR  MFY BESHKAPA KO’CHA 16 UY</t>
        </is>
      </c>
      <c r="H103" s="106">
        <v>2.0</v>
      </c>
      <c r="I103" s="106">
        <v>479762.08</v>
      </c>
      <c r="K103" s="105" t="inlineStr">
        <is>
          <t xml:space="preserve">umuman kotarmayabdi | Стандартрый</t>
        </is>
      </c>
    </row>
    <row r="104">
      <c r="A104" s="107" t="inlineStr">
        <is>
          <t xml:space="preserve">НАМАНГАН ВИЛОЯТИ</t>
        </is>
      </c>
      <c r="B104" s="107" t="inlineStr">
        <is>
          <t xml:space="preserve">Наманган филиали</t>
        </is>
      </c>
      <c r="C104" s="107" t="inlineStr">
        <is>
          <t xml:space="preserve">Ko'tarmadi</t>
        </is>
      </c>
      <c r="D104" s="107" t="inlineStr">
        <is>
          <t xml:space="preserve">Кр-99026756-1</t>
        </is>
      </c>
      <c r="E104" s="107" t="inlineStr">
        <is>
          <t xml:space="preserve">ABDULLAYEVA MATLUBA MAXAMADJONOVNA</t>
        </is>
      </c>
      <c r="F104" s="107" t="inlineStr">
        <is>
          <t xml:space="preserve">93-499-87-11 SMS OZI, 50-100-80-35 SMS UY BEGONA, 77-777-80-35 SMS OGLI, 99-911-80-35 SMS OZI 2,</t>
        </is>
      </c>
      <c r="G104" s="107" t="inlineStr">
        <is>
          <t xml:space="preserve">NAMANGAN VILOYATI KOSONSOY TUMANI OZOD MFY KOMOLOT KO’CHASI 189 UY</t>
        </is>
      </c>
      <c r="H104" s="108">
        <v>129.0</v>
      </c>
      <c r="I104" s="108">
        <v>52269726.31</v>
      </c>
      <c r="K104" s="107" t="inlineStr">
        <is>
          <t xml:space="preserve">filial xal qiladi | Плохой</t>
        </is>
      </c>
    </row>
    <row r="105">
      <c r="A105" s="107" t="inlineStr">
        <is>
          <t xml:space="preserve">НАМАНГАН ВИЛОЯТИ</t>
        </is>
      </c>
      <c r="B105" s="107" t="inlineStr">
        <is>
          <t xml:space="preserve">Наманган филиали</t>
        </is>
      </c>
      <c r="C105" s="107" t="inlineStr">
        <is>
          <t xml:space="preserve">Ko'tarmadi</t>
        </is>
      </c>
      <c r="D105" s="107" t="inlineStr">
        <is>
          <t xml:space="preserve">Кр-99030243-1</t>
        </is>
      </c>
      <c r="E105" s="107" t="inlineStr">
        <is>
          <t xml:space="preserve">IBROHIMOV ILYOSXON MAXMUDJON O’G’LI</t>
        </is>
      </c>
      <c r="F105" s="107" t="inlineStr">
        <is>
          <t xml:space="preserve">99-613-07-03  SMS O’ZI, 95-677-19-78  SMS ONASI, 998939155252 SMS tulovchi , 93-918-55-50  SMS OSHNASI begona, 998330002000 TANISHI, 998772935555 tolovchi begona,</t>
        </is>
      </c>
      <c r="G105" s="107" t="inlineStr">
        <is>
          <t xml:space="preserve">NAMANGAN VILOYATI DAVLATOBOD TUMANI  YUQORI G’IRVON MFY N INAMOV KO’CHASI 34 UY</t>
        </is>
      </c>
      <c r="H105" s="108">
        <v>239.0</v>
      </c>
      <c r="I105" s="108">
        <v>49164568.53</v>
      </c>
      <c r="K105" s="107" t="inlineStr">
        <is>
          <t xml:space="preserve">filial xal qiladi | Плохой</t>
        </is>
      </c>
    </row>
    <row r="106">
      <c r="A106" s="107" t="inlineStr">
        <is>
          <t xml:space="preserve">НАМАНГАН ВИЛОЯТИ</t>
        </is>
      </c>
      <c r="B106" s="107" t="inlineStr">
        <is>
          <t xml:space="preserve">Наманган филиали</t>
        </is>
      </c>
      <c r="C106" s="107" t="inlineStr">
        <is>
          <t xml:space="preserve">Ko'tarmadi</t>
        </is>
      </c>
      <c r="D106" s="107" t="inlineStr">
        <is>
          <t xml:space="preserve">Кр-99033562-3</t>
        </is>
      </c>
      <c r="E106" s="107" t="inlineStr">
        <is>
          <t xml:space="preserve">JAKBAROVA G’AZINAXON ABDUMUXTOROVNA</t>
        </is>
      </c>
      <c r="F106" s="107" t="inlineStr">
        <is>
          <t xml:space="preserve">998973764800 SMS O’ZI, 998937022566 SMS ERI, 998994911975 SMS ZALOGODATEL, 998972120518 SMS KELINI TOLOVCHI NEW,</t>
        </is>
      </c>
      <c r="G106" s="107" t="inlineStr">
        <is>
          <t xml:space="preserve">NAMANGAN VILOYATI NORIN TUMANI NORINKAPA MFY YOSHLAR KO’CHA 76 UY</t>
        </is>
      </c>
      <c r="H106" s="108">
        <v>3.0</v>
      </c>
      <c r="I106" s="108">
        <v>7510688.15</v>
      </c>
      <c r="K106" s="107" t="inlineStr">
        <is>
          <t xml:space="preserve">umuman kotarmayabdi | Хороший</t>
        </is>
      </c>
    </row>
    <row r="107">
      <c r="A107" s="107" t="inlineStr">
        <is>
          <t xml:space="preserve">НАМАНГАН ВИЛОЯТИ</t>
        </is>
      </c>
      <c r="B107" s="107" t="inlineStr">
        <is>
          <t xml:space="preserve">Наманган филиали</t>
        </is>
      </c>
      <c r="C107" s="107" t="inlineStr">
        <is>
          <t xml:space="preserve">Ko'tarmadi</t>
        </is>
      </c>
      <c r="D107" s="107" t="inlineStr">
        <is>
          <t xml:space="preserve">Кр-99036902-2</t>
        </is>
      </c>
      <c r="E107" s="107" t="inlineStr">
        <is>
          <t xml:space="preserve">YUNUSOV RAVSHANJON ABDURAXMONOVICH</t>
        </is>
      </c>
      <c r="F107" s="107" t="inlineStr">
        <is>
          <t xml:space="preserve">998500540304 SMS OZI, 998939132200 SMS OZI, 998949077385 SMS AYOLI begona, 998500540320 SMS QIZI,</t>
        </is>
      </c>
      <c r="G107" s="107" t="inlineStr">
        <is>
          <t xml:space="preserve">NAMANGAN VILOYATI CHUST TUMANI YANGIYER MFY YOSHLIK KO’CHASI 12 UY</t>
        </is>
      </c>
      <c r="H107" s="108">
        <v>3.0</v>
      </c>
      <c r="I107" s="108">
        <v>6186612.94</v>
      </c>
      <c r="K107" s="107" t="inlineStr">
        <is>
          <t xml:space="preserve">umuman kotarmayabdi | Стандартрый</t>
        </is>
      </c>
    </row>
    <row r="108">
      <c r="A108" s="107" t="inlineStr">
        <is>
          <t xml:space="preserve">НАМАНГАН ВИЛОЯТИ</t>
        </is>
      </c>
      <c r="B108" s="107" t="inlineStr">
        <is>
          <t xml:space="preserve">Наманган филиали</t>
        </is>
      </c>
      <c r="C108" s="107" t="inlineStr">
        <is>
          <t xml:space="preserve">Ko'tarmadi</t>
        </is>
      </c>
      <c r="D108" s="107" t="inlineStr">
        <is>
          <t xml:space="preserve">Кр-99028498-3</t>
        </is>
      </c>
      <c r="E108" s="107" t="inlineStr">
        <is>
          <t xml:space="preserve">MAVLONOV SARDORBEK ABDURAXMON O’G’LI</t>
        </is>
      </c>
      <c r="F108" s="107" t="inlineStr">
        <is>
          <t xml:space="preserve">93-351-00-08 sms OZI, 91-765-35-77 sms OZI 2, 94-277-77-70 sms AKASI BEGONA, 50-221-74-44 sms OSHNASI, +998933510008 SMS O’ZI, 998701063535 SMS JIYANI SPARKNI EGASI, 998996426161 SMS UY,</t>
        </is>
      </c>
      <c r="G108" s="107" t="inlineStr">
        <is>
          <t xml:space="preserve">NAMANGAN VILOYATI NAMANGAN SHAHAR XAQIQAT MFY TEMUR KO’CHASI 4-TUPIK 2 UY2</t>
        </is>
      </c>
      <c r="H108" s="108">
        <v>3.0</v>
      </c>
      <c r="I108" s="108">
        <v>4963582.95</v>
      </c>
      <c r="K108" s="107" t="inlineStr">
        <is>
          <t xml:space="preserve">umuman kotarmayabdi | Стандартрый</t>
        </is>
      </c>
    </row>
    <row r="109">
      <c r="A109" s="107" t="inlineStr">
        <is>
          <t xml:space="preserve">НАМАНГАН ВИЛОЯТИ</t>
        </is>
      </c>
      <c r="B109" s="107" t="inlineStr">
        <is>
          <t xml:space="preserve">Наманган филиали</t>
        </is>
      </c>
      <c r="C109" s="107" t="inlineStr">
        <is>
          <t xml:space="preserve">Ko'tarmadi</t>
        </is>
      </c>
      <c r="D109" s="107" t="inlineStr">
        <is>
          <t xml:space="preserve">Кр-99028498-2</t>
        </is>
      </c>
      <c r="E109" s="107" t="inlineStr">
        <is>
          <t xml:space="preserve">MAVLONOV SARDORBEK ABDURAXMON O’G’LI</t>
        </is>
      </c>
      <c r="F109" s="107" t="inlineStr">
        <is>
          <t xml:space="preserve">93-351-00-08 sms OZI, 91-765-35-77 sms OZI 2, 94-277-77-70 sms AKASI BEGONA, 50-221-74-44 sms OSHNASI, +998933510008 SMS O’ZI, 998701063535 SMS JIYANI SPARKNI EGASI, 998996426161 SMS UY,</t>
        </is>
      </c>
      <c r="G109" s="107" t="inlineStr">
        <is>
          <t xml:space="preserve">NAMANGAN VILOYATI NAMANGAN SHAHAR XAQIQAT MFY TEMUR KO’CHASI 4-TUPIK 2 UY2</t>
        </is>
      </c>
      <c r="H109" s="108">
        <v>3.0</v>
      </c>
      <c r="I109" s="108">
        <v>4919840.9</v>
      </c>
      <c r="K109" s="107" t="inlineStr">
        <is>
          <t xml:space="preserve">umuman kotarmayabdi | Стандартрый</t>
        </is>
      </c>
    </row>
    <row r="110">
      <c r="A110" s="107" t="inlineStr">
        <is>
          <t xml:space="preserve">НАМАНГАН ВИЛОЯТИ</t>
        </is>
      </c>
      <c r="B110" s="107" t="inlineStr">
        <is>
          <t xml:space="preserve">Наманган филиали</t>
        </is>
      </c>
      <c r="C110" s="107" t="inlineStr">
        <is>
          <t xml:space="preserve">Ko'tarmadi</t>
        </is>
      </c>
      <c r="D110" s="107" t="inlineStr">
        <is>
          <t xml:space="preserve">Кр-99027564-1</t>
        </is>
      </c>
      <c r="E110" s="107" t="inlineStr">
        <is>
          <t xml:space="preserve">SOLIYEV NODIRBEK JUMANBOYEVICH</t>
        </is>
      </c>
      <c r="F110" s="107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110" s="107" t="inlineStr">
        <is>
          <t xml:space="preserve">NAMANGAN VILOYATI NORIN TUMANI BOYOVUL MFY BESHQO’RG’ON KO’CHASI 108 UY</t>
        </is>
      </c>
      <c r="H110" s="108">
        <v>6.0</v>
      </c>
      <c r="I110" s="108">
        <v>3835256.89</v>
      </c>
      <c r="K110" s="107" t="inlineStr">
        <is>
          <t xml:space="preserve">umuman kotarmayabdi | Стандартрый</t>
        </is>
      </c>
    </row>
    <row r="111">
      <c r="A111" s="107" t="inlineStr">
        <is>
          <t xml:space="preserve">НАМАНГАН ВИЛОЯТИ</t>
        </is>
      </c>
      <c r="B111" s="107" t="inlineStr">
        <is>
          <t xml:space="preserve">Наманган филиали</t>
        </is>
      </c>
      <c r="C111" s="107" t="inlineStr">
        <is>
          <t xml:space="preserve">Ko'tarmadi</t>
        </is>
      </c>
      <c r="D111" s="107" t="inlineStr">
        <is>
          <t xml:space="preserve">Кр-99031467-1</t>
        </is>
      </c>
      <c r="E111" s="107" t="inlineStr">
        <is>
          <t xml:space="preserve">MIRVALIYEV YUNUSALI YOQUBJON O’G’LI</t>
        </is>
      </c>
      <c r="F111" s="107" t="inlineStr">
        <is>
          <t xml:space="preserve">94-012-62-12  SMS OZI, 94-178-53-93  SMS DADASI, 93-157-02-22  SMS TOGASI, 94-176-53-93  SMS ONASI,</t>
        </is>
      </c>
      <c r="G111" s="107" t="inlineStr">
        <is>
          <t xml:space="preserve">NAMANGAN VILOYATI NAMANGAN TUMAN XONOBOD MFY YANGI YO’L KO’CHA 65 UY</t>
        </is>
      </c>
      <c r="H111" s="108">
        <v>3.0</v>
      </c>
      <c r="I111" s="108">
        <v>2834494.17</v>
      </c>
      <c r="K111" s="107" t="inlineStr">
        <is>
          <t xml:space="preserve">umuman kotarmayabdi | Стандартрый</t>
        </is>
      </c>
    </row>
    <row r="112">
      <c r="A112" s="107" t="inlineStr">
        <is>
          <t xml:space="preserve">НАМАНГАН ВИЛОЯТИ</t>
        </is>
      </c>
      <c r="B112" s="107" t="inlineStr">
        <is>
          <t xml:space="preserve">Наманган филиали</t>
        </is>
      </c>
      <c r="C112" s="107" t="inlineStr">
        <is>
          <t xml:space="preserve">Ko'tarmadi</t>
        </is>
      </c>
      <c r="D112" s="107" t="inlineStr">
        <is>
          <t xml:space="preserve">Кр-99034285-1</t>
        </is>
      </c>
      <c r="E112" s="107" t="inlineStr">
        <is>
          <t xml:space="preserve">NURIDDINOV MURODJON ABDULVOXIT O’G’LI</t>
        </is>
      </c>
      <c r="F112" s="107" t="inlineStr">
        <is>
          <t xml:space="preserve">998990903636 SMS O’ZI, 998945087459 SMS DADASI, 998956751004 SMS AYOLI, 998933554343 SMS UKASI,</t>
        </is>
      </c>
      <c r="G112" s="107" t="inlineStr">
        <is>
          <t xml:space="preserve">NAMANGAN VILOYATI UYCHI TUMANI YORQO’RG’ON QFY OQTOSH MFY TARAQQIYOT KO’CHA 22 UY</t>
        </is>
      </c>
      <c r="H112" s="108">
        <v>1.0</v>
      </c>
      <c r="I112" s="108">
        <v>2690822.36</v>
      </c>
      <c r="K112" s="107" t="inlineStr">
        <is>
          <t xml:space="preserve">umuman kotarmayabdi | Стандартрый</t>
        </is>
      </c>
    </row>
    <row r="113">
      <c r="A113" s="107" t="inlineStr">
        <is>
          <t xml:space="preserve">НАМАНГАН ВИЛОЯТИ</t>
        </is>
      </c>
      <c r="B113" s="107" t="inlineStr">
        <is>
          <t xml:space="preserve">Наманган филиали</t>
        </is>
      </c>
      <c r="C113" s="107" t="inlineStr">
        <is>
          <t xml:space="preserve">Ko'tarmadi</t>
        </is>
      </c>
      <c r="D113" s="107" t="inlineStr">
        <is>
          <t xml:space="preserve">Кр-99033222-1</t>
        </is>
      </c>
      <c r="E113" s="107" t="inlineStr">
        <is>
          <t xml:space="preserve">JO’RAYEV JAMSHIDBEK ALIJON O’G’LI</t>
        </is>
      </c>
      <c r="F113" s="107" t="inlineStr">
        <is>
          <t xml:space="preserve">998940605070 SMS O’ZI, 998880605070 SMS OSHNASI begona, 998934032524 SMS OSHNASI 2, 998931934323 SMS AYOLI,</t>
        </is>
      </c>
      <c r="G113" s="107" t="inlineStr">
        <is>
          <t xml:space="preserve">NAMANGAN VILOYATI UYCHI TUMANI MIRZAROVOT MFY MIRZAROVOT KO’CHA 93 UY</t>
        </is>
      </c>
      <c r="H113" s="108">
        <v>3.0</v>
      </c>
      <c r="I113" s="108">
        <v>1865833.58</v>
      </c>
      <c r="K113" s="107" t="inlineStr">
        <is>
          <t xml:space="preserve">umuman kotarmayabdi | Стандартрый</t>
        </is>
      </c>
    </row>
    <row r="114">
      <c r="A114" s="107" t="inlineStr">
        <is>
          <t xml:space="preserve">НАМАНГАН ВИЛОЯТИ</t>
        </is>
      </c>
      <c r="B114" s="107" t="inlineStr">
        <is>
          <t xml:space="preserve">Наманган филиали</t>
        </is>
      </c>
      <c r="C114" s="107" t="inlineStr">
        <is>
          <t xml:space="preserve">Ko'tarmadi</t>
        </is>
      </c>
      <c r="D114" s="107" t="inlineStr">
        <is>
          <t xml:space="preserve">Кр-99034976-1</t>
        </is>
      </c>
      <c r="E114" s="107" t="inlineStr">
        <is>
          <t xml:space="preserve">MASUMOV BOBIRXON ODILXONOVICH</t>
        </is>
      </c>
      <c r="F114" s="107" t="inlineStr">
        <is>
          <t xml:space="preserve">998950348883 SMS O’ZI, 998911852556 SMS DADASI, 998913621862 SMS ONASI, 998880328883 SMS NEW NOMER ,</t>
        </is>
      </c>
      <c r="G114" s="107" t="inlineStr">
        <is>
          <t xml:space="preserve">NAMANGAN VILOYATI CHUST TUMANI TEPAQO’RG’ON MFY MUSTAQILLIK KO’CHA</t>
        </is>
      </c>
      <c r="H114" s="108">
        <v>3.0</v>
      </c>
      <c r="I114" s="108">
        <v>1657944.52</v>
      </c>
      <c r="K114" s="107" t="inlineStr">
        <is>
          <t xml:space="preserve">umuman kotarmayabdi | Стандартрый</t>
        </is>
      </c>
    </row>
    <row r="115">
      <c r="A115" s="107" t="inlineStr">
        <is>
          <t xml:space="preserve">НАМАНГАН ВИЛОЯТИ</t>
        </is>
      </c>
      <c r="B115" s="107" t="inlineStr">
        <is>
          <t xml:space="preserve">Наманган филиали</t>
        </is>
      </c>
      <c r="C115" s="107" t="inlineStr">
        <is>
          <t xml:space="preserve">Ko'tarmadi</t>
        </is>
      </c>
      <c r="D115" s="107" t="inlineStr">
        <is>
          <t xml:space="preserve">Кр-99039061-2</t>
        </is>
      </c>
      <c r="E115" s="107" t="inlineStr">
        <is>
          <t xml:space="preserve">SIDIKOV AXLIDDIN ISMOILJONOVICH</t>
        </is>
      </c>
      <c r="F115" s="107" t="inlineStr">
        <is>
          <t xml:space="preserve">998942135102 SMS OZI, 998741043093 SMS AYOLI, 998945050757 SMS ONASI, 998941043097 SMS UKASI, +998942135102 SMS O’ZI,</t>
        </is>
      </c>
      <c r="G115" s="107" t="inlineStr">
        <is>
          <t xml:space="preserve">NAMANGAN VILOYATI CHUST TUMANI OLMOS MFY GULISTON KO’CHA 45 UY</t>
        </is>
      </c>
      <c r="H115" s="108">
        <v>3.0</v>
      </c>
      <c r="I115" s="108">
        <v>1639388.54</v>
      </c>
      <c r="K115" s="107" t="inlineStr">
        <is>
          <t xml:space="preserve">umuman kotarmayabdi | Стандартрый</t>
        </is>
      </c>
    </row>
    <row r="116">
      <c r="A116" s="107" t="inlineStr">
        <is>
          <t xml:space="preserve">НАМАНГАН ВИЛОЯТИ</t>
        </is>
      </c>
      <c r="B116" s="107" t="inlineStr">
        <is>
          <t xml:space="preserve">Наманган филиали</t>
        </is>
      </c>
      <c r="C116" s="107" t="inlineStr">
        <is>
          <t xml:space="preserve">Ko'tarmadi</t>
        </is>
      </c>
      <c r="D116" s="107" t="inlineStr">
        <is>
          <t xml:space="preserve">Кр-99037582-3</t>
        </is>
      </c>
      <c r="E116" s="107" t="inlineStr">
        <is>
          <t xml:space="preserve">MUXIDDINOV JOBIRXON AXMAD-O’G’LI</t>
        </is>
      </c>
      <c r="F116" s="107" t="inlineStr">
        <is>
          <t xml:space="preserve">998930689738 SMS O’ZI, 998914462929 SMS O’ZI, 998940909507 SMS  UKASI, 998507246667 SMS OSHNASI,</t>
        </is>
      </c>
      <c r="G116" s="107" t="inlineStr">
        <is>
          <t xml:space="preserve">NAMANGAN VILOYATI  NAMANGAN SHAHAR TINCHLIK MFY OROMGOX 1 PROEZD 10 UY</t>
        </is>
      </c>
      <c r="H116" s="108">
        <v>3.0</v>
      </c>
      <c r="I116" s="108">
        <v>1472292.94</v>
      </c>
      <c r="K116" s="107" t="inlineStr">
        <is>
          <t xml:space="preserve">umuman kotarmayabdi | Стандартрый</t>
        </is>
      </c>
    </row>
    <row r="117">
      <c r="A117" s="107" t="inlineStr">
        <is>
          <t xml:space="preserve">НАМАНГАН ВИЛОЯТИ</t>
        </is>
      </c>
      <c r="B117" s="107" t="inlineStr">
        <is>
          <t xml:space="preserve">Наманган филиали</t>
        </is>
      </c>
      <c r="C117" s="107" t="inlineStr">
        <is>
          <t xml:space="preserve">Ko'tarmadi</t>
        </is>
      </c>
      <c r="D117" s="107" t="inlineStr">
        <is>
          <t xml:space="preserve">Кр-99037722-2</t>
        </is>
      </c>
      <c r="E117" s="107" t="inlineStr">
        <is>
          <t xml:space="preserve">SIDDIQOV ELYORJON KOMILJONOVICH</t>
        </is>
      </c>
      <c r="F117" s="107" t="inlineStr">
        <is>
          <t xml:space="preserve">998934037711 SMS OZI, 998996909292 SMS AYOLI, 998979437777 SMS OZI begona, 998938891109 rais OLAMURUT MFY Muzaffar aka bezovta qilavermanglar ha deb , 998880576757 SMS OZI,</t>
        </is>
      </c>
      <c r="G117" s="107" t="inlineStr">
        <is>
          <t xml:space="preserve">NAMANGAN VILOYATI UYCHI TUMANI OLAMURUT MFY MUSTQAILLIK KO’CHASI 81 UY</t>
        </is>
      </c>
      <c r="H117" s="108">
        <v>3.0</v>
      </c>
      <c r="I117" s="108">
        <v>1264316.05</v>
      </c>
      <c r="K117" s="107" t="inlineStr">
        <is>
          <t xml:space="preserve">umuman kotarmayabdi | Стандартрый</t>
        </is>
      </c>
    </row>
    <row r="118">
      <c r="A118" s="107" t="inlineStr">
        <is>
          <t xml:space="preserve">НАМАНГАН ВИЛОЯТИ</t>
        </is>
      </c>
      <c r="B118" s="107" t="inlineStr">
        <is>
          <t xml:space="preserve">Наманган филиали</t>
        </is>
      </c>
      <c r="C118" s="107" t="inlineStr">
        <is>
          <t xml:space="preserve">Ko'tarmadi</t>
        </is>
      </c>
      <c r="D118" s="107" t="inlineStr">
        <is>
          <t xml:space="preserve">Кр-99038578-2</t>
        </is>
      </c>
      <c r="E118" s="107" t="inlineStr">
        <is>
          <t xml:space="preserve">NOSIRXONOV JAHONGIR ZOKIRXON O’G’LI</t>
        </is>
      </c>
      <c r="F118" s="107" t="inlineStr">
        <is>
          <t xml:space="preserve">998937177031 SMS OZI, 998903507405 SMS  TANISHI, 998501040622 SMS AKASI BEGONA,</t>
        </is>
      </c>
      <c r="G118" s="107" t="inlineStr">
        <is>
          <t xml:space="preserve">NAMANGAN VILOYATI CHUST TUMANI SABZAVOR MFY, OXUNBOBOYEV KO’CHASI 61-UY</t>
        </is>
      </c>
      <c r="H118" s="108">
        <v>3.0</v>
      </c>
      <c r="I118" s="108">
        <v>1116964.0</v>
      </c>
      <c r="K118" s="107" t="inlineStr">
        <is>
          <t xml:space="preserve">umuman kotarmayabdi | Хороший</t>
        </is>
      </c>
    </row>
    <row r="119">
      <c r="A119" s="107" t="inlineStr">
        <is>
          <t xml:space="preserve">НАМАНГАН ВИЛОЯТИ</t>
        </is>
      </c>
      <c r="B119" s="107" t="inlineStr">
        <is>
          <t xml:space="preserve">Наманган филиали</t>
        </is>
      </c>
      <c r="C119" s="107" t="inlineStr">
        <is>
          <t xml:space="preserve">Ko'tarmadi</t>
        </is>
      </c>
      <c r="D119" s="107" t="inlineStr">
        <is>
          <t xml:space="preserve">Кр-99038674-2</t>
        </is>
      </c>
      <c r="E119" s="107" t="inlineStr">
        <is>
          <t xml:space="preserve">UMAROV JASURBEK SHOKIRJON O’G’LI</t>
        </is>
      </c>
      <c r="F119" s="107" t="inlineStr">
        <is>
          <t xml:space="preserve">998888253113 SMS OZI, 998911831310 SMS ONASI, 998956242252 SMS AYOLI, 998956242242 SMS ONASI,</t>
        </is>
      </c>
      <c r="G119" s="107" t="inlineStr">
        <is>
          <t xml:space="preserve">NAMANGAN VILOYATI DAVLATOBOD TUMANI YANGI TONG MFY 5-KICHIK NOXIYA 5 UY 16 XONADON</t>
        </is>
      </c>
      <c r="H119" s="108">
        <v>3.0</v>
      </c>
      <c r="I119" s="108">
        <v>662684.26</v>
      </c>
      <c r="K119" s="107" t="inlineStr">
        <is>
          <t xml:space="preserve">umuman kotarmayabdi | Хороший</t>
        </is>
      </c>
    </row>
    <row r="120">
      <c r="A120" s="107" t="inlineStr">
        <is>
          <t xml:space="preserve">НАМАНГАН ВИЛОЯТИ</t>
        </is>
      </c>
      <c r="B120" s="107" t="inlineStr">
        <is>
          <t xml:space="preserve">Наманган филиали</t>
        </is>
      </c>
      <c r="C120" s="107" t="inlineStr">
        <is>
          <t xml:space="preserve">Ko'tarmadi</t>
        </is>
      </c>
      <c r="D120" s="107" t="inlineStr">
        <is>
          <t xml:space="preserve">Кр-99035006-1</t>
        </is>
      </c>
      <c r="E120" s="107" t="inlineStr">
        <is>
          <t xml:space="preserve">TO’LASHEV BUNYOD QODIROVICH</t>
        </is>
      </c>
      <c r="F120" s="107" t="inlineStr">
        <is>
          <t xml:space="preserve">998938747687 SMS OZI, 998946748720 SMS AYOLI, 998947031969 SMS ONASI, 998975748727 SMS OSHNASI,</t>
        </is>
      </c>
      <c r="G120" s="107" t="inlineStr">
        <is>
          <t xml:space="preserve">NAMANGAN VILOYATI UYCHI TUMANI BO’STON MFY SHAFTOLI KO’CHA 58 UY</t>
        </is>
      </c>
      <c r="I120" s="108">
        <v>399429.51</v>
      </c>
      <c r="K120" s="107" t="inlineStr">
        <is>
          <t xml:space="preserve">umuman kotarmayabdi | Отличный</t>
        </is>
      </c>
    </row>
    <row r="121">
      <c r="A121" s="107" t="inlineStr">
        <is>
          <t xml:space="preserve">НАМАНГАН ВИЛОЯТИ</t>
        </is>
      </c>
      <c r="B121" s="107" t="inlineStr">
        <is>
          <t xml:space="preserve">Наманган филиали</t>
        </is>
      </c>
      <c r="C121" s="107" t="inlineStr">
        <is>
          <t xml:space="preserve">Ko'tarmadi</t>
        </is>
      </c>
      <c r="D121" s="107" t="inlineStr">
        <is>
          <t xml:space="preserve">Кр-99030304-1</t>
        </is>
      </c>
      <c r="E121" s="107" t="inlineStr">
        <is>
          <t xml:space="preserve">TOSHBOLTIYEV JASURBEK XOLMAMATOVICH</t>
        </is>
      </c>
      <c r="F121" s="107" t="inlineStr">
        <is>
          <t xml:space="preserve">99-516-37-47  SMS O’ZI, 99-147-05-86  SMS AYOLI, 94-309-20-05  SMS BEGONA, 998941883747 SMS O’ZI,</t>
        </is>
      </c>
      <c r="G121" s="107" t="inlineStr">
        <is>
          <t xml:space="preserve">NAMANGAN VILOYATI YANGIQO’RG’ON TUMANI NAVKENT MFY TUTZOR KO’CHASI 45 UY</t>
        </is>
      </c>
      <c r="I121" s="108">
        <v>201414.72</v>
      </c>
      <c r="K121" s="107" t="inlineStr">
        <is>
          <t xml:space="preserve">umuman kotarmayabdi | Стандартрый</t>
        </is>
      </c>
    </row>
    <row r="122">
      <c r="A122" s="109" t="inlineStr">
        <is>
          <t xml:space="preserve">САМАРКАНД ВИЛОЯТИ</t>
        </is>
      </c>
      <c r="B122" s="109" t="inlineStr">
        <is>
          <t xml:space="preserve">SUPER BRANCH</t>
        </is>
      </c>
      <c r="C122" s="109" t="inlineStr">
        <is>
          <t xml:space="preserve">Ko'tarmadi</t>
        </is>
      </c>
      <c r="D122" s="109" t="inlineStr">
        <is>
          <t xml:space="preserve">Кр-99063884-1</t>
        </is>
      </c>
      <c r="E122" s="109" t="inlineStr">
        <is>
          <t xml:space="preserve">ABDURASHIDOV AKOBIR VASLIDDIN O’G’LI</t>
        </is>
      </c>
      <c r="F122" s="109" t="inlineStr">
        <is>
          <t xml:space="preserve">998777162444 SMS DOSTI, 998943414303 SMS UZI, 998993961270 SMS TOLOVCHI, 998339154303 SMS,</t>
        </is>
      </c>
      <c r="G122" s="109" t="inlineStr">
        <is>
          <t xml:space="preserve">ДУРБЕШ ҚФЙ, ЯНГИРАВОТ МФЙ, ДУРБЕШ ҚИШЛОҒИ,  uy:Р/С</t>
        </is>
      </c>
      <c r="H122" s="110">
        <v>31.0</v>
      </c>
      <c r="I122" s="110">
        <v>4782948.91</v>
      </c>
      <c r="K122" s="109" t="inlineStr">
        <is>
          <t xml:space="preserve">2226</t>
        </is>
      </c>
    </row>
    <row r="123">
      <c r="A123" s="111" t="inlineStr">
        <is>
          <t xml:space="preserve">САМАРКАНД ВИЛОЯТИ</t>
        </is>
      </c>
      <c r="B123" s="111" t="inlineStr">
        <is>
          <t xml:space="preserve">Навоий филиали</t>
        </is>
      </c>
      <c r="C123" s="111" t="inlineStr">
        <is>
          <t xml:space="preserve">Ko'tarmadi</t>
        </is>
      </c>
      <c r="D123" s="111" t="inlineStr">
        <is>
          <t xml:space="preserve">Кр-99064059-2</t>
        </is>
      </c>
      <c r="E123" s="111" t="inlineStr">
        <is>
          <t xml:space="preserve">NUNNAYEV RAXIM MAMAREJABOVICH</t>
        </is>
      </c>
      <c r="F123" s="111" t="inlineStr">
        <is>
          <t xml:space="preserve">998930982612 SUNGLISI, 998944839282 O’ZI, 998950515155 UKASI,</t>
        </is>
      </c>
      <c r="G123" s="111" t="inlineStr">
        <is>
          <t xml:space="preserve">SAMARQAND VILOYATI PAXTACHI TUMANI QORATEPA MFYETIQOD KO’CHASI 57 UY</t>
        </is>
      </c>
      <c r="H123" s="112">
        <v>3.0</v>
      </c>
      <c r="I123" s="112">
        <v>2288775.8</v>
      </c>
      <c r="K123" s="111" t="inlineStr">
        <is>
          <t xml:space="preserve">2279</t>
        </is>
      </c>
    </row>
    <row r="124">
      <c r="A124" s="113" t="inlineStr">
        <is>
          <t xml:space="preserve">САМАРКАНД ВИЛОЯТИ</t>
        </is>
      </c>
      <c r="B124" s="113" t="inlineStr">
        <is>
          <t xml:space="preserve">Самарқанд филиали</t>
        </is>
      </c>
      <c r="C124" s="113" t="inlineStr">
        <is>
          <t xml:space="preserve">Ko'tarmadi</t>
        </is>
      </c>
      <c r="D124" s="113" t="inlineStr">
        <is>
          <t xml:space="preserve">Кр-99004970-4</t>
        </is>
      </c>
      <c r="E124" s="113" t="inlineStr">
        <is>
          <t xml:space="preserve">MAVLANOV ABRORBEK UTKIROVICH</t>
        </is>
      </c>
      <c r="F124" s="113" t="inlineStr">
        <is>
          <t xml:space="preserve">99-567-66-69 SMS, 99-952-22-57 SMS JURASI, 90-193-84-85 SMS UKASI, 98-808-81-86 AKASI tanimiman, 97-599-95-95 sms akasi, 975767717 YANGI, +998200023117 SMS OZI, 998901938485 SMS UYI, 998991319994 SMS AKASI, 998998653127 SMS UKASI,</t>
        </is>
      </c>
      <c r="G124" s="113" t="inlineStr">
        <is>
          <t xml:space="preserve">SAMARQAND VILOYATI PAYARIQ SHAHRI MUSTAQILLIK MFY SHIRIN KUCHASI 25-XONODON</t>
        </is>
      </c>
      <c r="H124" s="114">
        <v>3.0</v>
      </c>
      <c r="I124" s="114">
        <v>17397474.79</v>
      </c>
      <c r="K124" s="113" t="inlineStr">
        <is>
          <t xml:space="preserve">13</t>
        </is>
      </c>
    </row>
    <row r="125">
      <c r="A125" s="113" t="inlineStr">
        <is>
          <t xml:space="preserve">САМАРКАНД ВИЛОЯТИ</t>
        </is>
      </c>
      <c r="B125" s="113" t="inlineStr">
        <is>
          <t xml:space="preserve">Самарқанд филиали</t>
        </is>
      </c>
      <c r="C125" s="113" t="inlineStr">
        <is>
          <t xml:space="preserve">Ko'tarmadi</t>
        </is>
      </c>
      <c r="D125" s="113" t="inlineStr">
        <is>
          <t xml:space="preserve">Кр-99004970-5</t>
        </is>
      </c>
      <c r="E125" s="113" t="inlineStr">
        <is>
          <t xml:space="preserve">MAVLANOV ABRORBEK UTKIROVICH</t>
        </is>
      </c>
      <c r="F125" s="113" t="inlineStr">
        <is>
          <t xml:space="preserve">99-567-66-69 SMS, 99-952-22-57 SMS JURASI, 90-193-84-85 SMS UKASI, 98-808-81-86 AKASI tanimiman, 97-599-95-95 sms akasi, 975767717 YANGI, +998200023117 SMS OZI, 998901938485 SMS UYI, 998991319994 SMS AKASI, 998998653127 SMS UKASI,</t>
        </is>
      </c>
      <c r="G125" s="113" t="inlineStr">
        <is>
          <t xml:space="preserve">SAMARQAND VILOYATI PAYARIQ SHAHRI MUSTAQILLIK MFY SHIRIN KUCHASI 25-XONODON</t>
        </is>
      </c>
      <c r="H125" s="114">
        <v>3.0</v>
      </c>
      <c r="I125" s="114">
        <v>7391226.93</v>
      </c>
      <c r="K125" s="113" t="inlineStr">
        <is>
          <t xml:space="preserve">14</t>
        </is>
      </c>
    </row>
    <row r="126">
      <c r="A126" s="113" t="inlineStr">
        <is>
          <t xml:space="preserve">САМАРКАНД ВИЛОЯТИ</t>
        </is>
      </c>
      <c r="B126" s="113" t="inlineStr">
        <is>
          <t xml:space="preserve">Самарқанд филиали</t>
        </is>
      </c>
      <c r="C126" s="113" t="inlineStr">
        <is>
          <t xml:space="preserve">Ko'tarmadi</t>
        </is>
      </c>
      <c r="D126" s="113" t="inlineStr">
        <is>
          <t xml:space="preserve">Кр-99063880-1</t>
        </is>
      </c>
      <c r="E126" s="113" t="inlineStr">
        <is>
          <t xml:space="preserve">NABIYEV IKROM BAXTIYOROVICH</t>
        </is>
      </c>
      <c r="F126" s="113" t="inlineStr">
        <is>
          <t xml:space="preserve">+998970933337 SMS OZI, 998883911900 SMS AYOLI, 998976043333 SMS UKASI, 998979070010 SMS OZI 2,</t>
        </is>
      </c>
      <c r="G126" s="113" t="inlineStr">
        <is>
          <t xml:space="preserve">XAMID OLIMJOM KUCHASI 28-UY</t>
        </is>
      </c>
      <c r="H126" s="114">
        <v>3.0</v>
      </c>
      <c r="I126" s="114">
        <v>6209608.76</v>
      </c>
      <c r="K126" s="113" t="inlineStr">
        <is>
          <t xml:space="preserve">2224</t>
        </is>
      </c>
    </row>
    <row r="127">
      <c r="A127" s="113" t="inlineStr">
        <is>
          <t xml:space="preserve">САМАРКАНД ВИЛОЯТИ</t>
        </is>
      </c>
      <c r="B127" s="113" t="inlineStr">
        <is>
          <t xml:space="preserve">Самарқанд филиали</t>
        </is>
      </c>
      <c r="C127" s="113" t="inlineStr">
        <is>
          <t xml:space="preserve">Ko'tarmadi</t>
        </is>
      </c>
      <c r="D127" s="113" t="inlineStr">
        <is>
          <t xml:space="preserve">Кр-99064168-1</t>
        </is>
      </c>
      <c r="E127" s="113" t="inlineStr">
        <is>
          <t xml:space="preserve">XUSINOV SHUXRAT ABDUSAMATOVICH</t>
        </is>
      </c>
      <c r="F127" s="113" t="inlineStr">
        <is>
          <t xml:space="preserve">998915256141 SMS SINGLISI, 998933322925 SMS UKASI, 998975775460 SMS OZI,</t>
        </is>
      </c>
      <c r="G127" s="113" t="inlineStr">
        <is>
          <t xml:space="preserve">SAMARQAND VILOYATI SAMARQAND TUMANI PULIMUG’OB MFY PULIMUG’OV KUCHASI 19-UY</t>
        </is>
      </c>
      <c r="H127" s="114">
        <v>3.0</v>
      </c>
      <c r="I127" s="114">
        <v>5317043.0</v>
      </c>
      <c r="K127" s="113" t="inlineStr">
        <is>
          <t xml:space="preserve">2304</t>
        </is>
      </c>
    </row>
    <row r="128">
      <c r="A128" s="113" t="inlineStr">
        <is>
          <t xml:space="preserve">САМАРКАНД ВИЛОЯТИ</t>
        </is>
      </c>
      <c r="B128" s="113" t="inlineStr">
        <is>
          <t xml:space="preserve">Самарқанд филиали</t>
        </is>
      </c>
      <c r="C128" s="113" t="inlineStr">
        <is>
          <t xml:space="preserve">Ko'tarmadi</t>
        </is>
      </c>
      <c r="D128" s="113" t="inlineStr">
        <is>
          <t xml:space="preserve">Кр-99064046-1</t>
        </is>
      </c>
      <c r="E128" s="113" t="inlineStr">
        <is>
          <t xml:space="preserve">BERDIYEV DAMIR ILXOMOVICH</t>
        </is>
      </c>
      <c r="F128" s="113" t="inlineStr">
        <is>
          <t xml:space="preserve">998871942323 SMS OZI, 998905055476 SMS ONASI, 998933458727 SMS DADASI,</t>
        </is>
      </c>
      <c r="G128" s="113" t="inlineStr">
        <is>
          <t xml:space="preserve">SAMARQAND VILOYATI SAMARQAND SHAHAR TOJMAXAL MFY ABU BAKR ROZI 10 DOM 40 KVARTERA</t>
        </is>
      </c>
      <c r="H128" s="114">
        <v>3.0</v>
      </c>
      <c r="I128" s="114">
        <v>3278356.4</v>
      </c>
      <c r="K128" s="113" t="inlineStr">
        <is>
          <t xml:space="preserve">2275</t>
        </is>
      </c>
    </row>
    <row r="129">
      <c r="A129" s="113" t="inlineStr">
        <is>
          <t xml:space="preserve">САМАРКАНД ВИЛОЯТИ</t>
        </is>
      </c>
      <c r="B129" s="113" t="inlineStr">
        <is>
          <t xml:space="preserve">Самарқанд филиали</t>
        </is>
      </c>
      <c r="C129" s="113" t="inlineStr">
        <is>
          <t xml:space="preserve">Ko'tarmadi</t>
        </is>
      </c>
      <c r="D129" s="113" t="inlineStr">
        <is>
          <t xml:space="preserve">Кр-99064204-1</t>
        </is>
      </c>
      <c r="E129" s="113" t="inlineStr">
        <is>
          <t xml:space="preserve">HAYDAROV SAIDJON ASHRAF O’G’LI</t>
        </is>
      </c>
      <c r="F129" s="113" t="inlineStr">
        <is>
          <t xml:space="preserve">998701703698 SMS OZI, 998901911594 SMS XOLASI, 998903134020 SMS UKASI, 998915203518 SMS ONASI,</t>
        </is>
      </c>
      <c r="G129" s="113" t="inlineStr">
        <is>
          <t xml:space="preserve">SAMARQAND VILOYATI SAMARQAND TUMANI CHORSHANBA MFY</t>
        </is>
      </c>
      <c r="H129" s="114">
        <v>3.0</v>
      </c>
      <c r="I129" s="114">
        <v>2356207.42</v>
      </c>
      <c r="K129" s="113" t="inlineStr">
        <is>
          <t xml:space="preserve">2309</t>
        </is>
      </c>
    </row>
    <row r="130">
      <c r="A130" s="113" t="inlineStr">
        <is>
          <t xml:space="preserve">САМАРКАНД ВИЛОЯТИ</t>
        </is>
      </c>
      <c r="B130" s="113" t="inlineStr">
        <is>
          <t xml:space="preserve">Самарқанд филиали</t>
        </is>
      </c>
      <c r="C130" s="113" t="inlineStr">
        <is>
          <t xml:space="preserve">Ko'tarmadi</t>
        </is>
      </c>
      <c r="D130" s="113" t="inlineStr">
        <is>
          <t xml:space="preserve">Кр-99063208-1</t>
        </is>
      </c>
      <c r="E130" s="113" t="inlineStr">
        <is>
          <t xml:space="preserve">AZIZOV G’IYOSBEK ABDIMURODOVICH</t>
        </is>
      </c>
      <c r="F130" s="113" t="inlineStr">
        <is>
          <t xml:space="preserve">998771229933 SMS UYI, 998889229933 SMS OZI, 998982220922 SMS OZI 2,</t>
        </is>
      </c>
      <c r="G130" s="113" t="inlineStr">
        <is>
          <t xml:space="preserve">SAMARQAND VILOYATI PASTDARG’OM TUMANI GALATUT MFY YUQORI QISHLOG’I 124-UY</t>
        </is>
      </c>
      <c r="I130" s="114">
        <v>1343585.65</v>
      </c>
      <c r="K130" s="113" t="inlineStr">
        <is>
          <t xml:space="preserve">2033</t>
        </is>
      </c>
    </row>
    <row r="131">
      <c r="A131" s="113" t="inlineStr">
        <is>
          <t xml:space="preserve">САМАРКАНД ВИЛОЯТИ</t>
        </is>
      </c>
      <c r="B131" s="113" t="inlineStr">
        <is>
          <t xml:space="preserve">Самарқанд филиали</t>
        </is>
      </c>
      <c r="C131" s="113" t="inlineStr">
        <is>
          <t xml:space="preserve">Ko'tarmadi</t>
        </is>
      </c>
      <c r="D131" s="113" t="inlineStr">
        <is>
          <t xml:space="preserve">Кр-99064250-1</t>
        </is>
      </c>
      <c r="E131" s="113" t="inlineStr">
        <is>
          <t xml:space="preserve">OTABEKOV DIYORBEK OTABEK O’G’LI</t>
        </is>
      </c>
      <c r="F131" s="113" t="inlineStr">
        <is>
          <t xml:space="preserve">998933277002 SMS OZI, 998505005950 SMS AKASI, 998888912429 SMS AYASI,</t>
        </is>
      </c>
      <c r="G131" s="113" t="inlineStr">
        <is>
          <t xml:space="preserve">SAMARQAND VILOYATI URGUT TUMANI JARTEPA MFY 96-UY</t>
        </is>
      </c>
      <c r="H131" s="114">
        <v>3.0</v>
      </c>
      <c r="I131" s="114">
        <v>1119348.0</v>
      </c>
      <c r="K131" s="113" t="inlineStr">
        <is>
          <t xml:space="preserve">2322</t>
        </is>
      </c>
    </row>
    <row r="132">
      <c r="A132" s="113" t="inlineStr">
        <is>
          <t xml:space="preserve">САМАРКАНД ВИЛОЯТИ</t>
        </is>
      </c>
      <c r="B132" s="113" t="inlineStr">
        <is>
          <t xml:space="preserve">Самарқанд филиали</t>
        </is>
      </c>
      <c r="C132" s="113" t="inlineStr">
        <is>
          <t xml:space="preserve">Ko'tarmadi</t>
        </is>
      </c>
      <c r="D132" s="113" t="inlineStr">
        <is>
          <t xml:space="preserve">Кр-99063793-2</t>
        </is>
      </c>
      <c r="E132" s="113" t="inlineStr">
        <is>
          <t xml:space="preserve">ISMAILOVA ZAYNAB XXX</t>
        </is>
      </c>
      <c r="F132" s="113" t="inlineStr">
        <is>
          <t xml:space="preserve">+998915364039 SMS OZI, 998902129909 SMS SINGLISI, 998916290180 SMS OPASI, 998952321587 SMS JIYANI,</t>
        </is>
      </c>
      <c r="G132" s="113" t="inlineStr">
        <is>
          <t xml:space="preserve">SAMARQAND VILOYATI PASTDARG’OM TUMANI MIRZATUP MAHALLASI NARPAY KUCHASI  88-UY</t>
        </is>
      </c>
      <c r="H132" s="114">
        <v>3.0</v>
      </c>
      <c r="I132" s="114">
        <v>819543.15</v>
      </c>
      <c r="K132" s="113" t="inlineStr">
        <is>
          <t xml:space="preserve">2188</t>
        </is>
      </c>
    </row>
    <row r="133">
      <c r="A133" s="113" t="inlineStr">
        <is>
          <t xml:space="preserve">САМАРКАНД ВИЛОЯТИ</t>
        </is>
      </c>
      <c r="B133" s="113" t="inlineStr">
        <is>
          <t xml:space="preserve">Самарқанд филиали</t>
        </is>
      </c>
      <c r="C133" s="113" t="inlineStr">
        <is>
          <t xml:space="preserve">Ko'tarmadi</t>
        </is>
      </c>
      <c r="D133" s="113" t="inlineStr">
        <is>
          <t xml:space="preserve">Кр-99030028-2</t>
        </is>
      </c>
      <c r="E133" s="113" t="inlineStr">
        <is>
          <t xml:space="preserve">VAFOYEV AVAZ RABBIMOVICH</t>
        </is>
      </c>
      <c r="F133" s="113" t="inlineStr">
        <is>
          <t xml:space="preserve">93-724-90-87  SMS O’ZI, 93-330-72-27  SMS AKASI  , 93-555-03-77  SMS AKASI  2, 93-795-41-44  SMS AYOLI , +998935550377 SMS OZI,</t>
        </is>
      </c>
      <c r="G133" s="113" t="inlineStr">
        <is>
          <t xml:space="preserve">SAMARQAND VILOYATI TAYLOQ TUMANI  KUSHCHINOR MFY PAYSHABASIYOB QISHLOGI 19-UY</t>
        </is>
      </c>
      <c r="H133" s="114">
        <v>3.0</v>
      </c>
      <c r="I133" s="114">
        <v>439538.39</v>
      </c>
      <c r="K133" s="113" t="inlineStr">
        <is>
          <t xml:space="preserve">hamma raqami kotarmadi | 334</t>
        </is>
      </c>
    </row>
    <row r="134">
      <c r="A134" s="115" t="inlineStr">
        <is>
          <t xml:space="preserve">СУРХОНДАРЁ ВИЛОЯТИ</t>
        </is>
      </c>
      <c r="B134" s="115" t="inlineStr">
        <is>
          <t xml:space="preserve">BOSH OFIS</t>
        </is>
      </c>
      <c r="C134" s="115" t="inlineStr">
        <is>
          <t xml:space="preserve">Ko'tarmadi</t>
        </is>
      </c>
      <c r="D134" s="115" t="inlineStr">
        <is>
          <t xml:space="preserve">Кр-99041263-1</t>
        </is>
      </c>
      <c r="E134" s="115" t="inlineStr">
        <is>
          <t xml:space="preserve">OCHILOV ABDUMALIK ABDUQODIR O’G’LI</t>
        </is>
      </c>
      <c r="F134" s="115" t="inlineStr">
        <is>
          <t xml:space="preserve">998919080008 SMS OZI SHUNGA QILINSN, 998942097777 SMS UKASI, 998904102727 SMS UYI,</t>
        </is>
      </c>
      <c r="G134" s="115" t="inlineStr">
        <is>
          <t xml:space="preserve">SURXONDARYO VILOYATI DENOV SHAHAR MIR TEMIR 18-UY/TOSHKENT SHAHAR CHILONZOR OQTEPA MFY, 7- MAVZE 20-UY, 39-X</t>
        </is>
      </c>
      <c r="H134" s="116">
        <v>3.0</v>
      </c>
      <c r="I134" s="116">
        <v>7074675.49</v>
      </c>
      <c r="K134" s="115" t="inlineStr">
        <is>
          <t xml:space="preserve">sms yozdm xozrca javob yo | 1135</t>
        </is>
      </c>
    </row>
    <row r="135">
      <c r="A135" s="115" t="inlineStr">
        <is>
          <t xml:space="preserve">СУРХОНДАРЁ ВИЛОЯТИ</t>
        </is>
      </c>
      <c r="B135" s="115" t="inlineStr">
        <is>
          <t xml:space="preserve">BOSH OFIS</t>
        </is>
      </c>
      <c r="C135" s="115" t="inlineStr">
        <is>
          <t xml:space="preserve">Ko'tarmadi</t>
        </is>
      </c>
      <c r="D135" s="115" t="inlineStr">
        <is>
          <t xml:space="preserve">Кр-99039423-3</t>
        </is>
      </c>
      <c r="E135" s="115" t="inlineStr">
        <is>
          <t xml:space="preserve">BOZOROVA DILOROM PARDAYEVNA</t>
        </is>
      </c>
      <c r="F135" s="115" t="inlineStr">
        <is>
          <t xml:space="preserve">998975336110 SMS OZI, 998976934380 SMS ERI, 998200102496 SMS QIZI, 998879070696 SMS QIZI2, 998772328206 SMS QIZI TOLOVCHI ,</t>
        </is>
      </c>
      <c r="G135" s="115" t="inlineStr">
        <is>
          <t xml:space="preserve">SURXONDARYO VILOYAT, MUZRABOT TUMAN FIDOKOR MFY AL-FARG’ONIY KO’CHASI 11-UY</t>
        </is>
      </c>
      <c r="H135" s="116">
        <v>3.0</v>
      </c>
      <c r="I135" s="116">
        <v>5001316.64</v>
      </c>
      <c r="K135" s="115" t="inlineStr">
        <is>
          <t xml:space="preserve">фелиалга айтиш керак</t>
        </is>
      </c>
    </row>
    <row r="136">
      <c r="A136" s="115" t="inlineStr">
        <is>
          <t xml:space="preserve">СУРХОНДАРЁ ВИЛОЯТИ</t>
        </is>
      </c>
      <c r="B136" s="115" t="inlineStr">
        <is>
          <t xml:space="preserve">BOSH OFIS</t>
        </is>
      </c>
      <c r="C136" s="115" t="inlineStr">
        <is>
          <t xml:space="preserve">Ko'tarmadi</t>
        </is>
      </c>
      <c r="D136" s="115" t="inlineStr">
        <is>
          <t xml:space="preserve">Кр-99063171-1</t>
        </is>
      </c>
      <c r="E136" s="115" t="inlineStr">
        <is>
          <t xml:space="preserve">XOLIYOROV BOXODIR BAXTIYOR O’G’LI</t>
        </is>
      </c>
      <c r="F136" s="115" t="inlineStr">
        <is>
          <t xml:space="preserve">+998941249824 SMS OZI, 998882433131 SMS OPASI, 998888791601 SMS AYOLI,</t>
        </is>
      </c>
      <c r="G136" s="115" t="inlineStr">
        <is>
          <t xml:space="preserve">NODIRABEGIM KUCHASI 24-UY</t>
        </is>
      </c>
      <c r="H136" s="116">
        <v>3.0</v>
      </c>
      <c r="I136" s="116">
        <v>1396373.04</v>
      </c>
    </row>
    <row r="137">
      <c r="A137" s="117" t="inlineStr">
        <is>
          <t xml:space="preserve">СУРХОНДАРЁ ВИЛОЯТИ</t>
        </is>
      </c>
      <c r="B137" s="117" t="inlineStr">
        <is>
          <t xml:space="preserve">SUPER BRANCH</t>
        </is>
      </c>
      <c r="C137" s="117" t="inlineStr">
        <is>
          <t xml:space="preserve">Ko'tarmadi</t>
        </is>
      </c>
      <c r="D137" s="117" t="inlineStr">
        <is>
          <t xml:space="preserve">Кр-99039532-1</t>
        </is>
      </c>
      <c r="E137" s="117" t="inlineStr">
        <is>
          <t xml:space="preserve">MUSIRMONOVA SABRINISO MURODALI QIZI</t>
        </is>
      </c>
      <c r="F137" s="117" t="inlineStr">
        <is>
          <t xml:space="preserve">998990625405 SMS OZI, 998991287784 SMS ONASI, 998881062555 SMS OILASI,</t>
        </is>
      </c>
      <c r="G137" s="117" t="inlineStr">
        <is>
          <t xml:space="preserve">SURXONDARYO VILOYATI TUMANI UMANI BOG'ISHAMOL  MFY SHARQ GAVHARI KO‘CHASI 40-UY</t>
        </is>
      </c>
      <c r="H137" s="118">
        <v>212.0</v>
      </c>
      <c r="I137" s="118">
        <v>36373247.65</v>
      </c>
      <c r="K137" s="117" t="inlineStr">
        <is>
          <t xml:space="preserve">zalog auksionda | 870</t>
        </is>
      </c>
    </row>
    <row r="138">
      <c r="A138" s="117" t="inlineStr">
        <is>
          <t xml:space="preserve">СУРХОНДАРЁ ВИЛОЯТИ</t>
        </is>
      </c>
      <c r="B138" s="117" t="inlineStr">
        <is>
          <t xml:space="preserve">SUPER BRANCH</t>
        </is>
      </c>
      <c r="C138" s="117" t="inlineStr">
        <is>
          <t xml:space="preserve">Ko'tarmadi</t>
        </is>
      </c>
      <c r="D138" s="117" t="inlineStr">
        <is>
          <t xml:space="preserve">Кр-99037390-1</t>
        </is>
      </c>
      <c r="E138" s="117" t="inlineStr">
        <is>
          <t xml:space="preserve">TURSUNBADALOVA SAIDABONU TOLIBJON QIZI</t>
        </is>
      </c>
      <c r="F138" s="117" t="inlineStr">
        <is>
          <t xml:space="preserve">998908159906 SMS, 998888109694 SMS UY, 998908159697 SMS UKASI, 998919700206 SMS,</t>
        </is>
      </c>
      <c r="G138" s="117" t="inlineStr">
        <is>
          <t xml:space="preserve">SURXONDARYO VILOYATI SARIOSIYO TUMANI SHARG'UN SHFY SHAXTIYORLAR KO’CHASI 53-UY 5-XONADON</t>
        </is>
      </c>
      <c r="H138" s="118">
        <v>115.0</v>
      </c>
      <c r="I138" s="118">
        <v>33526729.67</v>
      </c>
      <c r="K138" s="117" t="inlineStr">
        <is>
          <t xml:space="preserve">abror ogan | 712</t>
        </is>
      </c>
    </row>
    <row r="139">
      <c r="A139" s="117" t="inlineStr">
        <is>
          <t xml:space="preserve">СУРХОНДАРЁ ВИЛОЯТИ</t>
        </is>
      </c>
      <c r="B139" s="117" t="inlineStr">
        <is>
          <t xml:space="preserve">SUPER BRANCH</t>
        </is>
      </c>
      <c r="C139" s="117" t="inlineStr">
        <is>
          <t xml:space="preserve">Ko'tarmadi</t>
        </is>
      </c>
      <c r="D139" s="117" t="inlineStr">
        <is>
          <t xml:space="preserve">Кр-99062676-1</t>
        </is>
      </c>
      <c r="E139" s="117" t="inlineStr">
        <is>
          <t xml:space="preserve">MAMASIDIQOVA GULSUNOY ALIMOVNA</t>
        </is>
      </c>
      <c r="F139" s="117" t="inlineStr">
        <is>
          <t xml:space="preserve">998940773072 OZI, 998700530521 QIZI, 998915882110 UY,</t>
        </is>
      </c>
      <c r="G139" s="117" t="inlineStr">
        <is>
          <t xml:space="preserve">SURXONDARYO VILOYATI SARIOSIYO TUMANI FERUZ MFY DONISHMAND KUCHASI 25-UY</t>
        </is>
      </c>
      <c r="H139" s="118">
        <v>94.0</v>
      </c>
      <c r="I139" s="118">
        <v>24475687.28</v>
      </c>
      <c r="K139" s="117" t="inlineStr">
        <is>
          <t xml:space="preserve">abror ogan | 1854</t>
        </is>
      </c>
    </row>
    <row r="140">
      <c r="A140" s="117" t="inlineStr">
        <is>
          <t xml:space="preserve">СУРХОНДАРЁ ВИЛОЯТИ</t>
        </is>
      </c>
      <c r="B140" s="117" t="inlineStr">
        <is>
          <t xml:space="preserve">SUPER BRANCH</t>
        </is>
      </c>
      <c r="C140" s="117" t="inlineStr">
        <is>
          <t xml:space="preserve">Ko'tarmadi</t>
        </is>
      </c>
      <c r="D140" s="117" t="inlineStr">
        <is>
          <t xml:space="preserve">Кр-99026971-2</t>
        </is>
      </c>
      <c r="E140" s="117" t="inlineStr">
        <is>
          <t xml:space="preserve">YANGIBAYEV RUSLAN ABDUNABIYEVICH</t>
        </is>
      </c>
      <c r="F140" s="117" t="inlineStr">
        <is>
          <t xml:space="preserve">91-716-26-70  OZI begona, 91-573-42-11   UY begona, 90-955-49-49  SMS ISHXONA, 95-779-34-34  SMS O’ZI, 998990269712 SMS ISH JOYI RAXBARI , 917162670997 SMS OZI,</t>
        </is>
      </c>
      <c r="G140" s="117" t="inlineStr">
        <is>
          <t xml:space="preserve">SURXONDARYO VILOYATI DENOV TUMANI XAZARBOG’ QFY OBOD TASMASOY MFY TORTUVLIK KO’CHASI 4-UY</t>
        </is>
      </c>
      <c r="H140" s="118">
        <v>94.0</v>
      </c>
      <c r="I140" s="118">
        <v>17187089.37</v>
      </c>
      <c r="K140" s="117" t="inlineStr">
        <is>
          <t xml:space="preserve">uktam dgan tolovcisi bor kredit ciqazebdi | 217</t>
        </is>
      </c>
    </row>
    <row r="141">
      <c r="A141" s="117" t="inlineStr">
        <is>
          <t xml:space="preserve">СУРХОНДАРЁ ВИЛОЯТИ</t>
        </is>
      </c>
      <c r="B141" s="117" t="inlineStr">
        <is>
          <t xml:space="preserve">SUPER BRANCH</t>
        </is>
      </c>
      <c r="C141" s="117" t="inlineStr">
        <is>
          <t xml:space="preserve">Ko'tarmadi</t>
        </is>
      </c>
      <c r="D141" s="117" t="inlineStr">
        <is>
          <t xml:space="preserve">Кр-99038514-1</t>
        </is>
      </c>
      <c r="E141" s="117" t="inlineStr">
        <is>
          <t xml:space="preserve">NORMO‘MINOV FAYZULLA PARDANAZAR O‘G‘LI</t>
        </is>
      </c>
      <c r="F141" s="117" t="inlineStr">
        <is>
          <t xml:space="preserve">998946043889 SMS OZI, 998946103889 SMS AKALARI, 998946613241 SMS AKALARI 2, 998998019181 SMS DADASI, +998946043889 Primary phone from road24,</t>
        </is>
      </c>
      <c r="G141" s="117" t="inlineStr">
        <is>
          <t xml:space="preserve">СУРХОНДАРЁ ВИЛОЯТИ МУЗРАБОТ ТУМАНИ ШАРК ЮЛДУЗИ ҚФЙ, НУРЛИ ХАЁТ МФЙ,  uy:00</t>
        </is>
      </c>
      <c r="H141" s="118">
        <v>66.0</v>
      </c>
      <c r="I141" s="118">
        <v>8360653.99</v>
      </c>
      <c r="K141" s="117" t="inlineStr">
        <is>
          <t xml:space="preserve">фелиалга айтиш керак</t>
        </is>
      </c>
    </row>
    <row r="142">
      <c r="A142" s="117" t="inlineStr">
        <is>
          <t xml:space="preserve">СУРХОНДАРЁ ВИЛОЯТИ</t>
        </is>
      </c>
      <c r="B142" s="117" t="inlineStr">
        <is>
          <t xml:space="preserve">SUPER BRANCH</t>
        </is>
      </c>
      <c r="C142" s="117" t="inlineStr">
        <is>
          <t xml:space="preserve">Ko'tarmadi</t>
        </is>
      </c>
      <c r="D142" s="117" t="inlineStr">
        <is>
          <t xml:space="preserve">Кр-99058440-3</t>
        </is>
      </c>
      <c r="E142" s="117" t="inlineStr">
        <is>
          <t xml:space="preserve">TURDIYEV XOLMUROD RAMAZANOVICH</t>
        </is>
      </c>
      <c r="F142" s="117" t="inlineStr">
        <is>
          <t xml:space="preserve">998500062760 SMS OZI, 998912299595 SMS AYOLI, +998935248787 SMS OZI, 998902950159 SMS UKASI,</t>
        </is>
      </c>
      <c r="G142" s="117" t="inlineStr">
        <is>
          <t xml:space="preserve">SURXONDARYO VILOYATI OLTINSOY TUMANI JILIBULOQ MFY GULZOR KO’CHASI 43-UY</t>
        </is>
      </c>
      <c r="H142" s="118">
        <v>3.0</v>
      </c>
      <c r="I142" s="118">
        <v>7204237.09</v>
      </c>
      <c r="K142" s="117" t="inlineStr">
        <is>
          <t xml:space="preserve">tgdan yozdm | 1691</t>
        </is>
      </c>
    </row>
    <row r="143">
      <c r="A143" s="117" t="inlineStr">
        <is>
          <t xml:space="preserve">СУРХОНДАРЁ ВИЛОЯТИ</t>
        </is>
      </c>
      <c r="B143" s="117" t="inlineStr">
        <is>
          <t xml:space="preserve">SUPER BRANCH</t>
        </is>
      </c>
      <c r="C143" s="117" t="inlineStr">
        <is>
          <t xml:space="preserve">Ko'tarmadi</t>
        </is>
      </c>
      <c r="D143" s="117" t="inlineStr">
        <is>
          <t xml:space="preserve">Кр-99039904-1</t>
        </is>
      </c>
      <c r="E143" s="117" t="inlineStr">
        <is>
          <t xml:space="preserve">ESHQURBONOV SHERALI RIZAQULOVICH</t>
        </is>
      </c>
      <c r="F143" s="117" t="inlineStr">
        <is>
          <t xml:space="preserve">998955952286 SMS UZI, 998955752286 SMS AYOLI, 998954440849 SMS O'G'LI,</t>
        </is>
      </c>
      <c r="G143" s="117" t="inlineStr">
        <is>
          <t xml:space="preserve">SURXONDARYO VILOYAT BANDIXON TUMAN OBIKOR MFY YANGI ZAMON KO’CHASI 119-UY</t>
        </is>
      </c>
      <c r="H143" s="118">
        <v>31.0</v>
      </c>
      <c r="I143" s="118">
        <v>5923689.33</v>
      </c>
      <c r="K143" s="117" t="inlineStr">
        <is>
          <t xml:space="preserve">odam junataman erte | 908</t>
        </is>
      </c>
    </row>
    <row r="144">
      <c r="A144" s="117" t="inlineStr">
        <is>
          <t xml:space="preserve">СУРХОНДАРЁ ВИЛОЯТИ</t>
        </is>
      </c>
      <c r="B144" s="117" t="inlineStr">
        <is>
          <t xml:space="preserve">SUPER BRANCH</t>
        </is>
      </c>
      <c r="C144" s="117" t="inlineStr">
        <is>
          <t xml:space="preserve">Ko'tarmadi</t>
        </is>
      </c>
      <c r="D144" s="117" t="inlineStr">
        <is>
          <t xml:space="preserve">Кр-99039292-1</t>
        </is>
      </c>
      <c r="E144" s="117" t="inlineStr">
        <is>
          <t xml:space="preserve">SHAYIMOV MAMASHARIF SHOMUROTOVICH</t>
        </is>
      </c>
      <c r="F144" s="117" t="inlineStr">
        <is>
          <t xml:space="preserve">998941064444 SMS OZI, 998993543793 SMS UY, 998996226524 SMS ONASI, 998990330596 SMS UKASI,</t>
        </is>
      </c>
      <c r="G144" s="117" t="inlineStr">
        <is>
          <t xml:space="preserve">TOSHKENT SHAHAR UCHTEPA TUMANI 23-MAVZEE 39-XONADON</t>
        </is>
      </c>
      <c r="H144" s="118">
        <v>3.0</v>
      </c>
      <c r="I144" s="118">
        <v>5358382.07</v>
      </c>
      <c r="K144" s="117" t="inlineStr">
        <is>
          <t xml:space="preserve">gudok ketvot sms yozdm | 832</t>
        </is>
      </c>
    </row>
    <row r="145">
      <c r="A145" s="117" t="inlineStr">
        <is>
          <t xml:space="preserve">СУРХОНДАРЁ ВИЛОЯТИ</t>
        </is>
      </c>
      <c r="B145" s="117" t="inlineStr">
        <is>
          <t xml:space="preserve">SUPER BRANCH</t>
        </is>
      </c>
      <c r="C145" s="117" t="inlineStr">
        <is>
          <t xml:space="preserve">Ko'tarmadi</t>
        </is>
      </c>
      <c r="D145" s="117" t="inlineStr">
        <is>
          <t xml:space="preserve">Кр-99026309-2</t>
        </is>
      </c>
      <c r="E145" s="117" t="inlineStr">
        <is>
          <t xml:space="preserve">TOJIYEV KAXRAMON BAXTIYAROVICH</t>
        </is>
      </c>
      <c r="F145" s="117" t="inlineStr">
        <is>
          <t xml:space="preserve">98-279-27-00 SMS O'ZI, 998978452200 SMS UY  BEGONA , 94-203-22-00  SMS begona, 91-510-01-93 SMS, 998942032700 WATSAP BOR GERMANIYADA OZI ,</t>
        </is>
      </c>
      <c r="G145" s="117" t="inlineStr">
        <is>
          <t xml:space="preserve">SURXONDARYO VILOYATI DENOV SHAHAR ISTIQLOL  21-UY </t>
        </is>
      </c>
      <c r="H145" s="118">
        <v>98.0</v>
      </c>
      <c r="I145" s="118">
        <v>4927966.34</v>
      </c>
      <c r="K145" s="117" t="inlineStr">
        <is>
          <t xml:space="preserve">tgdan yozwdm abror ogan | 205</t>
        </is>
      </c>
    </row>
    <row r="146">
      <c r="A146" s="117" t="inlineStr">
        <is>
          <t xml:space="preserve">СУРХОНДАРЁ ВИЛОЯТИ</t>
        </is>
      </c>
      <c r="B146" s="117" t="inlineStr">
        <is>
          <t xml:space="preserve">SUPER BRANCH</t>
        </is>
      </c>
      <c r="C146" s="117" t="inlineStr">
        <is>
          <t xml:space="preserve">Ko'tarmadi</t>
        </is>
      </c>
      <c r="D146" s="117" t="inlineStr">
        <is>
          <t xml:space="preserve">Кр-99025723-2</t>
        </is>
      </c>
      <c r="E146" s="117" t="inlineStr">
        <is>
          <t xml:space="preserve">G’ANIYEV XURSHIDBEK ABDSAMAD O’G’LI</t>
        </is>
      </c>
      <c r="F146" s="117" t="inlineStr">
        <is>
          <t xml:space="preserve">94-272-03-27 SMS OZI begona, 99-578-37-91 SMS UY, 97-151-70-20 SMS UY, 91-517-21-03 SMS JIYANI, 94-272-03-79 SMS SUKA UZI TOLIDI, 998940015779 SMS AYOLI,</t>
        </is>
      </c>
      <c r="G146" s="117" t="inlineStr">
        <is>
          <t xml:space="preserve">SURXONDARYO VILOYATI OLTINSOY TUMANI JOBI MFY  28-UY</t>
        </is>
      </c>
      <c r="H146" s="118">
        <v>34.0</v>
      </c>
      <c r="I146" s="118">
        <v>4922746.57</v>
      </c>
      <c r="K146" s="117" t="inlineStr">
        <is>
          <t xml:space="preserve">tubi yoq uyidayam yoq | 196</t>
        </is>
      </c>
    </row>
    <row r="147">
      <c r="A147" s="117" t="inlineStr">
        <is>
          <t xml:space="preserve">СУРХОНДАРЁ ВИЛОЯТИ</t>
        </is>
      </c>
      <c r="B147" s="117" t="inlineStr">
        <is>
          <t xml:space="preserve">SUPER BRANCH</t>
        </is>
      </c>
      <c r="C147" s="117" t="inlineStr">
        <is>
          <t xml:space="preserve">Ko'tarmadi</t>
        </is>
      </c>
      <c r="D147" s="117" t="inlineStr">
        <is>
          <t xml:space="preserve">Кр-99062987-3</t>
        </is>
      </c>
      <c r="E147" s="117" t="inlineStr">
        <is>
          <t xml:space="preserve">JUMAYEVA DILNOZA QILICH QIZI</t>
        </is>
      </c>
      <c r="F147" s="117" t="inlineStr">
        <is>
          <t xml:space="preserve">+998500786262 SMS OZI, 998889269797 SMS UKASI, 998945625255 SMS UYI,</t>
        </is>
      </c>
      <c r="G147" s="117" t="inlineStr">
        <is>
          <t xml:space="preserve">SURXONDARYO VILOYATI TERMIZ TUMANI QUYOSHLI YURT MFY OZODLIK  KUCHASI 25 A UY</t>
        </is>
      </c>
      <c r="H147" s="118">
        <v>3.0</v>
      </c>
      <c r="I147" s="118">
        <v>4526846.09</v>
      </c>
      <c r="K147" s="117" t="inlineStr">
        <is>
          <t xml:space="preserve">ракамларини хаммаси нотугри | фелиалга айтиш керак</t>
        </is>
      </c>
    </row>
    <row r="148">
      <c r="A148" s="117" t="inlineStr">
        <is>
          <t xml:space="preserve">СУРХОНДАРЁ ВИЛОЯТИ</t>
        </is>
      </c>
      <c r="B148" s="117" t="inlineStr">
        <is>
          <t xml:space="preserve">SUPER BRANCH</t>
        </is>
      </c>
      <c r="C148" s="117" t="inlineStr">
        <is>
          <t xml:space="preserve">Ko'tarmadi</t>
        </is>
      </c>
      <c r="D148" s="117" t="inlineStr">
        <is>
          <t xml:space="preserve">Кр-99055892-1</t>
        </is>
      </c>
      <c r="E148" s="117" t="inlineStr">
        <is>
          <t xml:space="preserve">ALTIBAYEV BAXRIDIN KUDRATOVICH</t>
        </is>
      </c>
      <c r="F148" s="117" t="inlineStr">
        <is>
          <t xml:space="preserve">+998994038024 Primary phone from road24, 998994038024 Primary phone from road24,</t>
        </is>
      </c>
      <c r="G148" s="117" t="inlineStr">
        <is>
          <t xml:space="preserve">ОКЖАР КФЙ, ЯНГИХАЁТ МФЙ, ОКЖАР КФЙ, ЯНГИХАЁТ МФЙ, ЯНГИХАЁТ,</t>
        </is>
      </c>
      <c r="H148" s="118">
        <v>160.0</v>
      </c>
      <c r="I148" s="118">
        <v>3656055.98</v>
      </c>
      <c r="K148" s="117" t="inlineStr">
        <is>
          <t xml:space="preserve">tgdan yozdm stroykada iwlavoti | 1573</t>
        </is>
      </c>
    </row>
    <row r="149">
      <c r="A149" s="117" t="inlineStr">
        <is>
          <t xml:space="preserve">СУРХОНДАРЁ ВИЛОЯТИ</t>
        </is>
      </c>
      <c r="B149" s="117" t="inlineStr">
        <is>
          <t xml:space="preserve">SUPER BRANCH</t>
        </is>
      </c>
      <c r="C149" s="117" t="inlineStr">
        <is>
          <t xml:space="preserve">Ko'tarmadi</t>
        </is>
      </c>
      <c r="D149" s="117" t="inlineStr">
        <is>
          <t xml:space="preserve">Кр-99040377-1</t>
        </is>
      </c>
      <c r="E149" s="117" t="inlineStr">
        <is>
          <t xml:space="preserve">RADJABOV JO’RABEK MAXMUTOVICH</t>
        </is>
      </c>
      <c r="F149" s="117" t="inlineStr">
        <is>
          <t xml:space="preserve">998507795666 SMS OZI, 998992118496 SMS UKASI, 998507218995 SMS AYOLI, 998999484972 SMS QAYTNONASI,</t>
        </is>
      </c>
      <c r="G149" s="117" t="inlineStr">
        <is>
          <t xml:space="preserve">SURXONDARYO VILOYATI DENOV TUMANI ISLOM TO'RAYEV MFY ASRLAR SADOSI  KO'CHASI</t>
        </is>
      </c>
      <c r="H149" s="118">
        <v>3.0</v>
      </c>
      <c r="I149" s="118">
        <v>3544253.38</v>
      </c>
      <c r="K149" s="117" t="inlineStr">
        <is>
          <t xml:space="preserve">iwlidigan nomeri yo uyiga odam junataman | 1008</t>
        </is>
      </c>
    </row>
    <row r="150">
      <c r="A150" s="117" t="inlineStr">
        <is>
          <t xml:space="preserve">СУРХОНДАРЁ ВИЛОЯТИ</t>
        </is>
      </c>
      <c r="B150" s="117" t="inlineStr">
        <is>
          <t xml:space="preserve">SUPER BRANCH</t>
        </is>
      </c>
      <c r="C150" s="117" t="inlineStr">
        <is>
          <t xml:space="preserve">Ko'tarmadi</t>
        </is>
      </c>
      <c r="D150" s="117" t="inlineStr">
        <is>
          <t xml:space="preserve">Кр-99057472-1</t>
        </is>
      </c>
      <c r="E150" s="117" t="inlineStr">
        <is>
          <t xml:space="preserve">JABBAROVA MAHLIYO MARDANAQUL QIZI</t>
        </is>
      </c>
      <c r="F150" s="117" t="inlineStr">
        <is>
          <t xml:space="preserve">998991609650 SMS UZI, 998772499000 SMS UY, 998953149690 SMS OILASI, 998771100683 SMS oilasi begona,</t>
        </is>
      </c>
      <c r="G150" s="117" t="inlineStr">
        <is>
          <t xml:space="preserve">SURXONDARYO VILOYATI DENOV TUMANI LOCHIN MFY FAYZLI 20-UY</t>
        </is>
      </c>
      <c r="H150" s="118">
        <v>3.0</v>
      </c>
      <c r="I150" s="118">
        <v>3145815.36</v>
      </c>
      <c r="K150" s="117" t="inlineStr">
        <is>
          <t xml:space="preserve">tgdan gaplawdm kunlik tolov qlebdi | 1659</t>
        </is>
      </c>
    </row>
    <row r="151">
      <c r="A151" s="117" t="inlineStr">
        <is>
          <t xml:space="preserve">СУРХОНДАРЁ ВИЛОЯТИ</t>
        </is>
      </c>
      <c r="B151" s="117" t="inlineStr">
        <is>
          <t xml:space="preserve">SUPER BRANCH</t>
        </is>
      </c>
      <c r="C151" s="117" t="inlineStr">
        <is>
          <t xml:space="preserve">Ko'tarmadi</t>
        </is>
      </c>
      <c r="D151" s="117" t="inlineStr">
        <is>
          <t xml:space="preserve">Кр-99052968-1</t>
        </is>
      </c>
      <c r="E151" s="117" t="inlineStr">
        <is>
          <t xml:space="preserve">ABDULLAYEV IKROM SAFARMAXMATOVICH</t>
        </is>
      </c>
      <c r="F151" s="117" t="inlineStr">
        <is>
          <t xml:space="preserve">+998997373379 SMS O’ZI, 998772586879 SMS AYOLI, 998996707907 SMS O’G’LI,</t>
        </is>
      </c>
      <c r="G151" s="117" t="inlineStr">
        <is>
          <t xml:space="preserve">BOYSUN TUMAN TEMIR DARVOZA MFY KO’XINUR KO’CHASI 49-UY</t>
        </is>
      </c>
      <c r="H151" s="118">
        <v>3.0</v>
      </c>
      <c r="I151" s="118">
        <v>3106318.0</v>
      </c>
    </row>
    <row r="152">
      <c r="A152" s="117" t="inlineStr">
        <is>
          <t xml:space="preserve">СУРХОНДАРЁ ВИЛОЯТИ</t>
        </is>
      </c>
      <c r="B152" s="117" t="inlineStr">
        <is>
          <t xml:space="preserve">SUPER BRANCH</t>
        </is>
      </c>
      <c r="C152" s="117" t="inlineStr">
        <is>
          <t xml:space="preserve">Ko'tarmadi</t>
        </is>
      </c>
      <c r="D152" s="117" t="inlineStr">
        <is>
          <t xml:space="preserve">Кр-99024336-2</t>
        </is>
      </c>
      <c r="E152" s="117" t="inlineStr">
        <is>
          <t xml:space="preserve">XUDAYOROVA GULABZA NURMAMATOVNA</t>
        </is>
      </c>
      <c r="F152" s="117" t="inlineStr">
        <is>
          <t xml:space="preserve">99-285-80-87 SMS, 99-562-54-53  SMS UY, 99-561-54-53 SMS XUJAYINI, 998970137454 SMS ozi new ,</t>
        </is>
      </c>
      <c r="G152" s="117" t="inlineStr">
        <is>
          <t xml:space="preserve">SURXONDARYO VILOYATI DENOV TUMANI QORAXON MFY GULCHILAR KO’CHASI 7-UY</t>
        </is>
      </c>
      <c r="H152" s="118">
        <v>3.0</v>
      </c>
      <c r="I152" s="118">
        <v>3029721.24</v>
      </c>
      <c r="K152" s="117" t="inlineStr">
        <is>
          <t xml:space="preserve">nomeri iwlamad xodm junataman | 178</t>
        </is>
      </c>
    </row>
    <row r="153">
      <c r="A153" s="117" t="inlineStr">
        <is>
          <t xml:space="preserve">СУРХОНДАРЁ ВИЛОЯТИ</t>
        </is>
      </c>
      <c r="B153" s="117" t="inlineStr">
        <is>
          <t xml:space="preserve">SUPER BRANCH</t>
        </is>
      </c>
      <c r="C153" s="117" t="inlineStr">
        <is>
          <t xml:space="preserve">Ko'tarmadi</t>
        </is>
      </c>
      <c r="D153" s="117" t="inlineStr">
        <is>
          <t xml:space="preserve">Кр-99057441-1</t>
        </is>
      </c>
      <c r="E153" s="117" t="inlineStr">
        <is>
          <t xml:space="preserve">ISMATULLAYEV SALOXIDDIN SHERALI O’G’LI</t>
        </is>
      </c>
      <c r="F153" s="117" t="inlineStr">
        <is>
          <t xml:space="preserve">998971544440 SMS UZI, 998700137737 SMS UKASI uzi, 998917333337 SMS UY, 998903799208 SMS UY 2,</t>
        </is>
      </c>
      <c r="G153" s="117" t="inlineStr">
        <is>
          <t xml:space="preserve">SURXONDARYO VILOYATI UZUN TUMANI QARASHIQ MFY SHODLIK KO’CHASI  153-UY </t>
        </is>
      </c>
      <c r="H153" s="118">
        <v>3.0</v>
      </c>
      <c r="I153" s="118">
        <v>2838796.0</v>
      </c>
      <c r="K153" s="117" t="inlineStr">
        <is>
          <t xml:space="preserve">sms yozdm 15 larida tolo qlad | 1649</t>
        </is>
      </c>
    </row>
    <row r="154">
      <c r="A154" s="117" t="inlineStr">
        <is>
          <t xml:space="preserve">СУРХОНДАРЁ ВИЛОЯТИ</t>
        </is>
      </c>
      <c r="B154" s="117" t="inlineStr">
        <is>
          <t xml:space="preserve">SUPER BRANCH</t>
        </is>
      </c>
      <c r="C154" s="117" t="inlineStr">
        <is>
          <t xml:space="preserve">Ko'tarmadi</t>
        </is>
      </c>
      <c r="D154" s="117" t="inlineStr">
        <is>
          <t xml:space="preserve">Кр-99037985-1</t>
        </is>
      </c>
      <c r="E154" s="117" t="inlineStr">
        <is>
          <t xml:space="preserve">RAXMATOV SANJAR SIROJIDDIN O’G’LI</t>
        </is>
      </c>
      <c r="F154" s="117" t="inlineStr">
        <is>
          <t xml:space="preserve">998200079666 SMS OZI, 998770979222 SMS UYI, 998934087282 SMS UKASI, 998990379858 SMS UYI, 998770979222 SMS TOLOVCHI MOSHINANI SHU SOTIB OLGAN ,</t>
        </is>
      </c>
      <c r="G154" s="117" t="inlineStr">
        <is>
          <t xml:space="preserve">SURXONDARYO VILOYATI BOYSUN TUMANI GAZA MFY BIDORKOM 79-UY</t>
        </is>
      </c>
      <c r="H154" s="118">
        <v>2.0</v>
      </c>
      <c r="I154" s="118">
        <v>2811123.42</v>
      </c>
      <c r="K154" s="117" t="inlineStr">
        <is>
          <t xml:space="preserve">фелиалга айтиш керак</t>
        </is>
      </c>
    </row>
    <row r="155">
      <c r="A155" s="117" t="inlineStr">
        <is>
          <t xml:space="preserve">СУРХОНДАРЁ ВИЛОЯТИ</t>
        </is>
      </c>
      <c r="B155" s="117" t="inlineStr">
        <is>
          <t xml:space="preserve">SUPER BRANCH</t>
        </is>
      </c>
      <c r="C155" s="117" t="inlineStr">
        <is>
          <t xml:space="preserve">Ko'tarmadi</t>
        </is>
      </c>
      <c r="D155" s="117" t="inlineStr">
        <is>
          <t xml:space="preserve">Кр-99027967-2</t>
        </is>
      </c>
      <c r="E155" s="117" t="inlineStr">
        <is>
          <t xml:space="preserve">ABDURAXMANOVA SARVINOZ RAMAZANOVNA</t>
        </is>
      </c>
      <c r="F155" s="117" t="inlineStr">
        <is>
          <t xml:space="preserve">97-078-16-63 SMS OZI , 88-595-56-66  SMS SINGLISI OYLAR, 97-843-92-86 SMS SINGLISI, 88-420-11-95  SMS FOTIMA ,</t>
        </is>
      </c>
      <c r="G155" s="117" t="inlineStr">
        <is>
          <t xml:space="preserve">SURXONDARYO VILOYATI SARIOSIYO TUMANI JOHJAHON MFY ELOBOD QISHLOG’I  KO’CHASI 104-UY </t>
        </is>
      </c>
      <c r="H155" s="118">
        <v>3.0</v>
      </c>
      <c r="I155" s="118">
        <v>2508072.6</v>
      </c>
      <c r="K155" s="117" t="inlineStr">
        <is>
          <t xml:space="preserve">singlisiga sms yozdm | 256</t>
        </is>
      </c>
    </row>
    <row r="156">
      <c r="A156" s="117" t="inlineStr">
        <is>
          <t xml:space="preserve">СУРХОНДАРЁ ВИЛОЯТИ</t>
        </is>
      </c>
      <c r="B156" s="117" t="inlineStr">
        <is>
          <t xml:space="preserve">SUPER BRANCH</t>
        </is>
      </c>
      <c r="C156" s="117" t="inlineStr">
        <is>
          <t xml:space="preserve">Ko'tarmadi</t>
        </is>
      </c>
      <c r="D156" s="117" t="inlineStr">
        <is>
          <t xml:space="preserve">Кр-99028203-2</t>
        </is>
      </c>
      <c r="E156" s="117" t="inlineStr">
        <is>
          <t xml:space="preserve">TOSHMURODOV SHAXBOZ URALBOY O’G’LI</t>
        </is>
      </c>
      <c r="F156" s="117" t="inlineStr">
        <is>
          <t xml:space="preserve">88-810-99-97 SMS O'ZI, 91-234-75-34  SMS UKASI, 91-968-85-77  SMS DADASI, 90-748-85-77  SMS UY,</t>
        </is>
      </c>
      <c r="G156" s="117" t="inlineStr">
        <is>
          <t xml:space="preserve">SURXONDARYO VILOYATI SARIOSIYO TUMANI BILLUR MFY BILUR  K’OCHASI 82-UY </t>
        </is>
      </c>
      <c r="H156" s="118">
        <v>3.0</v>
      </c>
      <c r="I156" s="118">
        <v>2247603.75</v>
      </c>
      <c r="K156" s="117" t="inlineStr">
        <is>
          <t xml:space="preserve">hamma nomeri ociq | 263</t>
        </is>
      </c>
    </row>
    <row r="157">
      <c r="A157" s="117" t="inlineStr">
        <is>
          <t xml:space="preserve">СУРХОНДАРЁ ВИЛОЯТИ</t>
        </is>
      </c>
      <c r="B157" s="117" t="inlineStr">
        <is>
          <t xml:space="preserve">SUPER BRANCH</t>
        </is>
      </c>
      <c r="C157" s="117" t="inlineStr">
        <is>
          <t xml:space="preserve">Ko'tarmadi</t>
        </is>
      </c>
      <c r="D157" s="117" t="inlineStr">
        <is>
          <t xml:space="preserve">Кр-99058368-1</t>
        </is>
      </c>
      <c r="E157" s="117" t="inlineStr">
        <is>
          <t xml:space="preserve">AKRAMOV SHAROFIDDIN SOBIROVICH</t>
        </is>
      </c>
      <c r="F157" s="117" t="inlineStr">
        <is>
          <t xml:space="preserve">998971920077 OZI SMS TEL, 998952427779 SMS UY, 998951370777 SMS OILASI,</t>
        </is>
      </c>
      <c r="G157" s="117" t="inlineStr">
        <is>
          <t xml:space="preserve">SURXONDARYO VILOYATI DENOV TUMANI LOCHIN MFY MADINA 2 UY</t>
        </is>
      </c>
      <c r="H157" s="118">
        <v>3.0</v>
      </c>
      <c r="I157" s="118">
        <v>2082653.02</v>
      </c>
      <c r="K157" s="117" t="inlineStr">
        <is>
          <t xml:space="preserve">sms yozvordm oldn ham smsda gaplawganma | 1688</t>
        </is>
      </c>
    </row>
    <row r="158">
      <c r="A158" s="117" t="inlineStr">
        <is>
          <t xml:space="preserve">СУРХОНДАРЁ ВИЛОЯТИ</t>
        </is>
      </c>
      <c r="B158" s="117" t="inlineStr">
        <is>
          <t xml:space="preserve">SUPER BRANCH</t>
        </is>
      </c>
      <c r="C158" s="117" t="inlineStr">
        <is>
          <t xml:space="preserve">Ko'tarmadi</t>
        </is>
      </c>
      <c r="D158" s="117" t="inlineStr">
        <is>
          <t xml:space="preserve">Кр-99039297-1</t>
        </is>
      </c>
      <c r="E158" s="117" t="inlineStr">
        <is>
          <t xml:space="preserve">TOSHPULATOV AKMAL MAXMUD O’G’LI</t>
        </is>
      </c>
      <c r="F158" s="117" t="inlineStr">
        <is>
          <t xml:space="preserve">998771779917 SMS OZI, 999809770995 SMS BEGONA, 998958561818 SMS OILASI BEGONA ODAM TEL QLINMASIN , 998919107375 MFY raisi SMS, 998953560700 SMS OZI NEW,</t>
        </is>
      </c>
      <c r="G158" s="117" t="inlineStr">
        <is>
          <t xml:space="preserve">SURXONDARYO VILOYATI DENOV SHAHAR JOMIY MFY   Y.RAJABIY 15-UY</t>
        </is>
      </c>
      <c r="H158" s="118">
        <v>6.0</v>
      </c>
      <c r="I158" s="118">
        <v>1863612.55</v>
      </c>
      <c r="K158" s="117" t="inlineStr">
        <is>
          <t xml:space="preserve">umuman tubi yoq buni uyida hic km yawamed mahallasi tanimed | 834</t>
        </is>
      </c>
    </row>
    <row r="159">
      <c r="A159" s="117" t="inlineStr">
        <is>
          <t xml:space="preserve">СУРХОНДАРЁ ВИЛОЯТИ</t>
        </is>
      </c>
      <c r="B159" s="117" t="inlineStr">
        <is>
          <t xml:space="preserve">SUPER BRANCH</t>
        </is>
      </c>
      <c r="C159" s="117" t="inlineStr">
        <is>
          <t xml:space="preserve">Ko'tarmadi</t>
        </is>
      </c>
      <c r="D159" s="117" t="inlineStr">
        <is>
          <t xml:space="preserve">Кр-99040161-1</t>
        </is>
      </c>
      <c r="E159" s="117" t="inlineStr">
        <is>
          <t xml:space="preserve">JOVLIYEV ZOXID XURSANQUL O’G’LI</t>
        </is>
      </c>
      <c r="F159" s="117" t="inlineStr">
        <is>
          <t xml:space="preserve">998951578486 SMS OZI, 998942078486 SMS AYOLI, 998942000757 SMS ONASI,</t>
        </is>
      </c>
      <c r="G159" s="117" t="inlineStr">
        <is>
          <t xml:space="preserve">StJttХoNDARYO vlLoYAT IvlUZRABoT TUMAN oRlYAT MF'Y</t>
        </is>
      </c>
      <c r="H159" s="118">
        <v>3.0</v>
      </c>
      <c r="I159" s="118">
        <v>1496512.53</v>
      </c>
      <c r="K159" s="117" t="inlineStr">
        <is>
          <t xml:space="preserve">фелиалга айтиш керак</t>
        </is>
      </c>
    </row>
    <row r="160">
      <c r="A160" s="117" t="inlineStr">
        <is>
          <t xml:space="preserve">СУРХОНДАРЁ ВИЛОЯТИ</t>
        </is>
      </c>
      <c r="B160" s="117" t="inlineStr">
        <is>
          <t xml:space="preserve">SUPER BRANCH</t>
        </is>
      </c>
      <c r="C160" s="117" t="inlineStr">
        <is>
          <t xml:space="preserve">Ko'tarmadi</t>
        </is>
      </c>
      <c r="D160" s="117" t="inlineStr">
        <is>
          <t xml:space="preserve">Кр-99013324-3</t>
        </is>
      </c>
      <c r="E160" s="117" t="inlineStr">
        <is>
          <t xml:space="preserve">MENGKABILOV ABDUSALIM ABDUJABBAROVICH</t>
        </is>
      </c>
      <c r="F160" s="117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60" s="117" t="inlineStr">
        <is>
          <t xml:space="preserve">SURXONDARYO VILOYAT DENOV SHAHRI  SH.RASHIDOV KO’CHASI 131-UY </t>
        </is>
      </c>
      <c r="H160" s="118">
        <v>3.0</v>
      </c>
      <c r="I160" s="118">
        <v>1077713.11</v>
      </c>
      <c r="K160" s="117" t="inlineStr">
        <is>
          <t xml:space="preserve">abdusalim rusda bollar uyiga borgan onasiga pul tawarkan onasi tolo qlad | 70</t>
        </is>
      </c>
    </row>
    <row r="161">
      <c r="A161" s="117" t="inlineStr">
        <is>
          <t xml:space="preserve">СУРХОНДАРЁ ВИЛОЯТИ</t>
        </is>
      </c>
      <c r="B161" s="117" t="inlineStr">
        <is>
          <t xml:space="preserve">SUPER BRANCH</t>
        </is>
      </c>
      <c r="C161" s="117" t="inlineStr">
        <is>
          <t xml:space="preserve">Ko'tarmadi</t>
        </is>
      </c>
      <c r="D161" s="117" t="inlineStr">
        <is>
          <t xml:space="preserve">Кр-99039845-1</t>
        </is>
      </c>
      <c r="E161" s="117" t="inlineStr">
        <is>
          <t xml:space="preserve">SAYFIDDINOV SULTONBEK ABDULHAKIM O’G’LI</t>
        </is>
      </c>
      <c r="F161" s="117" t="inlineStr">
        <is>
          <t xml:space="preserve">998938785878 SMS OZI, 998944640303 SMS DADASI, 998942611519 SMS ONASI, 998944663006 SMS POCHCHASI,</t>
        </is>
      </c>
      <c r="G161" s="117" t="inlineStr">
        <is>
          <t xml:space="preserve">SURXONDARYO VILOYAT SHEROBOD TUMAN YOSHLIK MFY A.JOMIY KO’CHASI 8-UY</t>
        </is>
      </c>
      <c r="H161" s="118">
        <v>3.0</v>
      </c>
      <c r="I161" s="118">
        <v>498039.61</v>
      </c>
      <c r="K161" s="117" t="inlineStr">
        <is>
          <t xml:space="preserve">фелиалга айтиш керак</t>
        </is>
      </c>
    </row>
    <row r="162">
      <c r="A162" s="117" t="inlineStr">
        <is>
          <t xml:space="preserve">СУРХОНДАРЁ ВИЛОЯТИ</t>
        </is>
      </c>
      <c r="B162" s="117" t="inlineStr">
        <is>
          <t xml:space="preserve">SUPER BRANCH</t>
        </is>
      </c>
      <c r="C162" s="117" t="inlineStr">
        <is>
          <t xml:space="preserve">Ko'tarmadi</t>
        </is>
      </c>
      <c r="D162" s="117" t="inlineStr">
        <is>
          <t xml:space="preserve">Кр-99032282-2</t>
        </is>
      </c>
      <c r="E162" s="117" t="inlineStr">
        <is>
          <t xml:space="preserve">NORMINGLIYEV ABDUMALIK ABDULLAYEVICH</t>
        </is>
      </c>
      <c r="F162" s="117" t="inlineStr">
        <is>
          <t xml:space="preserve">998330105393 SMS O’ZI, 998955554493 SMS UKASI zokir tulovchi, 998991759555 SMS AKASI BEGONA, 998775773093 SMS UY,</t>
        </is>
      </c>
      <c r="G162" s="117" t="inlineStr">
        <is>
          <t xml:space="preserve">SURXONDARYO VILOYATI DENOV TUMANI NONOZOR  MFY GULBOG KO’CHASI 121-UY</t>
        </is>
      </c>
      <c r="H162" s="118">
        <v>3.0</v>
      </c>
      <c r="I162" s="118">
        <v>458099.68</v>
      </c>
      <c r="K162" s="117" t="inlineStr">
        <is>
          <t xml:space="preserve">zokirga sms yozvordm | 424</t>
        </is>
      </c>
    </row>
    <row r="163">
      <c r="A163" s="99" t="inlineStr">
        <is>
          <t xml:space="preserve">СУРХОНДАРЁ ВИЛОЯТИ</t>
        </is>
      </c>
      <c r="B163" s="99" t="inlineStr">
        <is>
          <t xml:space="preserve">Денов филиали</t>
        </is>
      </c>
      <c r="C163" s="99" t="inlineStr">
        <is>
          <t xml:space="preserve">Ko'tarmadi</t>
        </is>
      </c>
      <c r="D163" s="99" t="inlineStr">
        <is>
          <t xml:space="preserve">Кр-99041030-1</t>
        </is>
      </c>
      <c r="E163" s="99" t="inlineStr">
        <is>
          <t xml:space="preserve">KARABOYEV ILHOM CHORIYEVICH</t>
        </is>
      </c>
      <c r="F163" s="99" t="inlineStr">
        <is>
          <t xml:space="preserve">+998508828224 SMS O’ZI, 998882426242 SMS QIZI BEGONA, 998952128999 SMS QIZI BEGONA, 998500126575 SMS OZI ,</t>
        </is>
      </c>
      <c r="G163" s="99" t="inlineStr">
        <is>
          <t xml:space="preserve">ДЕНОВ ШАХАР, САНОАТЧИЛИК МФЙ, М.БЕДИЛ,  uy:1А</t>
        </is>
      </c>
      <c r="H163" s="100">
        <v>66.0</v>
      </c>
      <c r="I163" s="100">
        <v>21596042.55</v>
      </c>
      <c r="K163" s="99" t="inlineStr">
        <is>
          <t xml:space="preserve">tgdan yozdm bugun yo erte keb tolo qlad | 1100</t>
        </is>
      </c>
    </row>
    <row r="164">
      <c r="A164" s="99" t="inlineStr">
        <is>
          <t xml:space="preserve">СУРХОНДАРЁ ВИЛОЯТИ</t>
        </is>
      </c>
      <c r="B164" s="99" t="inlineStr">
        <is>
          <t xml:space="preserve">Денов филиали</t>
        </is>
      </c>
      <c r="C164" s="99" t="inlineStr">
        <is>
          <t xml:space="preserve">Ko'tarmadi</t>
        </is>
      </c>
      <c r="D164" s="99" t="inlineStr">
        <is>
          <t xml:space="preserve">Кр-99033371-1</t>
        </is>
      </c>
      <c r="E164" s="99" t="inlineStr">
        <is>
          <t xml:space="preserve">JAPPOROVA NIGORA USMONOVNA</t>
        </is>
      </c>
      <c r="F164" s="99" t="inlineStr">
        <is>
          <t xml:space="preserve">998976999602 SMS O’ZI, 998888457780 SMS  UY, 998949539602 SMS UY 2, 998888449602 SMS QIZI,</t>
        </is>
      </c>
      <c r="G164" s="99" t="inlineStr">
        <is>
          <t xml:space="preserve">SURXONDARYO VILOYATI DENOV TUMANI YANGIKUCH MFY TARAQQIYOT YO'LI KO’CHASI 26-UY</t>
        </is>
      </c>
      <c r="H164" s="100">
        <v>122.0</v>
      </c>
      <c r="I164" s="100">
        <v>10441024.46</v>
      </c>
      <c r="K164" s="99" t="inlineStr">
        <is>
          <t xml:space="preserve">wahnoz ogan | 485</t>
        </is>
      </c>
    </row>
    <row r="165">
      <c r="A165" s="99" t="inlineStr">
        <is>
          <t xml:space="preserve">СУРХОНДАРЁ ВИЛОЯТИ</t>
        </is>
      </c>
      <c r="B165" s="99" t="inlineStr">
        <is>
          <t xml:space="preserve">Денов филиали</t>
        </is>
      </c>
      <c r="C165" s="99" t="inlineStr">
        <is>
          <t xml:space="preserve">Ko'tarmadi</t>
        </is>
      </c>
      <c r="D165" s="99" t="inlineStr">
        <is>
          <t xml:space="preserve">Кр-99029152-3</t>
        </is>
      </c>
      <c r="E165" s="99" t="inlineStr">
        <is>
          <t xml:space="preserve">GIYASOV AKBAR RAVSHANOVICH</t>
        </is>
      </c>
      <c r="F165" s="99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65" s="99" t="inlineStr">
        <is>
          <t xml:space="preserve">SURXONDARYO VILOYATI DENOV SHAXAR  QUYOSHLI YURT  MFY OLBUXARI  KO’CHASI 104-UY</t>
        </is>
      </c>
      <c r="H165" s="100">
        <v>149.0</v>
      </c>
      <c r="I165" s="100">
        <v>9442795.33</v>
      </c>
      <c r="K165" s="99" t="inlineStr">
        <is>
          <t xml:space="preserve">qamalib ketgan | 307</t>
        </is>
      </c>
    </row>
    <row r="166">
      <c r="A166" s="99" t="inlineStr">
        <is>
          <t xml:space="preserve">СУРХОНДАРЁ ВИЛОЯТИ</t>
        </is>
      </c>
      <c r="B166" s="99" t="inlineStr">
        <is>
          <t xml:space="preserve">Денов филиали</t>
        </is>
      </c>
      <c r="C166" s="99" t="inlineStr">
        <is>
          <t xml:space="preserve">Ko'tarmadi</t>
        </is>
      </c>
      <c r="D166" s="99" t="inlineStr">
        <is>
          <t xml:space="preserve">Кр-99041348-1</t>
        </is>
      </c>
      <c r="E166" s="99" t="inlineStr">
        <is>
          <t xml:space="preserve">AZIZOV GAFUR MUSAFAROVICH</t>
        </is>
      </c>
      <c r="F166" s="99" t="inlineStr">
        <is>
          <t xml:space="preserve">998915159698 SMS O’ZI, 998919711331 SMS UY, 998995455223 SMS O’G’LI begona,</t>
        </is>
      </c>
      <c r="G166" s="99" t="inlineStr">
        <is>
          <t xml:space="preserve">СУРХОНДАРЁ ВИЛОЯТИ ДЕНОВ ШАХАР, СУФИ ОЛЛОЁР ШФЙ,  uy:74</t>
        </is>
      </c>
      <c r="H166" s="100">
        <v>3.0</v>
      </c>
      <c r="I166" s="100">
        <v>8756692.26</v>
      </c>
      <c r="K166" s="99" t="inlineStr">
        <is>
          <t xml:space="preserve">tgdan yozdm duwanb kuni 100% tolo qlad | 1148</t>
        </is>
      </c>
    </row>
    <row r="167">
      <c r="A167" s="99" t="inlineStr">
        <is>
          <t xml:space="preserve">СУРХОНДАРЁ ВИЛОЯТИ</t>
        </is>
      </c>
      <c r="B167" s="99" t="inlineStr">
        <is>
          <t xml:space="preserve">Денов филиали</t>
        </is>
      </c>
      <c r="C167" s="99" t="inlineStr">
        <is>
          <t xml:space="preserve">Ko'tarmadi</t>
        </is>
      </c>
      <c r="D167" s="99" t="inlineStr">
        <is>
          <t xml:space="preserve">Кр-99029152-2</t>
        </is>
      </c>
      <c r="E167" s="99" t="inlineStr">
        <is>
          <t xml:space="preserve">GIYASOV AKBAR RAVSHANOVICH</t>
        </is>
      </c>
      <c r="F167" s="99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67" s="99" t="inlineStr">
        <is>
          <t xml:space="preserve">SURXONDARYO VILOYATI DENOV SHAXAR  QUYOSHLI YURT  MFY OLBUXARI  KO’CHASI 104-UY</t>
        </is>
      </c>
      <c r="H167" s="100">
        <v>87.0</v>
      </c>
      <c r="I167" s="100">
        <v>8077670.12</v>
      </c>
      <c r="K167" s="99" t="inlineStr">
        <is>
          <t xml:space="preserve">qamalib ketgan | 306</t>
        </is>
      </c>
    </row>
    <row r="168">
      <c r="A168" s="99" t="inlineStr">
        <is>
          <t xml:space="preserve">СУРХОНДАРЁ ВИЛОЯТИ</t>
        </is>
      </c>
      <c r="B168" s="99" t="inlineStr">
        <is>
          <t xml:space="preserve">Денов филиали</t>
        </is>
      </c>
      <c r="C168" s="99" t="inlineStr">
        <is>
          <t xml:space="preserve">Ko'tarmadi</t>
        </is>
      </c>
      <c r="D168" s="99" t="inlineStr">
        <is>
          <t xml:space="preserve">Кр-99026966-1</t>
        </is>
      </c>
      <c r="E168" s="99" t="inlineStr">
        <is>
          <t xml:space="preserve">KABILOVA ANORXOL XOLIYAROVNA</t>
        </is>
      </c>
      <c r="F168" s="99" t="inlineStr">
        <is>
          <t xml:space="preserve">90-075-05-51 SMS UY, 93-719-05-51  SMS OGLI, 93-919-05-51  SMS OILASI, 998948538586 SMS tulovchi,</t>
        </is>
      </c>
      <c r="G168" s="99" t="inlineStr">
        <is>
          <t xml:space="preserve">SURXONDARYO VILOYATI DENOV TUMANI XAZARBOG’ QFY DUNYO TEPA MFY CHORGUL 47-UY </t>
        </is>
      </c>
      <c r="H168" s="100">
        <v>182.0</v>
      </c>
      <c r="I168" s="100">
        <v>7993117.9</v>
      </c>
      <c r="K168" s="99" t="inlineStr">
        <is>
          <t xml:space="preserve">vafot etgan | 216</t>
        </is>
      </c>
    </row>
    <row r="169">
      <c r="A169" s="99" t="inlineStr">
        <is>
          <t xml:space="preserve">СУРХОНДАРЁ ВИЛОЯТИ</t>
        </is>
      </c>
      <c r="B169" s="99" t="inlineStr">
        <is>
          <t xml:space="preserve">Денов филиали</t>
        </is>
      </c>
      <c r="C169" s="99" t="inlineStr">
        <is>
          <t xml:space="preserve">Ko'tarmadi</t>
        </is>
      </c>
      <c r="D169" s="99" t="inlineStr">
        <is>
          <t xml:space="preserve">Кр-99061106-1</t>
        </is>
      </c>
      <c r="E169" s="99" t="inlineStr">
        <is>
          <t xml:space="preserve">ESHMURODOV JUMMANAZAR ALIMOVICH</t>
        </is>
      </c>
      <c r="F169" s="99" t="inlineStr">
        <is>
          <t xml:space="preserve">998885680272 SMS UY, 998952357793 SMS UZI, 998995853555 SMS OILASI,</t>
        </is>
      </c>
      <c r="G169" s="99" t="inlineStr">
        <is>
          <t xml:space="preserve">SURXONDARYO VILOYATI DENOV TUMANI TOTUVLIK MFY GULLIRANO 74-UY</t>
        </is>
      </c>
      <c r="H169" s="100">
        <v>3.0</v>
      </c>
      <c r="I169" s="100">
        <v>7638362.84</v>
      </c>
      <c r="K169" s="99" t="inlineStr">
        <is>
          <t xml:space="preserve">xotiniga tgdan yozdm | 1779</t>
        </is>
      </c>
    </row>
    <row r="170">
      <c r="A170" s="99" t="inlineStr">
        <is>
          <t xml:space="preserve">СУРХОНДАРЁ ВИЛОЯТИ</t>
        </is>
      </c>
      <c r="B170" s="99" t="inlineStr">
        <is>
          <t xml:space="preserve">Денов филиали</t>
        </is>
      </c>
      <c r="C170" s="99" t="inlineStr">
        <is>
          <t xml:space="preserve">Ko'tarmadi</t>
        </is>
      </c>
      <c r="D170" s="99" t="inlineStr">
        <is>
          <t xml:space="preserve">Кр-99029584-1</t>
        </is>
      </c>
      <c r="E170" s="99" t="inlineStr">
        <is>
          <t xml:space="preserve">MULLOJONOV JAMSHID ABDURASHITOVICH</t>
        </is>
      </c>
      <c r="F170" s="99" t="inlineStr">
        <is>
          <t xml:space="preserve">99-249-37-57 SMS , 99-248-37-57 SMS UY, 90-523-07-63 SMS OILASI, 99-061-07-88  SMS SHERIGI,</t>
        </is>
      </c>
      <c r="G170" s="99" t="inlineStr">
        <is>
          <t xml:space="preserve">SURXONDARYO VILOYATI SARIOSIYO TUMANI X.TOXIROV MFY QALDIRG’OCH KO’CHASI 45-UY</t>
        </is>
      </c>
      <c r="H170" s="100">
        <v>23.0</v>
      </c>
      <c r="I170" s="100">
        <v>3390160.95</v>
      </c>
      <c r="K170" s="99" t="inlineStr">
        <is>
          <t xml:space="preserve">hamma nomeri ocu mfysiga ciqdm surab bilib beraman dd | 323</t>
        </is>
      </c>
    </row>
    <row r="171">
      <c r="A171" s="99" t="inlineStr">
        <is>
          <t xml:space="preserve">СУРХОНДАРЁ ВИЛОЯТИ</t>
        </is>
      </c>
      <c r="B171" s="99" t="inlineStr">
        <is>
          <t xml:space="preserve">Денов филиали</t>
        </is>
      </c>
      <c r="C171" s="99" t="inlineStr">
        <is>
          <t xml:space="preserve">Ko'tarmadi</t>
        </is>
      </c>
      <c r="D171" s="99" t="inlineStr">
        <is>
          <t xml:space="preserve">Кр-99041344-1</t>
        </is>
      </c>
      <c r="E171" s="99" t="inlineStr">
        <is>
          <t xml:space="preserve">ABDUALIYEV SIYOVUSH FAYYOZ O’G’LI</t>
        </is>
      </c>
      <c r="F171" s="99" t="inlineStr">
        <is>
          <t xml:space="preserve">+998777327004 SMS O’ZI, 998507121520 SMS AYOLI,</t>
        </is>
      </c>
      <c r="G171" s="99" t="inlineStr">
        <is>
          <t xml:space="preserve">Истиклол МФЙ, Пахтакор-2 кучаси, 6-уй</t>
        </is>
      </c>
      <c r="H171" s="100">
        <v>3.0</v>
      </c>
      <c r="I171" s="100">
        <v>3281721.69</v>
      </c>
      <c r="K171" s="99" t="inlineStr">
        <is>
          <t xml:space="preserve">фелиалга айтиш керак</t>
        </is>
      </c>
    </row>
    <row r="172">
      <c r="A172" s="99" t="inlineStr">
        <is>
          <t xml:space="preserve">СУРХОНДАРЁ ВИЛОЯТИ</t>
        </is>
      </c>
      <c r="B172" s="99" t="inlineStr">
        <is>
          <t xml:space="preserve">Денов филиали</t>
        </is>
      </c>
      <c r="C172" s="99" t="inlineStr">
        <is>
          <t xml:space="preserve">Ko'tarmadi</t>
        </is>
      </c>
      <c r="D172" s="99" t="inlineStr">
        <is>
          <t xml:space="preserve">Кр-99032752-4</t>
        </is>
      </c>
      <c r="E172" s="99" t="inlineStr">
        <is>
          <t xml:space="preserve">NOMOZOV MUHAMMADJON MUZAFFAR O’G’LI</t>
        </is>
      </c>
      <c r="F172" s="99" t="inlineStr">
        <is>
          <t xml:space="preserve">998900000000 SMS, 998909554949 SMS OZI , 998997014949 SMS UKASI , 998997426093 SMS UY , 998979490094 SMS UY ,</t>
        </is>
      </c>
      <c r="G172" s="99" t="inlineStr">
        <is>
          <t xml:space="preserve">SURXONDARYO VILOYATI DENOV TUMANI TASMASOY MFY</t>
        </is>
      </c>
      <c r="H172" s="100">
        <v>3.0</v>
      </c>
      <c r="I172" s="100">
        <v>3091165.88</v>
      </c>
      <c r="K172" s="99" t="inlineStr">
        <is>
          <t xml:space="preserve">boglanb bomad tel iwlamad uyiga odam junataman | 444</t>
        </is>
      </c>
    </row>
    <row r="173">
      <c r="A173" s="99" t="inlineStr">
        <is>
          <t xml:space="preserve">СУРХОНДАРЁ ВИЛОЯТИ</t>
        </is>
      </c>
      <c r="B173" s="99" t="inlineStr">
        <is>
          <t xml:space="preserve">Денов филиали</t>
        </is>
      </c>
      <c r="C173" s="99" t="inlineStr">
        <is>
          <t xml:space="preserve">Ko'tarmadi</t>
        </is>
      </c>
      <c r="D173" s="99" t="inlineStr">
        <is>
          <t xml:space="preserve">Кр-99032276-1</t>
        </is>
      </c>
      <c r="E173" s="99" t="inlineStr">
        <is>
          <t xml:space="preserve">NASIMOVA NOZIMAXON ABULQOSIM QIZI</t>
        </is>
      </c>
      <c r="F173" s="99" t="inlineStr">
        <is>
          <t xml:space="preserve">998883833315 SMS O’ZI, 998993881881 SMS TO’LOVCHI, 998888029494 SMS ZALOG QO’YUVCHI, 998901141252 SMS,</t>
        </is>
      </c>
      <c r="G173" s="99" t="inlineStr">
        <is>
          <t xml:space="preserve">SURXANDARYO VILOYATI DENOV TUMANI LAG’MON OTA MFY QAMASHI KO’CHASI 111-UY</t>
        </is>
      </c>
      <c r="H173" s="100">
        <v>3.0</v>
      </c>
      <c r="I173" s="100">
        <v>2811949.25</v>
      </c>
      <c r="K173" s="99" t="inlineStr">
        <is>
          <t xml:space="preserve">sms yozdm tolovciga | 421</t>
        </is>
      </c>
    </row>
    <row r="174">
      <c r="A174" s="99" t="inlineStr">
        <is>
          <t xml:space="preserve">СУРХОНДАРЁ ВИЛОЯТИ</t>
        </is>
      </c>
      <c r="B174" s="99" t="inlineStr">
        <is>
          <t xml:space="preserve">Денов филиали</t>
        </is>
      </c>
      <c r="C174" s="99" t="inlineStr">
        <is>
          <t xml:space="preserve">Ko'tarmadi</t>
        </is>
      </c>
      <c r="D174" s="99" t="inlineStr">
        <is>
          <t xml:space="preserve">Кр-99018490-3</t>
        </is>
      </c>
      <c r="E174" s="99" t="inlineStr">
        <is>
          <t xml:space="preserve">NORQOBILOVA RA’NO ABRAYEVNA</t>
        </is>
      </c>
      <c r="F174" s="99" t="inlineStr">
        <is>
          <t xml:space="preserve">998990184901 SMS O’ZI, 998975317576 SMS UY, 998888499798 SMS UY, 998881331196 SMS , 998978469805 OZI , 998505090376 SMS UZI,</t>
        </is>
      </c>
      <c r="G174" s="99" t="inlineStr">
        <is>
          <t xml:space="preserve">Сурхандарьинская область, Шурчинский район, Олатемир МСГ, ул. Ўзбекистон, дом 70</t>
        </is>
      </c>
      <c r="H174" s="100">
        <v>3.0</v>
      </c>
      <c r="I174" s="100">
        <v>2596432.85</v>
      </c>
      <c r="K174" s="99" t="inlineStr">
        <is>
          <t xml:space="preserve">sms yozdm gudok ketti kotarmad | 95</t>
        </is>
      </c>
    </row>
    <row r="175">
      <c r="A175" s="99" t="inlineStr">
        <is>
          <t xml:space="preserve">СУРХОНДАРЁ ВИЛОЯТИ</t>
        </is>
      </c>
      <c r="B175" s="99" t="inlineStr">
        <is>
          <t xml:space="preserve">Денов филиали</t>
        </is>
      </c>
      <c r="C175" s="99" t="inlineStr">
        <is>
          <t xml:space="preserve">Ko'tarmadi</t>
        </is>
      </c>
      <c r="D175" s="99" t="inlineStr">
        <is>
          <t xml:space="preserve">Кр-99030406-1</t>
        </is>
      </c>
      <c r="E175" s="99" t="inlineStr">
        <is>
          <t xml:space="preserve">MAMATALIYEV JAHONGIR MAMARAJABOVICH</t>
        </is>
      </c>
      <c r="F175" s="99" t="inlineStr">
        <is>
          <t xml:space="preserve">99-065-06-92 SMS O’ZI, 88-015-06-92 SMS UY, 94-464-67-74 SMS OTASI,</t>
        </is>
      </c>
      <c r="G175" s="99" t="inlineStr">
        <is>
          <t xml:space="preserve">SURXONDARYO VILOYATI DENOV TUMANI DUNYOTEPA M.F.Y QAXRAMON 24-UY</t>
        </is>
      </c>
      <c r="H175" s="100">
        <v>2.0</v>
      </c>
      <c r="I175" s="100">
        <v>2419153.32</v>
      </c>
      <c r="K175" s="99" t="inlineStr">
        <is>
          <t xml:space="preserve">tgdan yozdm tel kotarmad | 346</t>
        </is>
      </c>
    </row>
    <row r="176">
      <c r="A176" s="99" t="inlineStr">
        <is>
          <t xml:space="preserve">СУРХОНДАРЁ ВИЛОЯТИ</t>
        </is>
      </c>
      <c r="B176" s="99" t="inlineStr">
        <is>
          <t xml:space="preserve">Денов филиали</t>
        </is>
      </c>
      <c r="C176" s="99" t="inlineStr">
        <is>
          <t xml:space="preserve">Ko'tarmadi</t>
        </is>
      </c>
      <c r="D176" s="99" t="inlineStr">
        <is>
          <t xml:space="preserve">Кр-99041770-1</t>
        </is>
      </c>
      <c r="E176" s="99" t="inlineStr">
        <is>
          <t xml:space="preserve">KAROMATOV JONIBEK DJUMAYEVICH</t>
        </is>
      </c>
      <c r="F176" s="99" t="inlineStr">
        <is>
          <t xml:space="preserve">998885310800 SMS OILASI, 998900711333 SMS UY, 998977854142 SMS O’ZI,</t>
        </is>
      </c>
      <c r="G176" s="99" t="inlineStr">
        <is>
          <t xml:space="preserve">Сурхандарьинская область, Бандихонский район, Бандихон МСГ, ул. Юксалиш, дом 25</t>
        </is>
      </c>
      <c r="H176" s="100">
        <v>3.0</v>
      </c>
      <c r="I176" s="100">
        <v>2147853.99</v>
      </c>
      <c r="K176" s="99" t="inlineStr">
        <is>
          <t xml:space="preserve">uyiga odam junataman | 1204</t>
        </is>
      </c>
    </row>
    <row r="177">
      <c r="A177" s="99" t="inlineStr">
        <is>
          <t xml:space="preserve">СУРХОНДАРЁ ВИЛОЯТИ</t>
        </is>
      </c>
      <c r="B177" s="99" t="inlineStr">
        <is>
          <t xml:space="preserve">Денов филиали</t>
        </is>
      </c>
      <c r="C177" s="99" t="inlineStr">
        <is>
          <t xml:space="preserve">Ko'tarmadi</t>
        </is>
      </c>
      <c r="D177" s="99" t="inlineStr">
        <is>
          <t xml:space="preserve">Кр-99041502-3</t>
        </is>
      </c>
      <c r="E177" s="99" t="inlineStr">
        <is>
          <t xml:space="preserve">SALIMOVA PARVINA SO’XROBOVNA</t>
        </is>
      </c>
      <c r="F177" s="99" t="inlineStr">
        <is>
          <t xml:space="preserve">998888038774 SMS DADASI, 998888039774 SMS O’ZI, 998990948901 SMS O’ZI,</t>
        </is>
      </c>
      <c r="G177" s="99" t="inlineStr">
        <is>
          <t xml:space="preserve">СУРХОНДАРЁ ВИЛОЯТИ САРИОСЁ ТУМАНИ СЕБЗОР МФЙ, ЧИНОР КЎЧАСИ,  58-uy:Р/С</t>
        </is>
      </c>
      <c r="H177" s="100">
        <v>3.0</v>
      </c>
      <c r="I177" s="100">
        <v>2011267.52</v>
      </c>
      <c r="K177" s="99" t="inlineStr">
        <is>
          <t xml:space="preserve">mfy siga ciqdm ewtmaganma xodim bersez uy manziliga borb koramiz dd | 1176</t>
        </is>
      </c>
    </row>
    <row r="178">
      <c r="A178" s="99" t="inlineStr">
        <is>
          <t xml:space="preserve">СУРХОНДАРЁ ВИЛОЯТИ</t>
        </is>
      </c>
      <c r="B178" s="99" t="inlineStr">
        <is>
          <t xml:space="preserve">Денов филиали</t>
        </is>
      </c>
      <c r="C178" s="99" t="inlineStr">
        <is>
          <t xml:space="preserve">Ko'tarmadi</t>
        </is>
      </c>
      <c r="D178" s="99" t="inlineStr">
        <is>
          <t xml:space="preserve">Кр-99027695-1</t>
        </is>
      </c>
      <c r="E178" s="99" t="inlineStr">
        <is>
          <t xml:space="preserve">JO’RAYEV SHERALI AZAMOVICH</t>
        </is>
      </c>
      <c r="F178" s="99" t="inlineStr">
        <is>
          <t xml:space="preserve">94-456-81-79 SMS O'ZI, 91-237-79-81  SMS OG’LI, 91-910-15-76  SMS ZALAGATEL, 90-889-89-62  SMS UY,</t>
        </is>
      </c>
      <c r="G178" s="99" t="inlineStr">
        <is>
          <t xml:space="preserve">SURXONDARYO DENOV TUMANI QORAHON MFY BOG’ISHAMOL KO’CHASI 78-UY</t>
        </is>
      </c>
      <c r="H178" s="100">
        <v>2.0</v>
      </c>
      <c r="I178" s="100">
        <v>1768721.27</v>
      </c>
      <c r="K178" s="99" t="inlineStr">
        <is>
          <t xml:space="preserve">abror ogan | 245</t>
        </is>
      </c>
    </row>
    <row r="179">
      <c r="A179" s="99" t="inlineStr">
        <is>
          <t xml:space="preserve">СУРХОНДАРЁ ВИЛОЯТИ</t>
        </is>
      </c>
      <c r="B179" s="99" t="inlineStr">
        <is>
          <t xml:space="preserve">Денов филиали</t>
        </is>
      </c>
      <c r="C179" s="99" t="inlineStr">
        <is>
          <t xml:space="preserve">Ko'tarmadi</t>
        </is>
      </c>
      <c r="D179" s="99" t="inlineStr">
        <is>
          <t xml:space="preserve">Кр-99040484-1</t>
        </is>
      </c>
      <c r="E179" s="99" t="inlineStr">
        <is>
          <t xml:space="preserve">NASREDDINOV SANJAR XASAN O’G’LI</t>
        </is>
      </c>
      <c r="F179" s="99" t="inlineStr">
        <is>
          <t xml:space="preserve">+998505709009 SMS OZI, 998904102242 SMS SHERIGI, 998976052002 SMS UY,</t>
        </is>
      </c>
      <c r="G179" s="99" t="inlineStr">
        <is>
          <t xml:space="preserve">Хазарбоғ ҚФЙ, Тасмасой МФЙ, ул. Обод манзил, дом 2</t>
        </is>
      </c>
      <c r="H179" s="100">
        <v>3.0</v>
      </c>
      <c r="I179" s="100">
        <v>1503102.52</v>
      </c>
      <c r="K179" s="99" t="inlineStr">
        <is>
          <t xml:space="preserve">iwlidigan nomer yo tgdan yozdm oqb javob yozmedi keca bollar borgan uyida yoq | 1032</t>
        </is>
      </c>
    </row>
    <row r="180">
      <c r="A180" s="99" t="inlineStr">
        <is>
          <t xml:space="preserve">СУРХОНДАРЁ ВИЛОЯТИ</t>
        </is>
      </c>
      <c r="B180" s="99" t="inlineStr">
        <is>
          <t xml:space="preserve">Денов филиали</t>
        </is>
      </c>
      <c r="C180" s="99" t="inlineStr">
        <is>
          <t xml:space="preserve">Ko'tarmadi</t>
        </is>
      </c>
      <c r="D180" s="99" t="inlineStr">
        <is>
          <t xml:space="preserve">Кр-99029085-1</t>
        </is>
      </c>
      <c r="E180" s="99" t="inlineStr">
        <is>
          <t xml:space="preserve">XUDOYOROV O’TKIRBEK SAFAROVICH</t>
        </is>
      </c>
      <c r="F180" s="99" t="inlineStr">
        <is>
          <t xml:space="preserve">99-344-77-46 SMS , 94-232-50-55  SMS AYOLI, 99-091-09-07  SMS O’GLI , 99-360-09-00  SMS O’GLI TONIMEMAN DEYABDI,</t>
        </is>
      </c>
      <c r="G180" s="99" t="inlineStr">
        <is>
          <t xml:space="preserve">SURXONDARYO VILOYATI DENOV  TUMANI QORAXON MFY ASIRLARSODASI  KO’CHASI  27-UY</t>
        </is>
      </c>
      <c r="H180" s="100">
        <v>3.0</v>
      </c>
      <c r="I180" s="100">
        <v>644508.76</v>
      </c>
      <c r="K180" s="99" t="inlineStr">
        <is>
          <t xml:space="preserve">iwlidigan nomeri yo uyiga odam junataman | 298</t>
        </is>
      </c>
    </row>
    <row r="181">
      <c r="A181" s="99" t="inlineStr">
        <is>
          <t xml:space="preserve">СУРХОНДАРЁ ВИЛОЯТИ</t>
        </is>
      </c>
      <c r="B181" s="99" t="inlineStr">
        <is>
          <t xml:space="preserve">Денов филиали</t>
        </is>
      </c>
      <c r="C181" s="99" t="inlineStr">
        <is>
          <t xml:space="preserve">Ko'tarmadi</t>
        </is>
      </c>
      <c r="D181" s="99" t="inlineStr">
        <is>
          <t xml:space="preserve">Кр-99033231-2</t>
        </is>
      </c>
      <c r="E181" s="99" t="inlineStr">
        <is>
          <t xml:space="preserve">ESHNAZAROV SUNNATULLA AXMATOVICH</t>
        </is>
      </c>
      <c r="F181" s="99" t="inlineStr">
        <is>
          <t xml:space="preserve">998883032896 SMS O’ZI, 998888070187 SMS UY, 998771628983 SMS OILASI, 998978486888 SMS SHERIGI,</t>
        </is>
      </c>
      <c r="G181" s="99" t="inlineStr">
        <is>
          <t xml:space="preserve">ДИЙДОР МФЙ, ОБОД КЎЧАСИ,  uy:Р/С</t>
        </is>
      </c>
      <c r="H181" s="100">
        <v>3.0</v>
      </c>
      <c r="I181" s="100">
        <v>620857.93</v>
      </c>
      <c r="K181" s="99" t="inlineStr">
        <is>
          <t xml:space="preserve">sms yozb qoydm | 471</t>
        </is>
      </c>
    </row>
    <row r="182">
      <c r="A182" s="101" t="inlineStr">
        <is>
          <t xml:space="preserve">СУРХОНДАРЁ ВИЛОЯТИ</t>
        </is>
      </c>
      <c r="B182" s="101" t="inlineStr">
        <is>
          <t xml:space="preserve">Самарқанд филиали</t>
        </is>
      </c>
      <c r="C182" s="101" t="inlineStr">
        <is>
          <t xml:space="preserve">Ko'tarmadi</t>
        </is>
      </c>
      <c r="D182" s="101" t="inlineStr">
        <is>
          <t xml:space="preserve">Кр-99023068-2</t>
        </is>
      </c>
      <c r="E182" s="101" t="inlineStr">
        <is>
          <t xml:space="preserve">AZIZOV NODIR AZIM O’G’LI</t>
        </is>
      </c>
      <c r="F182" s="101" t="inlineStr">
        <is>
          <t xml:space="preserve">998940800100 SMS uzi,</t>
        </is>
      </c>
      <c r="H182" s="102">
        <v>2.0</v>
      </c>
      <c r="I182" s="102">
        <v>833791.29</v>
      </c>
      <c r="K182" s="101" t="inlineStr">
        <is>
          <t xml:space="preserve">bunaqa klient yoq | 161</t>
        </is>
      </c>
    </row>
    <row r="183">
      <c r="A183" s="103" t="inlineStr">
        <is>
          <t xml:space="preserve">СУРХОНДАРЁ ВИЛОЯТИ</t>
        </is>
      </c>
      <c r="B183" s="103" t="inlineStr">
        <is>
          <t xml:space="preserve">Термиз филиали</t>
        </is>
      </c>
      <c r="C183" s="103" t="inlineStr">
        <is>
          <t xml:space="preserve">Ko'tarmadi</t>
        </is>
      </c>
      <c r="D183" s="103" t="inlineStr">
        <is>
          <t xml:space="preserve">Кр-99024295-1</t>
        </is>
      </c>
      <c r="E183" s="103" t="inlineStr">
        <is>
          <t xml:space="preserve">QAHHOROVA MA’RIFAT AMONOVNA</t>
        </is>
      </c>
      <c r="F183" s="103" t="inlineStr">
        <is>
          <t xml:space="preserve">+998937270186 SMS O’ZI, 998947131008 SMS QIZI, 998990866375 SMS O’ZI,</t>
        </is>
      </c>
      <c r="G183" s="103" t="inlineStr">
        <is>
          <t xml:space="preserve">ШЕРОБОД ТУМАН САРИҚАМИШ ҚФЙ, МЕХРОБОД МФЙ, СЕПЛОН КУЧ uy:51А</t>
        </is>
      </c>
      <c r="H183" s="104">
        <v>185.0</v>
      </c>
      <c r="I183" s="104">
        <v>26819204.82</v>
      </c>
      <c r="K183" s="103" t="inlineStr">
        <is>
          <t xml:space="preserve">фелиалга айтиш керак</t>
        </is>
      </c>
    </row>
    <row r="184">
      <c r="A184" s="103" t="inlineStr">
        <is>
          <t xml:space="preserve">СУРХОНДАРЁ ВИЛОЯТИ</t>
        </is>
      </c>
      <c r="B184" s="103" t="inlineStr">
        <is>
          <t xml:space="preserve">Термиз филиали</t>
        </is>
      </c>
      <c r="C184" s="103" t="inlineStr">
        <is>
          <t xml:space="preserve">Ko'tarmadi</t>
        </is>
      </c>
      <c r="D184" s="103" t="inlineStr">
        <is>
          <t xml:space="preserve">Кр-99044355-1</t>
        </is>
      </c>
      <c r="E184" s="103" t="inlineStr">
        <is>
          <t xml:space="preserve">O’RINOV TO’LQIN KENJAYEVICH</t>
        </is>
      </c>
      <c r="F184" s="103" t="inlineStr">
        <is>
          <t xml:space="preserve">+998939320993 SMS O’ZI, 998932220070 SMS AKASI, 998932933095 SMS AYOLI,</t>
        </is>
      </c>
      <c r="G184" s="103" t="inlineStr">
        <is>
          <t xml:space="preserve">СЕПЛОН ҚФЙ, ЧУКУРКЎЛ МФЙ, ГУЛЗОР КУЧАСИ uy:46W/43 UY</t>
        </is>
      </c>
      <c r="H184" s="104">
        <v>125.0</v>
      </c>
      <c r="I184" s="104">
        <v>22699011.09</v>
      </c>
      <c r="K184" s="103" t="inlineStr">
        <is>
          <t xml:space="preserve">фелиалга айтиш керак</t>
        </is>
      </c>
    </row>
    <row r="185">
      <c r="A185" s="103" t="inlineStr">
        <is>
          <t xml:space="preserve">СУРХОНДАРЁ ВИЛОЯТИ</t>
        </is>
      </c>
      <c r="B185" s="103" t="inlineStr">
        <is>
          <t xml:space="preserve">Термиз филиали</t>
        </is>
      </c>
      <c r="C185" s="103" t="inlineStr">
        <is>
          <t xml:space="preserve">Ko'tarmadi</t>
        </is>
      </c>
      <c r="D185" s="103" t="inlineStr">
        <is>
          <t xml:space="preserve">Кр-99034176-1</t>
        </is>
      </c>
      <c r="E185" s="103" t="inlineStr">
        <is>
          <t xml:space="preserve">QIYOMOV NAJMIDDIN ZAYNIDDINOVICH</t>
        </is>
      </c>
      <c r="F185" s="103" t="inlineStr">
        <is>
          <t xml:space="preserve">998992936777 SMS O’ZI BEGONA, 998339537475 SMS AYOLI BEGONA, 998947642040 SMS UKASI, 998772030192 SMS O’G’LI, 998944670661 SMS AYOLI, 998700536767 SMS uzi new,</t>
        </is>
      </c>
      <c r="G185" s="103" t="inlineStr">
        <is>
          <t xml:space="preserve">SURXON DARYO VILOYATI SHEROBOD TUMANI GURJAK-1 MFY QORI NIYOZIY KO’CHASI 52-UY</t>
        </is>
      </c>
      <c r="H185" s="104">
        <v>126.0</v>
      </c>
      <c r="I185" s="104">
        <v>21704670.4</v>
      </c>
      <c r="K185" s="103" t="inlineStr">
        <is>
          <t xml:space="preserve">фелиалга айтиш керак</t>
        </is>
      </c>
    </row>
    <row r="186">
      <c r="A186" s="103" t="inlineStr">
        <is>
          <t xml:space="preserve">СУРХОНДАРЁ ВИЛОЯТИ</t>
        </is>
      </c>
      <c r="B186" s="103" t="inlineStr">
        <is>
          <t xml:space="preserve">Термиз филиали</t>
        </is>
      </c>
      <c r="C186" s="103" t="inlineStr">
        <is>
          <t xml:space="preserve">Ko'tarmadi</t>
        </is>
      </c>
      <c r="D186" s="103" t="inlineStr">
        <is>
          <t xml:space="preserve">Кр-99033329-2</t>
        </is>
      </c>
      <c r="E186" s="103" t="inlineStr">
        <is>
          <t xml:space="preserve">RUZIQULOV CHORI XOLTURAYEVICH</t>
        </is>
      </c>
      <c r="F186" s="103" t="inlineStr">
        <is>
          <t xml:space="preserve">998919032093 SMS O’ZI, 998918186606 SMS O’G’LI, 998909118306 SMS O’G’LI 2, 998917904246 SMS KELINI, 998994768885 SMS O'GLI BAXRIDDIN,</t>
        </is>
      </c>
      <c r="G186" s="103" t="inlineStr">
        <is>
          <t xml:space="preserve">SURXONDARYO VILOYATI OLTINSOY TUMANI JOBU MFY YANGI XAYOT KO'CHASI 72-UY</t>
        </is>
      </c>
      <c r="H186" s="104">
        <v>3.0</v>
      </c>
      <c r="I186" s="104">
        <v>5198690.18</v>
      </c>
      <c r="K186" s="103" t="inlineStr">
        <is>
          <t xml:space="preserve">iwlidigan nomeri yo uyiga odam junataman | 479</t>
        </is>
      </c>
    </row>
    <row r="187">
      <c r="A187" s="103" t="inlineStr">
        <is>
          <t xml:space="preserve">СУРХОНДАРЁ ВИЛОЯТИ</t>
        </is>
      </c>
      <c r="B187" s="103" t="inlineStr">
        <is>
          <t xml:space="preserve">Термиз филиали</t>
        </is>
      </c>
      <c r="C187" s="103" t="inlineStr">
        <is>
          <t xml:space="preserve">Ko'tarmadi</t>
        </is>
      </c>
      <c r="D187" s="103" t="inlineStr">
        <is>
          <t xml:space="preserve">Кр-99041902-1</t>
        </is>
      </c>
      <c r="E187" s="103" t="inlineStr">
        <is>
          <t xml:space="preserve">XOJIMATOV RAVSHAN SHAVKATOVICH</t>
        </is>
      </c>
      <c r="F187" s="103" t="inlineStr">
        <is>
          <t xml:space="preserve">+998997156391 SMS O’ZI, 998501705881 SMS ONASI, 998994245882 SMS AYOLI,</t>
        </is>
      </c>
      <c r="G187" s="103" t="inlineStr">
        <is>
          <t xml:space="preserve">ТЕРМИЗ ТУМАН, М.ЭШТЕМИРОВ МФЙ, ПАХТАОБОД КФЙ, ТАЖРИБАКОР,  uy:74</t>
        </is>
      </c>
      <c r="H187" s="104">
        <v>3.0</v>
      </c>
      <c r="I187" s="104">
        <v>4963432.94</v>
      </c>
      <c r="K187" s="103" t="inlineStr">
        <is>
          <t xml:space="preserve">фелиалга айтиш керак</t>
        </is>
      </c>
    </row>
    <row r="188">
      <c r="A188" s="103" t="inlineStr">
        <is>
          <t xml:space="preserve">СУРХОНДАРЁ ВИЛОЯТИ</t>
        </is>
      </c>
      <c r="B188" s="103" t="inlineStr">
        <is>
          <t xml:space="preserve">Термиз филиали</t>
        </is>
      </c>
      <c r="C188" s="103" t="inlineStr">
        <is>
          <t xml:space="preserve">Ko'tarmadi</t>
        </is>
      </c>
      <c r="D188" s="103" t="inlineStr">
        <is>
          <t xml:space="preserve">Кр-99045810-2</t>
        </is>
      </c>
      <c r="E188" s="103" t="inlineStr">
        <is>
          <t xml:space="preserve">CHARSHANBIYEV URAL ALLAYEVICH</t>
        </is>
      </c>
      <c r="F188" s="103" t="inlineStr">
        <is>
          <t xml:space="preserve">+998936574474 SMS O’ZI, 998939431552 SMS QIZI, 998944668488 SMS AYOLI, 998936574474 SMS O’ZI,</t>
        </is>
      </c>
      <c r="G188" s="103" t="inlineStr">
        <is>
          <t xml:space="preserve">TERMIZ TUMANI</t>
        </is>
      </c>
      <c r="H188" s="104">
        <v>3.0</v>
      </c>
      <c r="I188" s="104">
        <v>4663836.44</v>
      </c>
    </row>
    <row r="189">
      <c r="A189" s="103" t="inlineStr">
        <is>
          <t xml:space="preserve">СУРХОНДАРЁ ВИЛОЯТИ</t>
        </is>
      </c>
      <c r="B189" s="103" t="inlineStr">
        <is>
          <t xml:space="preserve">Термиз филиали</t>
        </is>
      </c>
      <c r="C189" s="103" t="inlineStr">
        <is>
          <t xml:space="preserve">Ko'tarmadi</t>
        </is>
      </c>
      <c r="D189" s="103" t="inlineStr">
        <is>
          <t xml:space="preserve">Кр-99042695-1</t>
        </is>
      </c>
      <c r="E189" s="103" t="inlineStr">
        <is>
          <t xml:space="preserve">XO’JAMUROTOV BEKZOD XO’SHBOQOVICH</t>
        </is>
      </c>
      <c r="F189" s="103" t="inlineStr">
        <is>
          <t xml:space="preserve">+998997210188 SMS O’ZI, 998953138603 SMS O’G’LI, 998995299486 SMS AYOLI,</t>
        </is>
      </c>
      <c r="G189" s="103" t="inlineStr">
        <is>
          <t xml:space="preserve">Сурхандарьинская область, Шерабадский район, Шеробод МСГ, ул. Узбекистан, уч. 102</t>
        </is>
      </c>
      <c r="H189" s="104">
        <v>3.0</v>
      </c>
      <c r="I189" s="104">
        <v>4393312.06</v>
      </c>
      <c r="K189" s="103" t="inlineStr">
        <is>
          <t xml:space="preserve">фелиалга айтиш керак</t>
        </is>
      </c>
    </row>
    <row r="190">
      <c r="A190" s="103" t="inlineStr">
        <is>
          <t xml:space="preserve">СУРХОНДАРЁ ВИЛОЯТИ</t>
        </is>
      </c>
      <c r="B190" s="103" t="inlineStr">
        <is>
          <t xml:space="preserve">Термиз филиали</t>
        </is>
      </c>
      <c r="C190" s="103" t="inlineStr">
        <is>
          <t xml:space="preserve">Ko'tarmadi</t>
        </is>
      </c>
      <c r="D190" s="103" t="inlineStr">
        <is>
          <t xml:space="preserve">Кр-99061885-1</t>
        </is>
      </c>
      <c r="E190" s="103" t="inlineStr">
        <is>
          <t xml:space="preserve">RAXIMOV ERNAZAR XUDOYBERDI O’G’LI</t>
        </is>
      </c>
      <c r="F190" s="103" t="inlineStr">
        <is>
          <t xml:space="preserve">+998952656464 SMS O’ZI, 998978069008 SMS AKASI, 998990749898 SMS AKASI,</t>
        </is>
      </c>
      <c r="G190" s="103" t="inlineStr">
        <is>
          <t xml:space="preserve">БАНДИХОН ТУМАНИ ҚИЗИРИҚ ҚФЙ, ПАХТАКОР МФЙ,  uy:139</t>
        </is>
      </c>
      <c r="H190" s="104">
        <v>3.0</v>
      </c>
      <c r="I190" s="104">
        <v>3979270.9</v>
      </c>
      <c r="K190" s="103" t="inlineStr">
        <is>
          <t xml:space="preserve">uyiga odam bor | 1801</t>
        </is>
      </c>
    </row>
    <row r="191">
      <c r="A191" s="103" t="inlineStr">
        <is>
          <t xml:space="preserve">СУРХОНДАРЁ ВИЛОЯТИ</t>
        </is>
      </c>
      <c r="B191" s="103" t="inlineStr">
        <is>
          <t xml:space="preserve">Термиз филиали</t>
        </is>
      </c>
      <c r="C191" s="103" t="inlineStr">
        <is>
          <t xml:space="preserve">Ko'tarmadi</t>
        </is>
      </c>
      <c r="D191" s="103" t="inlineStr">
        <is>
          <t xml:space="preserve">Кр-99062602-1</t>
        </is>
      </c>
      <c r="E191" s="103" t="inlineStr">
        <is>
          <t xml:space="preserve">OLIMOVA CHAROS SHAVKATOVNA</t>
        </is>
      </c>
      <c r="F191" s="103" t="inlineStr">
        <is>
          <t xml:space="preserve">+998954911487 SMS OZI, 998886649502 SMS UKASI, 998993874000 SMS ERI,</t>
        </is>
      </c>
      <c r="G191" s="103" t="inlineStr">
        <is>
          <t xml:space="preserve">АНГОР ТУМАНИ,ТАЛЛИМАРОН ҚФЙ, ТЎЛҚИН МФЙ, ТАЛЛИМАРОН ҚФЙ, ТЎЛҚИН МФЙ,  uy:0</t>
        </is>
      </c>
      <c r="H191" s="104">
        <v>3.0</v>
      </c>
      <c r="I191" s="104">
        <v>2830828.34</v>
      </c>
    </row>
    <row r="192">
      <c r="A192" s="103" t="inlineStr">
        <is>
          <t xml:space="preserve">СУРХОНДАРЁ ВИЛОЯТИ</t>
        </is>
      </c>
      <c r="B192" s="103" t="inlineStr">
        <is>
          <t xml:space="preserve">Термиз филиали</t>
        </is>
      </c>
      <c r="C192" s="103" t="inlineStr">
        <is>
          <t xml:space="preserve">Ko'tarmadi</t>
        </is>
      </c>
      <c r="D192" s="103" t="inlineStr">
        <is>
          <t xml:space="preserve">Кр-99041288-1</t>
        </is>
      </c>
      <c r="E192" s="103" t="inlineStr">
        <is>
          <t xml:space="preserve">CHORSHANBIYEV UMIDJON ZOIROVICH</t>
        </is>
      </c>
      <c r="F192" s="103" t="inlineStr">
        <is>
          <t xml:space="preserve">+998942650707 SMS O’ZI, 998952330001 SMS OPASI, 998997110001 SMS UKASI,</t>
        </is>
      </c>
      <c r="G192" s="103" t="inlineStr">
        <is>
          <t xml:space="preserve">Ибн Сино, дом 22, кв. 48</t>
        </is>
      </c>
      <c r="H192" s="104">
        <v>3.0</v>
      </c>
      <c r="I192" s="104">
        <v>2491757.21</v>
      </c>
      <c r="K192" s="103" t="inlineStr">
        <is>
          <t xml:space="preserve">фелиалга айтиш керак</t>
        </is>
      </c>
    </row>
    <row r="193">
      <c r="A193" s="103" t="inlineStr">
        <is>
          <t xml:space="preserve">СУРХОНДАРЁ ВИЛОЯТИ</t>
        </is>
      </c>
      <c r="B193" s="103" t="inlineStr">
        <is>
          <t xml:space="preserve">Термиз филиали</t>
        </is>
      </c>
      <c r="C193" s="103" t="inlineStr">
        <is>
          <t xml:space="preserve">Ko'tarmadi</t>
        </is>
      </c>
      <c r="D193" s="103" t="inlineStr">
        <is>
          <t xml:space="preserve">Кр-99062784-2</t>
        </is>
      </c>
      <c r="E193" s="103" t="inlineStr">
        <is>
          <t xml:space="preserve">ESHMUMINOV ALLAMUROD PANJI O’G’LI</t>
        </is>
      </c>
      <c r="F193" s="103" t="inlineStr">
        <is>
          <t xml:space="preserve">+998938173666 SMS O’ZI, 998940242987 SMS AKASI, 998990905996 SMS ONASI, 998500056666 uzi new,</t>
        </is>
      </c>
      <c r="G193" s="103" t="inlineStr">
        <is>
          <t xml:space="preserve">ШЕРОБОД ТУМАНИ ЁШЛИК МФЙ, Ш.ЖУМАЕВ КУЧАСИ,  uy:44</t>
        </is>
      </c>
      <c r="H193" s="104">
        <v>3.0</v>
      </c>
      <c r="I193" s="104">
        <v>1410103.84</v>
      </c>
      <c r="K193" s="103" t="inlineStr">
        <is>
          <t xml:space="preserve">фелиалга айтиш керак</t>
        </is>
      </c>
    </row>
    <row r="194">
      <c r="A194" s="103" t="inlineStr">
        <is>
          <t xml:space="preserve">СУРХОНДАРЁ ВИЛОЯТИ</t>
        </is>
      </c>
      <c r="B194" s="103" t="inlineStr">
        <is>
          <t xml:space="preserve">Термиз филиали</t>
        </is>
      </c>
      <c r="C194" s="103" t="inlineStr">
        <is>
          <t xml:space="preserve">Ko'tarmadi</t>
        </is>
      </c>
      <c r="D194" s="103" t="inlineStr">
        <is>
          <t xml:space="preserve">Кр-99062569-1</t>
        </is>
      </c>
      <c r="E194" s="103" t="inlineStr">
        <is>
          <t xml:space="preserve">TURAYEVA NASIBA MUZAFFAROVNA</t>
        </is>
      </c>
      <c r="F194" s="103" t="inlineStr">
        <is>
          <t xml:space="preserve">+998994130776 SMS OZI, 998508899911 SMS UKASI, 998999620426 SMS UKASI,</t>
        </is>
      </c>
      <c r="G194" s="103" t="inlineStr">
        <is>
          <t xml:space="preserve">ТЕРМИЗ ТУМАНИ,ПАХТАОБОД ҚФЙ, ҚАХРАМОН МФЙ,  uy:00</t>
        </is>
      </c>
      <c r="H194" s="104">
        <v>3.0</v>
      </c>
      <c r="I194" s="104">
        <v>1199824.74</v>
      </c>
    </row>
    <row r="195">
      <c r="A195" s="103" t="inlineStr">
        <is>
          <t xml:space="preserve">СУРХОНДАРЁ ВИЛОЯТИ</t>
        </is>
      </c>
      <c r="B195" s="103" t="inlineStr">
        <is>
          <t xml:space="preserve">Термиз филиали</t>
        </is>
      </c>
      <c r="C195" s="103" t="inlineStr">
        <is>
          <t xml:space="preserve">Ko'tarmadi</t>
        </is>
      </c>
      <c r="D195" s="103" t="inlineStr">
        <is>
          <t xml:space="preserve">Кр-99041084-1</t>
        </is>
      </c>
      <c r="E195" s="103" t="inlineStr">
        <is>
          <t xml:space="preserve">RAJAPOV TEMUR ISKANDAR O’G’LI</t>
        </is>
      </c>
      <c r="F195" s="103" t="inlineStr">
        <is>
          <t xml:space="preserve">+998915102808 SMS O’ZI, 998903200425 SMS SINGLISI, 998936389605 SMS XAMKASBI,</t>
        </is>
      </c>
      <c r="G195" s="103" t="inlineStr">
        <is>
          <t xml:space="preserve">ПАХТАОБОД ҚФЙ, МУСТАКИЛЛИК МФЙ,  uy:00</t>
        </is>
      </c>
      <c r="H195" s="104">
        <v>3.0</v>
      </c>
      <c r="I195" s="104">
        <v>1050499.85</v>
      </c>
      <c r="K195" s="103" t="inlineStr">
        <is>
          <t xml:space="preserve">фелиалга айтиш керак</t>
        </is>
      </c>
    </row>
    <row r="196">
      <c r="A196" s="105" t="inlineStr">
        <is>
          <t xml:space="preserve">СУРХОНДАРЁ ВИЛОЯТИ</t>
        </is>
      </c>
      <c r="B196" s="105" t="inlineStr">
        <is>
          <t xml:space="preserve">Қарши филиали</t>
        </is>
      </c>
      <c r="C196" s="105" t="inlineStr">
        <is>
          <t xml:space="preserve">Ko'tarmadi</t>
        </is>
      </c>
      <c r="D196" s="105" t="inlineStr">
        <is>
          <t xml:space="preserve">Кр-99044141-1</t>
        </is>
      </c>
      <c r="E196" s="105" t="inlineStr">
        <is>
          <t xml:space="preserve">ABDURAXIMOV SHOMUROT XOLBOZOROVICH</t>
        </is>
      </c>
      <c r="G196" s="105" t="inlineStr">
        <is>
          <t xml:space="preserve">СУРХОНДАРЁ ВИЛОЯТИ ДЕНОВ ТУМАНИ ФАРҒОНА ҚФЙ,  ВОДИЙ МФЙ,  uy:53</t>
        </is>
      </c>
      <c r="H196" s="106">
        <v>3.0</v>
      </c>
      <c r="I196" s="106">
        <v>1226679.12</v>
      </c>
      <c r="K196" s="105" t="inlineStr">
        <is>
          <t xml:space="preserve">nomeri yo uyiga odam junataman | 1299</t>
        </is>
      </c>
    </row>
    <row r="197">
      <c r="A197" s="107" t="inlineStr">
        <is>
          <t xml:space="preserve">ТОШКЕНТ ШАХРИ</t>
        </is>
      </c>
      <c r="B197" s="107" t="inlineStr">
        <is>
          <t xml:space="preserve">BOSH OFIS</t>
        </is>
      </c>
      <c r="C197" s="107" t="inlineStr">
        <is>
          <t xml:space="preserve">Ko'tarmadi</t>
        </is>
      </c>
      <c r="D197" s="107" t="inlineStr">
        <is>
          <t xml:space="preserve">Кр-99030050-2</t>
        </is>
      </c>
      <c r="E197" s="107" t="inlineStr">
        <is>
          <t xml:space="preserve">MASUDOV RAXMATJON RAXIMDJANOVICH</t>
        </is>
      </c>
      <c r="F197" s="107" t="inlineStr">
        <is>
          <t xml:space="preserve">90-920-54-44 SMS O'ZI, 90-902-54-44  SMS AYOLI, 94-652-54-44  SMS O'ZI, 71-247-19-44  SMS UYINIKI,</t>
        </is>
      </c>
      <c r="G197" s="107" t="inlineStr">
        <is>
          <t xml:space="preserve">TOSHKENT SHAHAR UCHTEPA TUMANI MEXMONDO’ST KO’CHASI 6A-UY</t>
        </is>
      </c>
      <c r="H197" s="108">
        <v>94.0</v>
      </c>
      <c r="I197" s="108">
        <v>12235152.89</v>
      </c>
      <c r="K197" s="107" t="inlineStr">
        <is>
          <t xml:space="preserve">326 | 50000000 | 6060000 | dalbayob</t>
        </is>
      </c>
    </row>
    <row r="198">
      <c r="A198" s="107" t="inlineStr">
        <is>
          <t xml:space="preserve">ТОШКЕНТ ШАХРИ</t>
        </is>
      </c>
      <c r="B198" s="107" t="inlineStr">
        <is>
          <t xml:space="preserve">BOSH OFIS</t>
        </is>
      </c>
      <c r="C198" s="107" t="inlineStr">
        <is>
          <t xml:space="preserve">Ko'tarmadi</t>
        </is>
      </c>
      <c r="D198" s="107" t="inlineStr">
        <is>
          <t xml:space="preserve">Кр-99028656-1</t>
        </is>
      </c>
      <c r="E198" s="107" t="inlineStr">
        <is>
          <t xml:space="preserve">UMARQULOV JASURBEK QAXROMON O’G’LI</t>
        </is>
      </c>
      <c r="F198" s="107" t="inlineStr">
        <is>
          <t xml:space="preserve">99 096-00-96   SMS O'ZI, 33-000-33-96  SMS OZI 2, 98-707-96-90  SMS OZI 3, 93-571-60-93  SMS AKASI JAHONGIR,</t>
        </is>
      </c>
      <c r="G198" s="107" t="inlineStr">
        <is>
          <t xml:space="preserve">TOSHKENT SHAHAR SERGILI TUMANI OLTIN VODIY KOCHASI 11-UY 14 XONADON</t>
        </is>
      </c>
      <c r="H198" s="108">
        <v>174.0</v>
      </c>
      <c r="I198" s="108">
        <v>10907515.26</v>
      </c>
    </row>
    <row r="199">
      <c r="A199" s="107" t="inlineStr">
        <is>
          <t xml:space="preserve">ТОШКЕНТ ШАХРИ</t>
        </is>
      </c>
      <c r="B199" s="107" t="inlineStr">
        <is>
          <t xml:space="preserve">BOSH OFIS</t>
        </is>
      </c>
      <c r="C199" s="107" t="inlineStr">
        <is>
          <t xml:space="preserve">Ko'tarmadi</t>
        </is>
      </c>
      <c r="D199" s="107" t="inlineStr">
        <is>
          <t xml:space="preserve">Кр-05555027-1</t>
        </is>
      </c>
      <c r="E199" s="107" t="inlineStr">
        <is>
          <t xml:space="preserve">SOF AVTO RETAIL Ma’suliyati Cheklangan Jamiyati</t>
        </is>
      </c>
      <c r="F199" s="107" t="inlineStr">
        <is>
          <t xml:space="preserve">90-261-88-46 SMS O'ZI, 97-261-88-46 SMS O'ZI 2, 90-488-88-00 SMS MARUF DO'STI, 33-111-30-09 SMS DO'STI,</t>
        </is>
      </c>
      <c r="G199" s="107" t="inlineStr">
        <is>
          <t xml:space="preserve">UCHTEPA TUMANI TINCHLIKOBOD MFY 23-MAVZESI 28A-UY 32-XONADON</t>
        </is>
      </c>
      <c r="H199" s="108">
        <v>149.0</v>
      </c>
      <c r="I199" s="108">
        <v>10138376.61</v>
      </c>
      <c r="K199" s="107" t="inlineStr">
        <is>
          <t xml:space="preserve">1 | 1 | 230000000 | 3135781.77</t>
        </is>
      </c>
    </row>
    <row r="200">
      <c r="A200" s="107" t="inlineStr">
        <is>
          <t xml:space="preserve">ТОШКЕНТ ШАХРИ</t>
        </is>
      </c>
      <c r="B200" s="107" t="inlineStr">
        <is>
          <t xml:space="preserve">BOSH OFIS</t>
        </is>
      </c>
      <c r="C200" s="107" t="inlineStr">
        <is>
          <t xml:space="preserve">Ko'tarmadi</t>
        </is>
      </c>
      <c r="D200" s="107" t="inlineStr">
        <is>
          <t xml:space="preserve">Кр-99063866-1</t>
        </is>
      </c>
      <c r="E200" s="107" t="inlineStr">
        <is>
          <t xml:space="preserve">ABDULLAYEV HUSNIDDIN ANVAR O’G’LI</t>
        </is>
      </c>
      <c r="F200" s="107" t="inlineStr">
        <is>
          <t xml:space="preserve">998900736858 SMS TURMUSH ORTOGI, 998900756858 SMS UZI, 998916172002 SMS UKASI, 998995772176 SMS ONASI,</t>
        </is>
      </c>
      <c r="G200" s="107" t="inlineStr">
        <is>
          <t xml:space="preserve">г. Ташкент, Чиланзарский район, кв. 10, Кутарма МСГ, 35- Дом, 45- Квартира</t>
        </is>
      </c>
      <c r="H200" s="108">
        <v>3.0</v>
      </c>
      <c r="I200" s="108">
        <v>2508892.15</v>
      </c>
      <c r="K200" s="107" t="inlineStr">
        <is>
          <t xml:space="preserve">2175 | 36000000 | 1020031.32 | sms yozvordim</t>
        </is>
      </c>
    </row>
    <row r="201">
      <c r="A201" s="107" t="inlineStr">
        <is>
          <t xml:space="preserve">ТОШКЕНТ ШАХРИ</t>
        </is>
      </c>
      <c r="B201" s="107" t="inlineStr">
        <is>
          <t xml:space="preserve">BOSH OFIS</t>
        </is>
      </c>
      <c r="C201" s="107" t="inlineStr">
        <is>
          <t xml:space="preserve">Ko'tarmadi</t>
        </is>
      </c>
      <c r="D201" s="107" t="inlineStr">
        <is>
          <t xml:space="preserve">Кр-99027542-2</t>
        </is>
      </c>
      <c r="E201" s="107" t="inlineStr">
        <is>
          <t xml:space="preserve">YO’LDOSHEV XOJIAKBAR RAVSHAN O’G’LI</t>
        </is>
      </c>
      <c r="F201" s="107" t="inlineStr">
        <is>
          <t xml:space="preserve">90-925-57-47  SMS O'ZI, 99-824-83-99  SMS AKASI, 90-902-61-62  SMS AKASI 2, 998336476162 SMS AKASI, 998901863325 SMS dadasin nomeri,</t>
        </is>
      </c>
      <c r="G201" s="107" t="inlineStr">
        <is>
          <t xml:space="preserve">TOSHKENT SHAHAR OLMAZOR TUMANI CHILTUG’ON 3-BERK KO’CHASI 22-UY</t>
        </is>
      </c>
      <c r="H201" s="108">
        <v>3.0</v>
      </c>
      <c r="I201" s="108">
        <v>2123919.98</v>
      </c>
    </row>
    <row r="202">
      <c r="A202" s="107" t="inlineStr">
        <is>
          <t xml:space="preserve">ТОШКЕНТ ШАХРИ</t>
        </is>
      </c>
      <c r="B202" s="107" t="inlineStr">
        <is>
          <t xml:space="preserve">BOSH OFIS</t>
        </is>
      </c>
      <c r="C202" s="107" t="inlineStr">
        <is>
          <t xml:space="preserve">Ko'tarmadi</t>
        </is>
      </c>
      <c r="D202" s="107" t="inlineStr">
        <is>
          <t xml:space="preserve">Кр-99039074-1</t>
        </is>
      </c>
      <c r="E202" s="107" t="inlineStr">
        <is>
          <t xml:space="preserve">G’AYBULLAYEV JASURBEK G’AYRAT O’G’LI</t>
        </is>
      </c>
      <c r="F202" s="107" t="inlineStr">
        <is>
          <t xml:space="preserve">998946127155 SMS UZI, 998935205108 SMS UKASI, 998946392008 SMS ONASI, 998951221212 SMS UKASI 2,</t>
        </is>
      </c>
      <c r="G202" s="107" t="inlineStr">
        <is>
          <t xml:space="preserve">TOSHKENT SHAHAR SHAYHANTOXUR TUMANI ILGOR MFY BERUNIY MATLUBOT KOCHASI 1-UY 175-XONADON</t>
        </is>
      </c>
      <c r="H202" s="108">
        <v>3.0</v>
      </c>
      <c r="I202" s="108">
        <v>1254252.26</v>
      </c>
    </row>
    <row r="203">
      <c r="A203" s="109" t="inlineStr">
        <is>
          <t xml:space="preserve">ТОШКЕНТ ШАХРИ</t>
        </is>
      </c>
      <c r="B203" s="109" t="inlineStr">
        <is>
          <t xml:space="preserve">SUPER BRANCH</t>
        </is>
      </c>
      <c r="C203" s="109" t="inlineStr">
        <is>
          <t xml:space="preserve">Ko'tarmadi</t>
        </is>
      </c>
      <c r="D203" s="109" t="inlineStr">
        <is>
          <t xml:space="preserve">Кр-99034073-2</t>
        </is>
      </c>
      <c r="E203" s="109" t="inlineStr">
        <is>
          <t xml:space="preserve">BOLTABOYEV XASANBOY JAMOLIDDINOVICH</t>
        </is>
      </c>
      <c r="F203" s="109" t="inlineStr">
        <is>
          <t xml:space="preserve">998949072022 SMS O’ZI, 998903168272 SMS O’ZI, 998337939597 SMS O’G’LI, 998970525070 SMS OGLI,</t>
        </is>
      </c>
      <c r="G203" s="109" t="inlineStr">
        <is>
          <t xml:space="preserve">TOSHKENT SHAHAR MIRZO ULUG’BEK TUMANI BUYUK IPAK YO’LI MFY SAYRAM KO’CHASI 26/9-UY 3-XONADON</t>
        </is>
      </c>
      <c r="H203" s="110">
        <v>156.0</v>
      </c>
      <c r="I203" s="110">
        <v>82175725.29</v>
      </c>
    </row>
    <row r="204">
      <c r="A204" s="109" t="inlineStr">
        <is>
          <t xml:space="preserve">ТОШКЕНТ ШАХРИ</t>
        </is>
      </c>
      <c r="B204" s="109" t="inlineStr">
        <is>
          <t xml:space="preserve">SUPER BRANCH</t>
        </is>
      </c>
      <c r="C204" s="109" t="inlineStr">
        <is>
          <t xml:space="preserve">Ko'tarmadi</t>
        </is>
      </c>
      <c r="D204" s="109" t="inlineStr">
        <is>
          <t xml:space="preserve">Кр-99027698-3</t>
        </is>
      </c>
      <c r="E204" s="109" t="inlineStr">
        <is>
          <t xml:space="preserve">VOHIDOV ABDUAZIZ ALISHER O’G’LI</t>
        </is>
      </c>
      <c r="F204" s="109" t="inlineStr">
        <is>
          <t xml:space="preserve">998993340003 SMS, 90-097-33-22 SMS ORTO SARDOR, 33-004-50-03 SMS UY,</t>
        </is>
      </c>
      <c r="G204" s="109" t="inlineStr">
        <is>
          <t xml:space="preserve">TOSHKENT SHAHAR UCHTEPA TUMANI ISTIROXAT 4-TOR KOCHASI 34-UY</t>
        </is>
      </c>
      <c r="H204" s="110">
        <v>94.0</v>
      </c>
      <c r="I204" s="110">
        <v>59018428.34</v>
      </c>
    </row>
    <row r="205">
      <c r="A205" s="109" t="inlineStr">
        <is>
          <t xml:space="preserve">ТОШКЕНТ ШАХРИ</t>
        </is>
      </c>
      <c r="B205" s="109" t="inlineStr">
        <is>
          <t xml:space="preserve">SUPER BRANCH</t>
        </is>
      </c>
      <c r="C205" s="109" t="inlineStr">
        <is>
          <t xml:space="preserve">Ko'tarmadi</t>
        </is>
      </c>
      <c r="D205" s="109" t="inlineStr">
        <is>
          <t xml:space="preserve">Кр-99037829-1</t>
        </is>
      </c>
      <c r="E205" s="109" t="inlineStr">
        <is>
          <t xml:space="preserve">ABDULLAYEV ILXAM XALILLAYEVICH</t>
        </is>
      </c>
      <c r="F205" s="109" t="inlineStr">
        <is>
          <t xml:space="preserve">998974149377 SMS OZI, 998954392171 SMS AYOLI, 998933918808 SMS QIZILARI, 998949896336 SMS OGLI,</t>
        </is>
      </c>
      <c r="G205" s="109" t="inlineStr">
        <is>
          <t xml:space="preserve">TOSHKENT SHAHAR YUNUSOBOD TUMANI UCH-KAXRAMON MFY 10 MAVZE 1-A-UY 66-XONADON</t>
        </is>
      </c>
      <c r="H205" s="110">
        <v>248.0</v>
      </c>
      <c r="I205" s="110">
        <v>38818019.42</v>
      </c>
    </row>
    <row r="206">
      <c r="A206" s="109" t="inlineStr">
        <is>
          <t xml:space="preserve">ТОШКЕНТ ШАХРИ</t>
        </is>
      </c>
      <c r="B206" s="109" t="inlineStr">
        <is>
          <t xml:space="preserve">SUPER BRANCH</t>
        </is>
      </c>
      <c r="C206" s="109" t="inlineStr">
        <is>
          <t xml:space="preserve">Ko'tarmadi</t>
        </is>
      </c>
      <c r="D206" s="109" t="inlineStr">
        <is>
          <t xml:space="preserve">Кр-99006202-20</t>
        </is>
      </c>
      <c r="E206" s="109" t="inlineStr">
        <is>
          <t xml:space="preserve">TO’LQUNBOYEV DONIYORBEK DILSHODBEK O’G’LI</t>
        </is>
      </c>
      <c r="F206" s="109" t="inlineStr">
        <is>
          <t xml:space="preserve">998983630373 SMS O’ZI, 998983048606 SMS VAGIF, 998901262345 SMS SHOXRUX,</t>
        </is>
      </c>
      <c r="G206" s="109" t="inlineStr">
        <is>
          <t xml:space="preserve">TOSHKENT SHAHAR YUNUSOBOD TUMANI 16-MAVZE 17-UY 40-XONADON</t>
        </is>
      </c>
      <c r="H206" s="110">
        <v>3.0</v>
      </c>
      <c r="I206" s="110">
        <v>34985123.72</v>
      </c>
    </row>
    <row r="207">
      <c r="A207" s="109" t="inlineStr">
        <is>
          <t xml:space="preserve">ТОШКЕНТ ШАХРИ</t>
        </is>
      </c>
      <c r="B207" s="109" t="inlineStr">
        <is>
          <t xml:space="preserve">SUPER BRANCH</t>
        </is>
      </c>
      <c r="C207" s="109" t="inlineStr">
        <is>
          <t xml:space="preserve">Ko'tarmadi</t>
        </is>
      </c>
      <c r="D207" s="109" t="inlineStr">
        <is>
          <t xml:space="preserve">Кр-99006202-21</t>
        </is>
      </c>
      <c r="E207" s="109" t="inlineStr">
        <is>
          <t xml:space="preserve">TO’LQUNBOYEV DONIYORBEK DILSHODBEK O’G’LI</t>
        </is>
      </c>
      <c r="F207" s="109" t="inlineStr">
        <is>
          <t xml:space="preserve">998983630373 SMS O’ZI, 998983048606 SMS VAGIF, 998901262345 SMS SHOXRUX,</t>
        </is>
      </c>
      <c r="G207" s="109" t="inlineStr">
        <is>
          <t xml:space="preserve">TOSHKENT SHAHAR YUNUSOBOD TUMANI 16-MAVZE 17-UY 40-XONADON</t>
        </is>
      </c>
      <c r="H207" s="110">
        <v>3.0</v>
      </c>
      <c r="I207" s="110">
        <v>34985123.72</v>
      </c>
    </row>
    <row r="208">
      <c r="A208" s="109" t="inlineStr">
        <is>
          <t xml:space="preserve">ТОШКЕНТ ШАХРИ</t>
        </is>
      </c>
      <c r="B208" s="109" t="inlineStr">
        <is>
          <t xml:space="preserve">SUPER BRANCH</t>
        </is>
      </c>
      <c r="C208" s="109" t="inlineStr">
        <is>
          <t xml:space="preserve">Ko'tarmadi</t>
        </is>
      </c>
      <c r="D208" s="109" t="inlineStr">
        <is>
          <t xml:space="preserve">Кр-99033410-2</t>
        </is>
      </c>
      <c r="E208" s="109" t="inlineStr">
        <is>
          <t xml:space="preserve">ZIYEVIDDINOV ZAFAR ZIAUTDINOVICH</t>
        </is>
      </c>
      <c r="F208" s="109" t="inlineStr">
        <is>
          <t xml:space="preserve">998900330333 SMS O’ZI, 998983020333 SMS UKASI, 998998330333 SMS AYOLI, 998903220333 SMS ONASI,</t>
        </is>
      </c>
      <c r="G208" s="109" t="inlineStr">
        <is>
          <t xml:space="preserve">TOSHKENT SHAHAR YAKKASAROY TUMANI DILBULOQ MFY  SH.RUSTAVELI KO’CHASI 77-UY 36-XONADON</t>
        </is>
      </c>
      <c r="H208" s="110">
        <v>34.0</v>
      </c>
      <c r="I208" s="110">
        <v>34108391.07</v>
      </c>
      <c r="K208" s="109" t="inlineStr">
        <is>
          <t xml:space="preserve">472 | 250000000 | 9769359.45</t>
        </is>
      </c>
    </row>
    <row r="209">
      <c r="A209" s="109" t="inlineStr">
        <is>
          <t xml:space="preserve">ТОШКЕНТ ШАХРИ</t>
        </is>
      </c>
      <c r="B209" s="109" t="inlineStr">
        <is>
          <t xml:space="preserve">SUPER BRANCH</t>
        </is>
      </c>
      <c r="C209" s="109" t="inlineStr">
        <is>
          <t xml:space="preserve">Ko'tarmadi</t>
        </is>
      </c>
      <c r="D209" s="109" t="inlineStr">
        <is>
          <t xml:space="preserve">Кр-99032289-3</t>
        </is>
      </c>
      <c r="E209" s="109" t="inlineStr">
        <is>
          <t xml:space="preserve">VALIYEV IBROXIMBEK ALIJON O’G’LI</t>
        </is>
      </c>
      <c r="F209" s="109" t="inlineStr">
        <is>
          <t xml:space="preserve">998935513353 SMS O’ZI, 998937111239 SMS AYOLI, 998956960906 SMS TOG’ASI, 998712995407 SMS UY,</t>
        </is>
      </c>
      <c r="G209" s="109" t="inlineStr">
        <is>
          <t xml:space="preserve">TOSHKENT SHAHAR YASHNOBOD TUMANI FARG’ONA YO’LI 3-TOR KO’CHA 109-UY</t>
        </is>
      </c>
      <c r="H209" s="110">
        <v>136.0</v>
      </c>
      <c r="I209" s="110">
        <v>30425991.89</v>
      </c>
      <c r="K209" s="109" t="inlineStr">
        <is>
          <t xml:space="preserve">sud</t>
        </is>
      </c>
    </row>
    <row r="210">
      <c r="A210" s="109" t="inlineStr">
        <is>
          <t xml:space="preserve">ТОШКЕНТ ШАХРИ</t>
        </is>
      </c>
      <c r="B210" s="109" t="inlineStr">
        <is>
          <t xml:space="preserve">SUPER BRANCH</t>
        </is>
      </c>
      <c r="C210" s="109" t="inlineStr">
        <is>
          <t xml:space="preserve">Ko'tarmadi</t>
        </is>
      </c>
      <c r="D210" s="109" t="inlineStr">
        <is>
          <t xml:space="preserve">Кр-99004100-6</t>
        </is>
      </c>
      <c r="E210" s="109" t="inlineStr">
        <is>
          <t xml:space="preserve">G’ULOMOV NOZIMBEK SAIDMAXMUD O’G’LI</t>
        </is>
      </c>
      <c r="F210" s="109" t="inlineStr">
        <is>
          <t xml:space="preserve">77-010-68-63 SMS, 91-777-00-07 sms jiyani, 77-080-07-21 sms ortogi birga ishlidi, 98-707-02-71 sms akasi,</t>
        </is>
      </c>
      <c r="G210" s="109" t="inlineStr">
        <is>
          <t xml:space="preserve">TOSHKENT SHAHAR YASHNABOD TUMANI XOSIYATLI MFY 5 PROEZD XUSNOBOD KUCHASI 2/3 UY 29 XONADON</t>
        </is>
      </c>
      <c r="H210" s="110">
        <v>3.0</v>
      </c>
      <c r="I210" s="110">
        <v>18649865.81</v>
      </c>
      <c r="K210" s="109" t="inlineStr">
        <is>
          <t xml:space="preserve">ertaga obedda tolidi | hech qaysi nomeriga tushib bo'madi</t>
        </is>
      </c>
    </row>
    <row r="211">
      <c r="A211" s="109" t="inlineStr">
        <is>
          <t xml:space="preserve">ТОШКЕНТ ШАХРИ</t>
        </is>
      </c>
      <c r="B211" s="109" t="inlineStr">
        <is>
          <t xml:space="preserve">SUPER BRANCH</t>
        </is>
      </c>
      <c r="C211" s="109" t="inlineStr">
        <is>
          <t xml:space="preserve">Ko'tarmadi</t>
        </is>
      </c>
      <c r="D211" s="109" t="inlineStr">
        <is>
          <t xml:space="preserve">Кр-99027373-3</t>
        </is>
      </c>
      <c r="E211" s="109" t="inlineStr">
        <is>
          <t xml:space="preserve">SAIDOV FERUZJON UBAYDULLO O’G’LI</t>
        </is>
      </c>
      <c r="F211" s="109" t="inlineStr">
        <is>
          <t xml:space="preserve">90-976-06-01 SMS O'ZI, 998993760601 SMS OZi new,</t>
        </is>
      </c>
      <c r="G211" s="109" t="inlineStr">
        <is>
          <t xml:space="preserve">TOSHKENT SHAHAR CHILONZOR TUMANI 19-MAVZE 17-UY 41-XONADON</t>
        </is>
      </c>
      <c r="I211" s="110">
        <v>9196459.01</v>
      </c>
      <c r="K211" s="109" t="inlineStr">
        <is>
          <t xml:space="preserve">227 | 240000000 | 0 | ertaga to'lov qiladi</t>
        </is>
      </c>
    </row>
    <row r="212">
      <c r="A212" s="109" t="inlineStr">
        <is>
          <t xml:space="preserve">ТОШКЕНТ ШАХРИ</t>
        </is>
      </c>
      <c r="B212" s="109" t="inlineStr">
        <is>
          <t xml:space="preserve">SUPER BRANCH</t>
        </is>
      </c>
      <c r="C212" s="109" t="inlineStr">
        <is>
          <t xml:space="preserve">Ko'tarmadi</t>
        </is>
      </c>
      <c r="D212" s="109" t="inlineStr">
        <is>
          <t xml:space="preserve">Кр-99048651-2</t>
        </is>
      </c>
      <c r="E212" s="109" t="inlineStr">
        <is>
          <t xml:space="preserve">QAMBAROVA NODIRA ABDUMALIK QIZI</t>
        </is>
      </c>
      <c r="F212" s="109" t="inlineStr">
        <is>
          <t xml:space="preserve">998900940110 SMS Eri ekan, 998903212619 SMS ONASI, 998903940110 sms o’zi, 998931800994 SMS AKASI,</t>
        </is>
      </c>
      <c r="G212" s="109" t="inlineStr">
        <is>
          <t xml:space="preserve">Учтепа, улугбек кучаси, 6 проезд, 7 уй,</t>
        </is>
      </c>
      <c r="H212" s="110">
        <v>3.0</v>
      </c>
      <c r="I212" s="110">
        <v>9011956.69</v>
      </c>
      <c r="K212" s="109" t="inlineStr">
        <is>
          <t xml:space="preserve">1385 | 125000000 | 3787879 | sms yozvordim</t>
        </is>
      </c>
    </row>
    <row r="213">
      <c r="A213" s="109" t="inlineStr">
        <is>
          <t xml:space="preserve">ТОШКЕНТ ШАХРИ</t>
        </is>
      </c>
      <c r="B213" s="109" t="inlineStr">
        <is>
          <t xml:space="preserve">SUPER BRANCH</t>
        </is>
      </c>
      <c r="C213" s="109" t="inlineStr">
        <is>
          <t xml:space="preserve">Ko'tarmadi</t>
        </is>
      </c>
      <c r="D213" s="109" t="inlineStr">
        <is>
          <t xml:space="preserve">Кр-99028933-4</t>
        </is>
      </c>
      <c r="E213" s="109" t="inlineStr">
        <is>
          <t xml:space="preserve">ALIXONOV AKMALJON MIRZOXID O’G’LI</t>
        </is>
      </c>
      <c r="F213" s="109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213" s="109" t="inlineStr">
        <is>
          <t xml:space="preserve">TOSHKENT SHAHAR YANGIXAYOT TUMANI 9-QURUVCHILAR MAVZESI MARXAMT MFY 25-UY 40-XONADON</t>
        </is>
      </c>
      <c r="H213" s="110">
        <v>31.0</v>
      </c>
      <c r="I213" s="110">
        <v>8280092.91</v>
      </c>
    </row>
    <row r="214">
      <c r="A214" s="109" t="inlineStr">
        <is>
          <t xml:space="preserve">ТОШКЕНТ ШАХРИ</t>
        </is>
      </c>
      <c r="B214" s="109" t="inlineStr">
        <is>
          <t xml:space="preserve">SUPER BRANCH</t>
        </is>
      </c>
      <c r="C214" s="109" t="inlineStr">
        <is>
          <t xml:space="preserve">Ko'tarmadi</t>
        </is>
      </c>
      <c r="D214" s="109" t="inlineStr">
        <is>
          <t xml:space="preserve">Кр-99026854-2</t>
        </is>
      </c>
      <c r="E214" s="109" t="inlineStr">
        <is>
          <t xml:space="preserve">XOLMUXAMEDOV DAVRON ZOKIR O’G’LI</t>
        </is>
      </c>
      <c r="F214" s="109" t="inlineStr">
        <is>
          <t xml:space="preserve">94-397-88-88  SMS OZI Begona, 94-697-64-34  SMS JIYANI ( BEGANA), 90-021-64-34  SMS OZI 2, 99-049-79-86  SMS UY, 998940331622 SMS UZI SHUNGA QILINSIN ,</t>
        </is>
      </c>
      <c r="G214" s="109" t="inlineStr">
        <is>
          <t xml:space="preserve">КЎКЧА ОҚТЕПА МФЙ, АЛИ КУШЧИ КЎЧАСИ,  uy:1</t>
        </is>
      </c>
      <c r="H214" s="110">
        <v>3.0</v>
      </c>
      <c r="I214" s="110">
        <v>7256750.9</v>
      </c>
      <c r="K214" s="109" t="inlineStr">
        <is>
          <t xml:space="preserve">209 | 60000000 | 5715767.96 | sms yozvordim</t>
        </is>
      </c>
    </row>
    <row r="215">
      <c r="A215" s="109" t="inlineStr">
        <is>
          <t xml:space="preserve">ТОШКЕНТ ШАХРИ</t>
        </is>
      </c>
      <c r="B215" s="109" t="inlineStr">
        <is>
          <t xml:space="preserve">SUPER BRANCH</t>
        </is>
      </c>
      <c r="C215" s="109" t="inlineStr">
        <is>
          <t xml:space="preserve">Ko'tarmadi</t>
        </is>
      </c>
      <c r="D215" s="109" t="inlineStr">
        <is>
          <t xml:space="preserve">Кр-99024123-5</t>
        </is>
      </c>
      <c r="E215" s="109" t="inlineStr">
        <is>
          <t xml:space="preserve">XASANOV ISLOM RUSTAM O’G’LI</t>
        </is>
      </c>
      <c r="F215" s="109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215" s="109" t="inlineStr">
        <is>
          <t xml:space="preserve">Олтинкул МФЙ, Олтинкул кучаси, 94-уй, 33-хонадон</t>
        </is>
      </c>
      <c r="H215" s="110">
        <v>3.0</v>
      </c>
      <c r="I215" s="110">
        <v>6306957.62</v>
      </c>
    </row>
    <row r="216">
      <c r="A216" s="109" t="inlineStr">
        <is>
          <t xml:space="preserve">ТОШКЕНТ ШАХРИ</t>
        </is>
      </c>
      <c r="B216" s="109" t="inlineStr">
        <is>
          <t xml:space="preserve">SUPER BRANCH</t>
        </is>
      </c>
      <c r="C216" s="109" t="inlineStr">
        <is>
          <t xml:space="preserve">Ko'tarmadi</t>
        </is>
      </c>
      <c r="D216" s="109" t="inlineStr">
        <is>
          <t xml:space="preserve">Кр-99062789-3</t>
        </is>
      </c>
      <c r="E216" s="109" t="inlineStr">
        <is>
          <t xml:space="preserve">NAZAROV ISMOIL USMONOVICH</t>
        </is>
      </c>
      <c r="F216" s="109" t="inlineStr">
        <is>
          <t xml:space="preserve">998904217777 SMS AKASI, 998917752745 SMS OZI, 998997540300 SMS DADASI,</t>
        </is>
      </c>
      <c r="G216" s="109" t="inlineStr">
        <is>
          <t xml:space="preserve">TOSHKENT SHAHAR UCHTEPA TUAMNI 26-MAVZE 25-KVARTIRA</t>
        </is>
      </c>
      <c r="H216" s="110">
        <v>3.0</v>
      </c>
      <c r="I216" s="110">
        <v>5756852.52</v>
      </c>
      <c r="K216" s="109" t="inlineStr">
        <is>
          <t xml:space="preserve">1858 | 300000000 | 1634138.03 | kechro to'lov qiladi</t>
        </is>
      </c>
    </row>
    <row r="217">
      <c r="A217" s="109" t="inlineStr">
        <is>
          <t xml:space="preserve">ТОШКЕНТ ШАХРИ</t>
        </is>
      </c>
      <c r="B217" s="109" t="inlineStr">
        <is>
          <t xml:space="preserve">SUPER BRANCH</t>
        </is>
      </c>
      <c r="C217" s="109" t="inlineStr">
        <is>
          <t xml:space="preserve">Ko'tarmadi</t>
        </is>
      </c>
      <c r="D217" s="109" t="inlineStr">
        <is>
          <t xml:space="preserve">Кр-99064498-1</t>
        </is>
      </c>
      <c r="E217" s="109" t="inlineStr">
        <is>
          <t xml:space="preserve">BARATOVA NASIBA AKBAROVNA</t>
        </is>
      </c>
      <c r="F217" s="109" t="inlineStr">
        <is>
          <t xml:space="preserve">998903369669 SMS UZI, 998908095180 SMS ERI, 998988095180 SMS ERI2,</t>
        </is>
      </c>
      <c r="G217" s="109" t="inlineStr">
        <is>
          <t xml:space="preserve">Kengmakon МФЙ, Буюк авлод, пр. 6 шох кўчаси, 18-уй</t>
        </is>
      </c>
      <c r="H217" s="110">
        <v>3.0</v>
      </c>
      <c r="I217" s="110">
        <v>5611301.0</v>
      </c>
      <c r="K217" s="109" t="inlineStr">
        <is>
          <t xml:space="preserve">sms yozildi</t>
        </is>
      </c>
    </row>
    <row r="218">
      <c r="A218" s="109" t="inlineStr">
        <is>
          <t xml:space="preserve">ТОШКЕНТ ШАХРИ</t>
        </is>
      </c>
      <c r="B218" s="109" t="inlineStr">
        <is>
          <t xml:space="preserve">SUPER BRANCH</t>
        </is>
      </c>
      <c r="C218" s="109" t="inlineStr">
        <is>
          <t xml:space="preserve">Ko'tarmadi</t>
        </is>
      </c>
      <c r="D218" s="109" t="inlineStr">
        <is>
          <t xml:space="preserve">Кр-99057319-1</t>
        </is>
      </c>
      <c r="E218" s="109" t="inlineStr">
        <is>
          <t xml:space="preserve">SADRITDINOV UMAR FAXRIDDIN O’G’LI</t>
        </is>
      </c>
      <c r="F218" s="109" t="inlineStr">
        <is>
          <t xml:space="preserve">998977616747 SMS Ozi , 998930048004 SMS AYOLI , 998940443733 SMS DOSTI ,</t>
        </is>
      </c>
      <c r="G218" s="109" t="inlineStr">
        <is>
          <t xml:space="preserve">IIV 26263</t>
        </is>
      </c>
      <c r="H218" s="110">
        <v>3.0</v>
      </c>
      <c r="I218" s="110">
        <v>4874816.7</v>
      </c>
      <c r="K218" s="109" t="inlineStr">
        <is>
          <t xml:space="preserve">1583 | 70000000 | 2112143.1 | shanba kun to'lov bo'ladi</t>
        </is>
      </c>
    </row>
    <row r="219">
      <c r="A219" s="109" t="inlineStr">
        <is>
          <t xml:space="preserve">ТОШКЕНТ ШАХРИ</t>
        </is>
      </c>
      <c r="B219" s="109" t="inlineStr">
        <is>
          <t xml:space="preserve">SUPER BRANCH</t>
        </is>
      </c>
      <c r="C219" s="109" t="inlineStr">
        <is>
          <t xml:space="preserve">Ko'tarmadi</t>
        </is>
      </c>
      <c r="D219" s="109" t="inlineStr">
        <is>
          <t xml:space="preserve">Кр-99035700-1</t>
        </is>
      </c>
      <c r="E219" s="109" t="inlineStr">
        <is>
          <t xml:space="preserve">MEYLIYEV AKRAM NORQO‘CHQOROVICH</t>
        </is>
      </c>
      <c r="F219" s="109" t="inlineStr">
        <is>
          <t xml:space="preserve">998999865767 SMS O‘ZI, 998903327766 SMS O’ZI 2, 998907241161 SMS AYOLI, 998951075112 SMS QIZI,</t>
        </is>
      </c>
      <c r="G219" s="109" t="inlineStr">
        <is>
          <t xml:space="preserve">TOSHKENT SHAHAR SIRG‘ALI TUMANI MADANIYAT MFY QO‘YLIQ-5 MAVZESI 22-UY 28-XONADON</t>
        </is>
      </c>
      <c r="H219" s="110">
        <v>44.0</v>
      </c>
      <c r="I219" s="110">
        <v>4730796.06</v>
      </c>
    </row>
    <row r="220">
      <c r="A220" s="109" t="inlineStr">
        <is>
          <t xml:space="preserve">ТОШКЕНТ ШАХРИ</t>
        </is>
      </c>
      <c r="B220" s="109" t="inlineStr">
        <is>
          <t xml:space="preserve">SUPER BRANCH</t>
        </is>
      </c>
      <c r="C220" s="109" t="inlineStr">
        <is>
          <t xml:space="preserve">Ko'tarmadi</t>
        </is>
      </c>
      <c r="D220" s="109" t="inlineStr">
        <is>
          <t xml:space="preserve">Кр-99037130-1</t>
        </is>
      </c>
      <c r="E220" s="109" t="inlineStr">
        <is>
          <t xml:space="preserve">ABDURAIMOVA DILNAVO ABDUALIMOVNA</t>
        </is>
      </c>
      <c r="F220" s="109" t="inlineStr">
        <is>
          <t xml:space="preserve">998977146828 SMS OZI, 998996899248 SMS QARINDOSHI, 998884452393 SMS OVSINI, 998917821504 SMS O’ZI 2,</t>
        </is>
      </c>
      <c r="G220" s="109" t="inlineStr">
        <is>
          <t xml:space="preserve"> KO’RMANA MFY 10-MAVZE 21-UY,10-XONADON</t>
        </is>
      </c>
      <c r="H220" s="110">
        <v>3.0</v>
      </c>
      <c r="I220" s="110">
        <v>4608834.42</v>
      </c>
      <c r="J220" s="110">
        <v>4608834.42</v>
      </c>
      <c r="K220" s="109" t="inlineStr">
        <is>
          <t xml:space="preserve">676 | 73000000 | 2233728.8</t>
        </is>
      </c>
    </row>
    <row r="221">
      <c r="A221" s="109" t="inlineStr">
        <is>
          <t xml:space="preserve">ТОШКЕНТ ШАХРИ</t>
        </is>
      </c>
      <c r="B221" s="109" t="inlineStr">
        <is>
          <t xml:space="preserve">SUPER BRANCH</t>
        </is>
      </c>
      <c r="C221" s="109" t="inlineStr">
        <is>
          <t xml:space="preserve">Ko'tarmadi</t>
        </is>
      </c>
      <c r="D221" s="109" t="inlineStr">
        <is>
          <t xml:space="preserve">Кр-99063129-1</t>
        </is>
      </c>
      <c r="E221" s="109" t="inlineStr">
        <is>
          <t xml:space="preserve">UBAYDULLAYEV ISMOIL XAMIDULLA O’G’LI</t>
        </is>
      </c>
      <c r="F221" s="109" t="inlineStr">
        <is>
          <t xml:space="preserve">998958444133 SMS AYOLI, 998998709967 SMS UY RAQAMI, 998998972810 SMS UZI,</t>
        </is>
      </c>
      <c r="G221" s="109" t="inlineStr">
        <is>
          <t xml:space="preserve">ЧЎПОНОТА МФЙ, БОГИСТОН КЎЧАСИ,  uy:100</t>
        </is>
      </c>
      <c r="H221" s="110">
        <v>3.0</v>
      </c>
      <c r="I221" s="110">
        <v>4360315.2</v>
      </c>
      <c r="K221" s="109" t="inlineStr">
        <is>
          <t xml:space="preserve">1972 | 70000000 | 1469826.4 | dushanbaga</t>
        </is>
      </c>
    </row>
    <row r="222">
      <c r="A222" s="109" t="inlineStr">
        <is>
          <t xml:space="preserve">ТОШКЕНТ ШАХРИ</t>
        </is>
      </c>
      <c r="B222" s="109" t="inlineStr">
        <is>
          <t xml:space="preserve">SUPER BRANCH</t>
        </is>
      </c>
      <c r="C222" s="109" t="inlineStr">
        <is>
          <t xml:space="preserve">Ko'tarmadi</t>
        </is>
      </c>
      <c r="D222" s="109" t="inlineStr">
        <is>
          <t xml:space="preserve">Кр-99036871-2</t>
        </is>
      </c>
      <c r="E222" s="109" t="inlineStr">
        <is>
          <t xml:space="preserve">BAXADIROVA YEDGOR XADJIMURATOVNA</t>
        </is>
      </c>
      <c r="F222" s="109" t="inlineStr">
        <is>
          <t xml:space="preserve">998996308133 SMS OZI TOLOVCHI ,</t>
        </is>
      </c>
      <c r="G222" s="109" t="inlineStr">
        <is>
          <t xml:space="preserve">TOSHKENT SHAHRI YUNUSOBOD TUMANI,19-MAVZE,47-UY,162-XONADON</t>
        </is>
      </c>
      <c r="H222" s="110">
        <v>3.0</v>
      </c>
      <c r="I222" s="110">
        <v>4349543.37</v>
      </c>
      <c r="K222" s="109" t="inlineStr">
        <is>
          <t xml:space="preserve">ochiq</t>
        </is>
      </c>
    </row>
    <row r="223">
      <c r="A223" s="109" t="inlineStr">
        <is>
          <t xml:space="preserve">ТОШКЕНТ ШАХРИ</t>
        </is>
      </c>
      <c r="B223" s="109" t="inlineStr">
        <is>
          <t xml:space="preserve">SUPER BRANCH</t>
        </is>
      </c>
      <c r="C223" s="109" t="inlineStr">
        <is>
          <t xml:space="preserve">Ko'tarmadi</t>
        </is>
      </c>
      <c r="D223" s="109" t="inlineStr">
        <is>
          <t xml:space="preserve">Кр-99030412-1</t>
        </is>
      </c>
      <c r="E223" s="109" t="inlineStr">
        <is>
          <t xml:space="preserve">FAYZULLAYEVA SHAXNOZA TUXTAMURADOVNA</t>
        </is>
      </c>
      <c r="F223" s="109" t="inlineStr">
        <is>
          <t xml:space="preserve">998770185151 SMS OZI, 998887085151 SMS OZI 2, 998712203233 SMS DAMASHNIY, 998971118700 SMS OGLI,</t>
        </is>
      </c>
      <c r="G223" s="109" t="inlineStr">
        <is>
          <t xml:space="preserve">TOSHKENT SHAHAR YUNUSABOD TUMANI  9 KVARTAL  14-UY 126-XONADON</t>
        </is>
      </c>
      <c r="H223" s="110">
        <v>3.0</v>
      </c>
      <c r="I223" s="110">
        <v>4271442.12</v>
      </c>
    </row>
    <row r="224">
      <c r="A224" s="109" t="inlineStr">
        <is>
          <t xml:space="preserve">ТОШКЕНТ ШАХРИ</t>
        </is>
      </c>
      <c r="B224" s="109" t="inlineStr">
        <is>
          <t xml:space="preserve">SUPER BRANCH</t>
        </is>
      </c>
      <c r="C224" s="109" t="inlineStr">
        <is>
          <t xml:space="preserve">Ko'tarmadi</t>
        </is>
      </c>
      <c r="D224" s="109" t="inlineStr">
        <is>
          <t xml:space="preserve">Кр-99020748-5</t>
        </is>
      </c>
      <c r="E224" s="109" t="inlineStr">
        <is>
          <t xml:space="preserve">ABDUG’AFFOROVA DILAFRUZAXON UMIDJON QIZI</t>
        </is>
      </c>
      <c r="F224" s="109" t="inlineStr">
        <is>
          <t xml:space="preserve">93-520-84-88 SMS ozi, 99-812-56-98 SMS OZI 2, 94-670-49-44 SMS ISHCHISI, 95-177-84-80 SMS ISHXONASI,</t>
        </is>
      </c>
      <c r="G224" s="109" t="inlineStr">
        <is>
          <t xml:space="preserve">TOSHKENT SHAHAR OLAMZOR TUMANI QORAQAMISH 2/4, 51-DOM 3-XONADON</t>
        </is>
      </c>
      <c r="H224" s="110">
        <v>3.0</v>
      </c>
      <c r="I224" s="110">
        <v>3765313.71</v>
      </c>
    </row>
    <row r="225">
      <c r="A225" s="109" t="inlineStr">
        <is>
          <t xml:space="preserve">ТОШКЕНТ ШАХРИ</t>
        </is>
      </c>
      <c r="B225" s="109" t="inlineStr">
        <is>
          <t xml:space="preserve">SUPER BRANCH</t>
        </is>
      </c>
      <c r="C225" s="109" t="inlineStr">
        <is>
          <t xml:space="preserve">Ko'tarmadi</t>
        </is>
      </c>
      <c r="D225" s="109" t="inlineStr">
        <is>
          <t xml:space="preserve">Кр-99062970-1</t>
        </is>
      </c>
      <c r="E225" s="109" t="inlineStr">
        <is>
          <t xml:space="preserve">ISKANDAROV OTABEK SAMANDAROVICH</t>
        </is>
      </c>
      <c r="F225" s="109" t="inlineStr">
        <is>
          <t xml:space="preserve">998956632014 XATO, 998930757920 SMS AYOLI, 998977750969 SMS OZI, 998999047579 SMS O’G’LI,</t>
        </is>
      </c>
      <c r="G225" s="109" t="inlineStr">
        <is>
          <t xml:space="preserve">TOSHKENT SHAHAR YAKKASAROY TUMANI BOSHLIK KUCHASI 10 UY 11 XONADON</t>
        </is>
      </c>
      <c r="H225" s="110">
        <v>3.0</v>
      </c>
      <c r="I225" s="110">
        <v>3728150.56</v>
      </c>
      <c r="K225" s="109" t="inlineStr">
        <is>
          <t xml:space="preserve">1922 | 60000000 | 1310487.92</t>
        </is>
      </c>
    </row>
    <row r="226">
      <c r="A226" s="109" t="inlineStr">
        <is>
          <t xml:space="preserve">ТОШКЕНТ ШАХРИ</t>
        </is>
      </c>
      <c r="B226" s="109" t="inlineStr">
        <is>
          <t xml:space="preserve">SUPER BRANCH</t>
        </is>
      </c>
      <c r="C226" s="109" t="inlineStr">
        <is>
          <t xml:space="preserve">Ko'tarmadi</t>
        </is>
      </c>
      <c r="D226" s="109" t="inlineStr">
        <is>
          <t xml:space="preserve">Кр-99040453-4</t>
        </is>
      </c>
      <c r="E226" s="109" t="inlineStr">
        <is>
          <t xml:space="preserve">ZOXIDOV FOZILJON G’AFURJON O’G’LI</t>
        </is>
      </c>
      <c r="F226" s="109" t="inlineStr">
        <is>
          <t xml:space="preserve">+998977631122 SMS DO’STI begona , 998901462929 SMS DO’STI, 998998994003 SMS O’ZI,</t>
        </is>
      </c>
      <c r="G226" s="109" t="inlineStr">
        <is>
          <t xml:space="preserve">БЕШҚАЙРАҒОЧ МФЙ, ТЎҚИМАЧИ КЎЧАСИ,  uy:13</t>
        </is>
      </c>
      <c r="H226" s="110">
        <v>3.0</v>
      </c>
      <c r="I226" s="110">
        <v>3419560.06</v>
      </c>
      <c r="K226" s="109" t="inlineStr">
        <is>
          <t xml:space="preserve">999 | 55000000 | 1547735.28 | shanba kun to'lov qiladi</t>
        </is>
      </c>
    </row>
    <row r="227">
      <c r="A227" s="109" t="inlineStr">
        <is>
          <t xml:space="preserve">ТОШКЕНТ ШАХРИ</t>
        </is>
      </c>
      <c r="B227" s="109" t="inlineStr">
        <is>
          <t xml:space="preserve">SUPER BRANCH</t>
        </is>
      </c>
      <c r="C227" s="109" t="inlineStr">
        <is>
          <t xml:space="preserve">Ko'tarmadi</t>
        </is>
      </c>
      <c r="D227" s="109" t="inlineStr">
        <is>
          <t xml:space="preserve">Кр-99040080-1</t>
        </is>
      </c>
      <c r="E227" s="109" t="inlineStr">
        <is>
          <t xml:space="preserve">UMAROV ELBEK ULUGBEK O’G’LI</t>
        </is>
      </c>
      <c r="F227" s="109" t="inlineStr">
        <is>
          <t xml:space="preserve">+998883028888 Primary phone from road24, 998883028888 Primary phone from road24, 998940833333 SMS UZI2, 998990011881 SMS UZI,</t>
        </is>
      </c>
      <c r="G227" s="109" t="inlineStr">
        <is>
          <t xml:space="preserve">г. Ташкент, Олмазарский район, ул. Чигатой Октепа, Чигатой октепа МСГ, 3- Дом, -</t>
        </is>
      </c>
      <c r="H227" s="110">
        <v>3.0</v>
      </c>
      <c r="I227" s="110">
        <v>3247017.42</v>
      </c>
    </row>
    <row r="228">
      <c r="A228" s="109" t="inlineStr">
        <is>
          <t xml:space="preserve">ТОШКЕНТ ШАХРИ</t>
        </is>
      </c>
      <c r="B228" s="109" t="inlineStr">
        <is>
          <t xml:space="preserve">SUPER BRANCH</t>
        </is>
      </c>
      <c r="C228" s="109" t="inlineStr">
        <is>
          <t xml:space="preserve">Ko'tarmadi</t>
        </is>
      </c>
      <c r="D228" s="109" t="inlineStr">
        <is>
          <t xml:space="preserve">Кр-99062687-1</t>
        </is>
      </c>
      <c r="E228" s="109" t="inlineStr">
        <is>
          <t xml:space="preserve">ABDULLAYEV ZIYODJON ERKINOVICH</t>
        </is>
      </c>
      <c r="F228" s="109" t="inlineStr">
        <is>
          <t xml:space="preserve">998995020770 SMS OZI, 999883025158 SMS AYOLI, 998857978888 SMS AKASI,</t>
        </is>
      </c>
      <c r="G228" s="109" t="inlineStr">
        <is>
          <t xml:space="preserve">TOSHKENT SHAHAR YUNUSOBOD TUMANI RAYON 11-UY</t>
        </is>
      </c>
      <c r="H228" s="110">
        <v>3.0</v>
      </c>
      <c r="I228" s="110">
        <v>3156209.64</v>
      </c>
      <c r="K228" s="109" t="inlineStr">
        <is>
          <t xml:space="preserve">1824 | 50000000 | 991607.5</t>
        </is>
      </c>
    </row>
    <row r="229">
      <c r="A229" s="109" t="inlineStr">
        <is>
          <t xml:space="preserve">ТОШКЕНТ ШАХРИ</t>
        </is>
      </c>
      <c r="B229" s="109" t="inlineStr">
        <is>
          <t xml:space="preserve">SUPER BRANCH</t>
        </is>
      </c>
      <c r="C229" s="109" t="inlineStr">
        <is>
          <t xml:space="preserve">Ko'tarmadi</t>
        </is>
      </c>
      <c r="D229" s="109" t="inlineStr">
        <is>
          <t xml:space="preserve">Кр-99025717-4</t>
        </is>
      </c>
      <c r="E229" s="109" t="inlineStr">
        <is>
          <t xml:space="preserve">DJURAYEVA MUXABBAT SADIKOVNA</t>
        </is>
      </c>
      <c r="F229" s="109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229" s="109" t="inlineStr">
        <is>
          <t xml:space="preserve">Ислом ота МФЙ, Кора-Камиш 1/2 мавзеси, 10а-уй, 32-хонадон</t>
        </is>
      </c>
      <c r="H229" s="110">
        <v>3.0</v>
      </c>
      <c r="I229" s="110">
        <v>3030962.98</v>
      </c>
    </row>
    <row r="230">
      <c r="A230" s="109" t="inlineStr">
        <is>
          <t xml:space="preserve">ТОШКЕНТ ШАХРИ</t>
        </is>
      </c>
      <c r="B230" s="109" t="inlineStr">
        <is>
          <t xml:space="preserve">SUPER BRANCH</t>
        </is>
      </c>
      <c r="C230" s="109" t="inlineStr">
        <is>
          <t xml:space="preserve">Ko'tarmadi</t>
        </is>
      </c>
      <c r="D230" s="109" t="inlineStr">
        <is>
          <t xml:space="preserve">Кр-99063511-1</t>
        </is>
      </c>
      <c r="E230" s="109" t="inlineStr">
        <is>
          <t xml:space="preserve">FAYZIYEV XAKIMJON RAVSHAN O’G’LI</t>
        </is>
      </c>
      <c r="F230" s="109" t="inlineStr">
        <is>
          <t xml:space="preserve">998900449996 SMS OZI, 998977449695 SMS AKASI, 998990249999 SMS AKASI 2,</t>
        </is>
      </c>
      <c r="G230" s="109" t="inlineStr">
        <is>
          <t xml:space="preserve">DILKASH KO’CHASI 28-UY</t>
        </is>
      </c>
      <c r="H230" s="110">
        <v>3.0</v>
      </c>
      <c r="I230" s="110">
        <v>2991163.0</v>
      </c>
      <c r="K230" s="109" t="inlineStr">
        <is>
          <t xml:space="preserve">2072 | 43000000 | 1256419.92 | sms yozvordim</t>
        </is>
      </c>
    </row>
    <row r="231">
      <c r="A231" s="109" t="inlineStr">
        <is>
          <t xml:space="preserve">ТОШКЕНТ ШАХРИ</t>
        </is>
      </c>
      <c r="B231" s="109" t="inlineStr">
        <is>
          <t xml:space="preserve">SUPER BRANCH</t>
        </is>
      </c>
      <c r="C231" s="109" t="inlineStr">
        <is>
          <t xml:space="preserve">Ko'tarmadi</t>
        </is>
      </c>
      <c r="D231" s="109" t="inlineStr">
        <is>
          <t xml:space="preserve">Кр-99035019-2</t>
        </is>
      </c>
      <c r="E231" s="109" t="inlineStr">
        <is>
          <t xml:space="preserve">ISRAILOV RUSTAM SULTANOVICH</t>
        </is>
      </c>
      <c r="F231" s="109" t="inlineStr">
        <is>
          <t xml:space="preserve">998712485251 SMS O’ZI, 998999994524 SMS OGLI, 998981241558 SMS O’G’LI,</t>
        </is>
      </c>
      <c r="G231" s="109" t="inlineStr">
        <is>
          <t xml:space="preserve">TOSHKENT SHAHAR OLMAZOR TUMANI GULZOR MFY CHUKURSOY KO’CHASI 187-A XONADON</t>
        </is>
      </c>
      <c r="H231" s="110">
        <v>3.0</v>
      </c>
      <c r="I231" s="110">
        <v>2897958.9</v>
      </c>
    </row>
    <row r="232">
      <c r="A232" s="109" t="inlineStr">
        <is>
          <t xml:space="preserve">ТОШКЕНТ ШАХРИ</t>
        </is>
      </c>
      <c r="B232" s="109" t="inlineStr">
        <is>
          <t xml:space="preserve">SUPER BRANCH</t>
        </is>
      </c>
      <c r="C232" s="109" t="inlineStr">
        <is>
          <t xml:space="preserve">Ko'tarmadi</t>
        </is>
      </c>
      <c r="D232" s="109" t="inlineStr">
        <is>
          <t xml:space="preserve">Кр-99027053-2</t>
        </is>
      </c>
      <c r="E232" s="109" t="inlineStr">
        <is>
          <t xml:space="preserve">XAMRAKULOV SHOYADBEK SHUXRATOVICH</t>
        </is>
      </c>
      <c r="F232" s="109" t="inlineStr">
        <is>
          <t xml:space="preserve">97-420-08-87 SMS OZI, 998974200392 SMS AYOLI, 998977334088 SMS SINGLISI,</t>
        </is>
      </c>
      <c r="G232" s="109" t="inlineStr">
        <is>
          <t xml:space="preserve">TOSHKENT SHAHAR UCHTEPA TUMANI 23-MAVZE 3-UY 8-XONADON</t>
        </is>
      </c>
      <c r="H232" s="110">
        <v>3.0</v>
      </c>
      <c r="I232" s="110">
        <v>2830893.12</v>
      </c>
      <c r="K232" s="109" t="inlineStr">
        <is>
          <t xml:space="preserve">215 | 40000000 | 1206582.4 | sms yozvordim</t>
        </is>
      </c>
    </row>
    <row r="233">
      <c r="A233" s="109" t="inlineStr">
        <is>
          <t xml:space="preserve">ТОШКЕНТ ШАХРИ</t>
        </is>
      </c>
      <c r="B233" s="109" t="inlineStr">
        <is>
          <t xml:space="preserve">SUPER BRANCH</t>
        </is>
      </c>
      <c r="C233" s="109" t="inlineStr">
        <is>
          <t xml:space="preserve">Ko'tarmadi</t>
        </is>
      </c>
      <c r="D233" s="109" t="inlineStr">
        <is>
          <t xml:space="preserve">Кр-99062825-1</t>
        </is>
      </c>
      <c r="E233" s="109" t="inlineStr">
        <is>
          <t xml:space="preserve">AGALIYEV NURADDIN JAMOL O’G’LI</t>
        </is>
      </c>
      <c r="F233" s="109" t="inlineStr">
        <is>
          <t xml:space="preserve">998870250029 SMS OZI2, 998909401999 SMS DOSTI, 998987000213 SMS OZI,</t>
        </is>
      </c>
      <c r="G233" s="109" t="inlineStr">
        <is>
          <t xml:space="preserve">CHILONZOR TUMANI Q.SHARQ DAXASI 9-UY.29XONADON</t>
        </is>
      </c>
      <c r="H233" s="110">
        <v>3.0</v>
      </c>
      <c r="I233" s="110">
        <v>2738706.95</v>
      </c>
      <c r="K233" s="109" t="inlineStr">
        <is>
          <t xml:space="preserve">qayta tel qiladi sms yozvordi</t>
        </is>
      </c>
    </row>
    <row r="234">
      <c r="A234" s="109" t="inlineStr">
        <is>
          <t xml:space="preserve">ТОШКЕНТ ШАХРИ</t>
        </is>
      </c>
      <c r="B234" s="109" t="inlineStr">
        <is>
          <t xml:space="preserve">SUPER BRANCH</t>
        </is>
      </c>
      <c r="C234" s="109" t="inlineStr">
        <is>
          <t xml:space="preserve">Ko'tarmadi</t>
        </is>
      </c>
      <c r="D234" s="109" t="inlineStr">
        <is>
          <t xml:space="preserve">Кр-99040289-2</t>
        </is>
      </c>
      <c r="E234" s="109" t="inlineStr">
        <is>
          <t xml:space="preserve">YUNUSXONOVA NAFISA TO’LQIN QIZI</t>
        </is>
      </c>
      <c r="F234" s="109" t="inlineStr">
        <is>
          <t xml:space="preserve">+998900077930 SMS, 998938092529 SMS, 998978055008 SMS ERI,</t>
        </is>
      </c>
      <c r="G234" s="109" t="inlineStr">
        <is>
          <t xml:space="preserve">НАҚҚОШЛИК МФЙ, НАККОШЛИК КЎЧАСИ,  uy:20 xonadon:81</t>
        </is>
      </c>
      <c r="H234" s="110">
        <v>3.0</v>
      </c>
      <c r="I234" s="110">
        <v>2550155.05</v>
      </c>
      <c r="K234" s="109" t="inlineStr">
        <is>
          <t xml:space="preserve">968 | 22000000 | 2114991.57 | telefoni o'chirilgan sms yozvordim</t>
        </is>
      </c>
    </row>
    <row r="235">
      <c r="A235" s="109" t="inlineStr">
        <is>
          <t xml:space="preserve">ТОШКЕНТ ШАХРИ</t>
        </is>
      </c>
      <c r="B235" s="109" t="inlineStr">
        <is>
          <t xml:space="preserve">SUPER BRANCH</t>
        </is>
      </c>
      <c r="C235" s="109" t="inlineStr">
        <is>
          <t xml:space="preserve">Ko'tarmadi</t>
        </is>
      </c>
      <c r="D235" s="109" t="inlineStr">
        <is>
          <t xml:space="preserve">Кр-99035605-1</t>
        </is>
      </c>
      <c r="E235" s="109" t="inlineStr">
        <is>
          <t xml:space="preserve">MINGISHEV SARDOR OSTONOVICH</t>
        </is>
      </c>
      <c r="F235" s="109" t="inlineStr">
        <is>
          <t xml:space="preserve">998901127364 SMS OZI, 999311273642 SMS OZI, 998999759777 SMS ISHXONA, 998505747364 SMS QIZI, 998903280305 SMS onasi,</t>
        </is>
      </c>
      <c r="G235" s="109" t="inlineStr">
        <is>
          <t xml:space="preserve">TOSHKENT SHAHAR OLMAZOR TUMANI SHIFOKOR KO’CHAI 2G-UY</t>
        </is>
      </c>
      <c r="H235" s="110">
        <v>73.0</v>
      </c>
      <c r="I235" s="110">
        <v>2408096.52</v>
      </c>
    </row>
    <row r="236">
      <c r="A236" s="109" t="inlineStr">
        <is>
          <t xml:space="preserve">ТОШКЕНТ ШАХРИ</t>
        </is>
      </c>
      <c r="B236" s="109" t="inlineStr">
        <is>
          <t xml:space="preserve">SUPER BRANCH</t>
        </is>
      </c>
      <c r="C236" s="109" t="inlineStr">
        <is>
          <t xml:space="preserve">Ko'tarmadi</t>
        </is>
      </c>
      <c r="D236" s="109" t="inlineStr">
        <is>
          <t xml:space="preserve">Кр-99036695-2</t>
        </is>
      </c>
      <c r="E236" s="109" t="inlineStr">
        <is>
          <t xml:space="preserve">JUMATOV SHAHZOD MANSURBEK O’G’LI</t>
        </is>
      </c>
      <c r="F236" s="109" t="inlineStr">
        <is>
          <t xml:space="preserve">998973642620 SMS OZI, 998900241912 SMS OZI, 998997510619 SMS AYOLI, 998885150870 SMS UKASI, +998973642620 Primary phone from road24,</t>
        </is>
      </c>
      <c r="G236" s="109" t="inlineStr">
        <is>
          <t xml:space="preserve">г. Ташкент, Янгихаётский район, ул. Узар, Янги Чоштепа МСГ, 14- Дом, 38- Квартира</t>
        </is>
      </c>
      <c r="H236" s="110">
        <v>3.0</v>
      </c>
      <c r="I236" s="110">
        <v>1860566.87</v>
      </c>
      <c r="K236" s="109" t="inlineStr">
        <is>
          <t xml:space="preserve">ochiq</t>
        </is>
      </c>
    </row>
    <row r="237">
      <c r="A237" s="109" t="inlineStr">
        <is>
          <t xml:space="preserve">ТОШКЕНТ ШАХРИ</t>
        </is>
      </c>
      <c r="B237" s="109" t="inlineStr">
        <is>
          <t xml:space="preserve">SUPER BRANCH</t>
        </is>
      </c>
      <c r="C237" s="109" t="inlineStr">
        <is>
          <t xml:space="preserve">Ko'tarmadi</t>
        </is>
      </c>
      <c r="D237" s="109" t="inlineStr">
        <is>
          <t xml:space="preserve">Кр-99019234-3</t>
        </is>
      </c>
      <c r="E237" s="109" t="inlineStr">
        <is>
          <t xml:space="preserve">QULAHMATOV ASATILLA FATXULLA O’G’LI</t>
        </is>
      </c>
      <c r="F237" s="109" t="inlineStr">
        <is>
          <t xml:space="preserve">93-005-00-11 SMS  UZI, 998935489499 SMS AKASI, 998946622226 SMS AKASI 2,</t>
        </is>
      </c>
      <c r="G237" s="109" t="inlineStr">
        <is>
          <t xml:space="preserve">TOSHKENT SHAHAR OLMAZOR TUMANI A-SHOSHIY KOCHASI 53-UY</t>
        </is>
      </c>
      <c r="H237" s="110">
        <v>3.0</v>
      </c>
      <c r="I237" s="110">
        <v>1839787.23</v>
      </c>
    </row>
    <row r="238">
      <c r="A238" s="109" t="inlineStr">
        <is>
          <t xml:space="preserve">ТОШКЕНТ ШАХРИ</t>
        </is>
      </c>
      <c r="B238" s="109" t="inlineStr">
        <is>
          <t xml:space="preserve">SUPER BRANCH</t>
        </is>
      </c>
      <c r="C238" s="109" t="inlineStr">
        <is>
          <t xml:space="preserve">Ko'tarmadi</t>
        </is>
      </c>
      <c r="D238" s="109" t="inlineStr">
        <is>
          <t xml:space="preserve">Кр-99035892-1</t>
        </is>
      </c>
      <c r="E238" s="109" t="inlineStr">
        <is>
          <t xml:space="preserve">IKRAMOV ODIL KOBILOVICH</t>
        </is>
      </c>
      <c r="F238" s="109" t="inlineStr">
        <is>
          <t xml:space="preserve">998909881166 SMS O’ZI, 998973582222 SMS AYOLI, 998091544552 SMS O’ZI 2, 998775500993 SMS DO’STI,</t>
        </is>
      </c>
      <c r="G238" s="109" t="inlineStr">
        <is>
          <t xml:space="preserve">TOSHKENT SHAHRI CHILONZOR TUMANI DILBAND 30-XONADON</t>
        </is>
      </c>
      <c r="I238" s="110">
        <v>1826223.9</v>
      </c>
      <c r="K238" s="109" t="inlineStr">
        <is>
          <t xml:space="preserve">608 | 120000000 | 0 | 10-da to'lov qiladi</t>
        </is>
      </c>
    </row>
    <row r="239">
      <c r="A239" s="109" t="inlineStr">
        <is>
          <t xml:space="preserve">ТОШКЕНТ ШАХРИ</t>
        </is>
      </c>
      <c r="B239" s="109" t="inlineStr">
        <is>
          <t xml:space="preserve">SUPER BRANCH</t>
        </is>
      </c>
      <c r="C239" s="109" t="inlineStr">
        <is>
          <t xml:space="preserve">Ko'tarmadi</t>
        </is>
      </c>
      <c r="D239" s="109" t="inlineStr">
        <is>
          <t xml:space="preserve">Кр-99064512-1</t>
        </is>
      </c>
      <c r="E239" s="109" t="inlineStr">
        <is>
          <t xml:space="preserve">MUSAYEV TIMUR ABDUMANNOBOVICH</t>
        </is>
      </c>
      <c r="F239" s="109" t="inlineStr">
        <is>
          <t xml:space="preserve">998880072747 SMS AYOLI, 998946007015 SMS UZI,</t>
        </is>
      </c>
      <c r="G239" s="109" t="inlineStr">
        <is>
          <t xml:space="preserve">г. Ташкент, Мирзо Улугбекский, мас. Ялангач, Шахриобод МСГ, 112- Дом, 8- Квартира</t>
        </is>
      </c>
      <c r="H239" s="110">
        <v>3.0</v>
      </c>
      <c r="I239" s="110">
        <v>1668233.0</v>
      </c>
    </row>
    <row r="240">
      <c r="A240" s="109" t="inlineStr">
        <is>
          <t xml:space="preserve">ТОШКЕНТ ШАХРИ</t>
        </is>
      </c>
      <c r="B240" s="109" t="inlineStr">
        <is>
          <t xml:space="preserve">SUPER BRANCH</t>
        </is>
      </c>
      <c r="C240" s="109" t="inlineStr">
        <is>
          <t xml:space="preserve">Ko'tarmadi</t>
        </is>
      </c>
      <c r="D240" s="109" t="inlineStr">
        <is>
          <t xml:space="preserve">Кр-99027782-3</t>
        </is>
      </c>
      <c r="E240" s="109" t="inlineStr">
        <is>
          <t xml:space="preserve">RINATOV XUSAN DAVRON O’G’LI</t>
        </is>
      </c>
      <c r="F240" s="109" t="inlineStr">
        <is>
          <t xml:space="preserve">998909022883 Ozi, 998337022882 Ozi 2, 998983083773 Zalogadatel, 998953993773 Zalogadatel, 998909022883 Ozi, 998953663773 Tolovchi, 998983083773 Tolochi, 998990172164 Tolovchi,</t>
        </is>
      </c>
      <c r="G240" s="109" t="inlineStr">
        <is>
          <t xml:space="preserve">УТКУР МФЙ, У.НОСИР КЎЧАСИ,  uy:14</t>
        </is>
      </c>
      <c r="H240" s="110">
        <v>3.0</v>
      </c>
      <c r="I240" s="110">
        <v>1643867.39</v>
      </c>
      <c r="K240" s="109" t="inlineStr">
        <is>
          <t xml:space="preserve">245 | 25000000 | 757575.72 | nomeri o'chirilgan sms yozvordim</t>
        </is>
      </c>
    </row>
    <row r="241">
      <c r="A241" s="109" t="inlineStr">
        <is>
          <t xml:space="preserve">ТОШКЕНТ ШАХРИ</t>
        </is>
      </c>
      <c r="B241" s="109" t="inlineStr">
        <is>
          <t xml:space="preserve">SUPER BRANCH</t>
        </is>
      </c>
      <c r="C241" s="109" t="inlineStr">
        <is>
          <t xml:space="preserve">Ko'tarmadi</t>
        </is>
      </c>
      <c r="D241" s="109" t="inlineStr">
        <is>
          <t xml:space="preserve">Кр-99033483-2</t>
        </is>
      </c>
      <c r="E241" s="109" t="inlineStr">
        <is>
          <t xml:space="preserve">SIDDIQOVA ZILOLA KABULOVNA</t>
        </is>
      </c>
      <c r="F241" s="109" t="inlineStr">
        <is>
          <t xml:space="preserve">998998394681 SMS O’ZI, 998990704682 SMS QIZI, 998907746834 SMS QIZI 2, 998946125858 SMS HAMAKSBI,</t>
        </is>
      </c>
      <c r="G241" s="109" t="inlineStr">
        <is>
          <t xml:space="preserve">г. Ташкент, Янгихаётский район, ул. Узар, Янги Чоштепа МСГ, 33- Дом, 22- Квартира</t>
        </is>
      </c>
      <c r="H241" s="110">
        <v>3.0</v>
      </c>
      <c r="I241" s="110">
        <v>1339916.73</v>
      </c>
    </row>
    <row r="242">
      <c r="A242" s="109" t="inlineStr">
        <is>
          <t xml:space="preserve">ТОШКЕНТ ШАХРИ</t>
        </is>
      </c>
      <c r="B242" s="109" t="inlineStr">
        <is>
          <t xml:space="preserve">SUPER BRANCH</t>
        </is>
      </c>
      <c r="C242" s="109" t="inlineStr">
        <is>
          <t xml:space="preserve">Ko'tarmadi</t>
        </is>
      </c>
      <c r="D242" s="109" t="inlineStr">
        <is>
          <t xml:space="preserve">Кр-99039289-3</t>
        </is>
      </c>
      <c r="E242" s="109" t="inlineStr">
        <is>
          <t xml:space="preserve">MELIBOYEV ILXOMJON TUXTAMURAD O‘G‘LI</t>
        </is>
      </c>
      <c r="F242" s="109" t="inlineStr">
        <is>
          <t xml:space="preserve">+998977327476 SMS O’ZI, 998909559323 SMS AYOLI, 998958602050 SMS O’ZI 2, 998977327476 Primary phone from road24,</t>
        </is>
      </c>
      <c r="G242" s="109" t="inlineStr">
        <is>
          <t xml:space="preserve">Юсуф Саккокий МФЙ, Мирхунд, проезд 8 кучаси, 1а-уй</t>
        </is>
      </c>
      <c r="H242" s="110">
        <v>1.0</v>
      </c>
      <c r="I242" s="110">
        <v>1286507.79</v>
      </c>
      <c r="K242" s="109" t="inlineStr">
        <is>
          <t xml:space="preserve">811 | 15000000 | 1004391.1 | 15 da to'liman dedi</t>
        </is>
      </c>
    </row>
    <row r="243">
      <c r="A243" s="109" t="inlineStr">
        <is>
          <t xml:space="preserve">ТОШКЕНТ ШАХРИ</t>
        </is>
      </c>
      <c r="B243" s="109" t="inlineStr">
        <is>
          <t xml:space="preserve">SUPER BRANCH</t>
        </is>
      </c>
      <c r="C243" s="109" t="inlineStr">
        <is>
          <t xml:space="preserve">Ko'tarmadi</t>
        </is>
      </c>
      <c r="D243" s="109" t="inlineStr">
        <is>
          <t xml:space="preserve">Кр-99035015-2</t>
        </is>
      </c>
      <c r="E243" s="109" t="inlineStr">
        <is>
          <t xml:space="preserve">JO’RABOYEV SARDOR YO’LDOSH O’G’LI</t>
        </is>
      </c>
      <c r="F243" s="109" t="inlineStr">
        <is>
          <t xml:space="preserve">998971016091 SMS O’ZI, 998935953627 SMS ONASI, 998993164931 SMS AYOLI,</t>
        </is>
      </c>
      <c r="G243" s="109" t="inlineStr">
        <is>
          <t xml:space="preserve">ЯНГИ ДАВР МФЙ, ОҚ-ДАРЁ, 1 БЕРК КЎЧАСИ,  uy:12 А</t>
        </is>
      </c>
      <c r="H243" s="110">
        <v>3.0</v>
      </c>
      <c r="I243" s="110">
        <v>852930.14</v>
      </c>
      <c r="K243" s="109" t="inlineStr">
        <is>
          <t xml:space="preserve">o'ziga sms yozvordim</t>
        </is>
      </c>
    </row>
    <row r="244">
      <c r="A244" s="109" t="inlineStr">
        <is>
          <t xml:space="preserve">ТОШКЕНТ ШАХРИ</t>
        </is>
      </c>
      <c r="B244" s="109" t="inlineStr">
        <is>
          <t xml:space="preserve">SUPER BRANCH</t>
        </is>
      </c>
      <c r="C244" s="109" t="inlineStr">
        <is>
          <t xml:space="preserve">Ko'tarmadi</t>
        </is>
      </c>
      <c r="D244" s="109" t="inlineStr">
        <is>
          <t xml:space="preserve">Кр-99032797-4</t>
        </is>
      </c>
      <c r="E244" s="109" t="inlineStr">
        <is>
          <t xml:space="preserve">RAJABOYEV MUHAMMAD QUDRAT O’G’LI</t>
        </is>
      </c>
      <c r="F244" s="109" t="inlineStr">
        <is>
          <t xml:space="preserve">998937550700 SMS O’ZI, 998807760112 SMS O’ZI 2, 998485509993 SMS O’ZI 3, 998941190020 SMS AMAKIVACCHASI,</t>
        </is>
      </c>
      <c r="G244" s="109" t="inlineStr">
        <is>
          <t xml:space="preserve">г. Ташкент, Мирзо Улугбекский район, ул. Мирзо Улугбек, Олмачи МСГ, 54- Дом, 54- Квартира</t>
        </is>
      </c>
      <c r="I244" s="110">
        <v>473969.44</v>
      </c>
    </row>
    <row r="245">
      <c r="A245" s="109" t="inlineStr">
        <is>
          <t xml:space="preserve">ТОШКЕНТ ШАХРИ</t>
        </is>
      </c>
      <c r="B245" s="109" t="inlineStr">
        <is>
          <t xml:space="preserve">SUPER BRANCH</t>
        </is>
      </c>
      <c r="C245" s="109" t="inlineStr">
        <is>
          <t xml:space="preserve">Ko'tarmadi</t>
        </is>
      </c>
      <c r="D245" s="109" t="inlineStr">
        <is>
          <t xml:space="preserve">Кр-99062684-3</t>
        </is>
      </c>
      <c r="E245" s="109" t="inlineStr">
        <is>
          <t xml:space="preserve">ARASLANOV AZIZXO’JA YOQUBJON O’G’LI</t>
        </is>
      </c>
      <c r="F245" s="109" t="inlineStr">
        <is>
          <t xml:space="preserve">+998935367357 SMS OZI, 998949817557 SMS OZI 2, 998971601090 SMNS AYOLI,</t>
        </is>
      </c>
      <c r="G245" s="109" t="inlineStr">
        <is>
          <t xml:space="preserve">TOSHKENT SHAHAR MIROBOD TUMANI QO’YLIQ 3 30-UY 21-XONADON</t>
        </is>
      </c>
      <c r="H245" s="110">
        <v>6.0</v>
      </c>
      <c r="I245" s="110">
        <v>217929.0</v>
      </c>
      <c r="K245" s="109" t="inlineStr">
        <is>
          <t xml:space="preserve">yana qlish kerwe summa kichkina</t>
        </is>
      </c>
    </row>
    <row r="246">
      <c r="A246" s="111" t="inlineStr">
        <is>
          <t xml:space="preserve">ФАРГОНА ВИЛОЯТИ</t>
        </is>
      </c>
      <c r="B246" s="111" t="inlineStr">
        <is>
          <t xml:space="preserve">BOSH OFIS</t>
        </is>
      </c>
      <c r="C246" s="111" t="inlineStr">
        <is>
          <t xml:space="preserve">Ko'tarmadi</t>
        </is>
      </c>
      <c r="D246" s="111" t="inlineStr">
        <is>
          <t xml:space="preserve">Кр-99041353-1</t>
        </is>
      </c>
      <c r="E246" s="111" t="inlineStr">
        <is>
          <t xml:space="preserve">MELIQO’ZIYEVNA XURSHIDA MURODOVNA</t>
        </is>
      </c>
      <c r="F246" s="111" t="inlineStr">
        <is>
          <t xml:space="preserve">998940268681 SMS OZI, 998905880464 SMS ERI, 998903606764 SMS UY, 998994027364 SMS OGLI,</t>
        </is>
      </c>
      <c r="G246" s="111" t="inlineStr">
        <is>
          <t xml:space="preserve">FARG’ONA VILOYATI DANG’ARA TUMANI QORA MULLA MFY QO’SHCHINOR KO’CHASI 22-XONADON</t>
        </is>
      </c>
      <c r="H246" s="112">
        <v>3.0</v>
      </c>
      <c r="I246" s="112">
        <v>1967173.56</v>
      </c>
      <c r="K246" s="111" t="inlineStr">
        <is>
          <t xml:space="preserve">1150</t>
        </is>
      </c>
    </row>
    <row r="247">
      <c r="A247" s="111" t="inlineStr">
        <is>
          <t xml:space="preserve">ФАРГОНА ВИЛОЯТИ</t>
        </is>
      </c>
      <c r="B247" s="111" t="inlineStr">
        <is>
          <t xml:space="preserve">BOSH OFIS</t>
        </is>
      </c>
      <c r="C247" s="111" t="inlineStr">
        <is>
          <t xml:space="preserve">Ko'tarmadi</t>
        </is>
      </c>
      <c r="D247" s="111" t="inlineStr">
        <is>
          <t xml:space="preserve">Кр-99041419-1</t>
        </is>
      </c>
      <c r="E247" s="111" t="inlineStr">
        <is>
          <t xml:space="preserve">MAMAJONOV BOBURBEK SHUXRATBEK O’G’LI</t>
        </is>
      </c>
      <c r="F247" s="111" t="inlineStr">
        <is>
          <t xml:space="preserve">998932609990 SMS OZI, 998933476600 SMS UKASI, 998934070322 SMS AYOLI, 998944655656 SMS DADASI,</t>
        </is>
      </c>
      <c r="G247" s="111" t="inlineStr">
        <is>
          <t xml:space="preserve">FARG’ONA VILOYATI FARG’ONA SHAHAR ABDURAXMON JOMIY MFY A.JOMIY KO’CHASI 23-UY 6-XONADON</t>
        </is>
      </c>
      <c r="H247" s="112">
        <v>3.0</v>
      </c>
      <c r="I247" s="112">
        <v>1581167.56</v>
      </c>
      <c r="K247" s="111" t="inlineStr">
        <is>
          <t xml:space="preserve">1163</t>
        </is>
      </c>
    </row>
    <row r="248">
      <c r="A248" s="113" t="inlineStr">
        <is>
          <t xml:space="preserve">ФАРГОНА ВИЛОЯТИ</t>
        </is>
      </c>
      <c r="B248" s="113" t="inlineStr">
        <is>
          <t xml:space="preserve">SUPER BRANCH</t>
        </is>
      </c>
      <c r="C248" s="113" t="inlineStr">
        <is>
          <t xml:space="preserve">Ko'tarmadi</t>
        </is>
      </c>
      <c r="D248" s="113" t="inlineStr">
        <is>
          <t xml:space="preserve">Кр-99039882-1</t>
        </is>
      </c>
      <c r="E248" s="113" t="inlineStr">
        <is>
          <t xml:space="preserve">AYMATOV SARDORBEK IQBOL O’G’LI</t>
        </is>
      </c>
      <c r="F248" s="113" t="inlineStr">
        <is>
          <t xml:space="preserve">998904050044 SMS OZI, 998972677557 SMS UKASI, 998902324418 SMS AKASI,</t>
        </is>
      </c>
      <c r="G248" s="113" t="inlineStr">
        <is>
          <t xml:space="preserve">FARG’ONA VILOYATI FARG’ONA SHAHAR AL-XORAZMIY MFY JOMIY KO’CHASI 5-A UY 12-XONADON</t>
        </is>
      </c>
      <c r="H248" s="114">
        <v>276.0</v>
      </c>
      <c r="I248" s="114">
        <v>54597466.81</v>
      </c>
      <c r="K248" s="113" t="inlineStr">
        <is>
          <t xml:space="preserve">904</t>
        </is>
      </c>
    </row>
    <row r="249">
      <c r="A249" s="113" t="inlineStr">
        <is>
          <t xml:space="preserve">ФАРГОНА ВИЛОЯТИ</t>
        </is>
      </c>
      <c r="B249" s="113" t="inlineStr">
        <is>
          <t xml:space="preserve">SUPER BRANCH</t>
        </is>
      </c>
      <c r="C249" s="113" t="inlineStr">
        <is>
          <t xml:space="preserve">Ko'tarmadi</t>
        </is>
      </c>
      <c r="D249" s="113" t="inlineStr">
        <is>
          <t xml:space="preserve">Кр-99035879-1</t>
        </is>
      </c>
      <c r="E249" s="113" t="inlineStr">
        <is>
          <t xml:space="preserve">OBIYEVA MOHIRA ANVARJON QIZI</t>
        </is>
      </c>
      <c r="F249" s="113" t="inlineStr">
        <is>
          <t xml:space="preserve">998911571991 SMS O’ZI, 998954059090 SMS ERI begana, 998900731111 SMS OPASI begana, 998911053107 SMS OPASI 2, 998906729797 SMS UKASI ,</t>
        </is>
      </c>
      <c r="G249" s="113" t="inlineStr">
        <is>
          <t xml:space="preserve">FARG’ONA VILOYATI RISHTON TUMANI ZOXIDON MFY GULUSTON KO’CHASI</t>
        </is>
      </c>
      <c r="H249" s="114">
        <v>122.0</v>
      </c>
      <c r="I249" s="114">
        <v>24903790.15</v>
      </c>
      <c r="K249" s="113" t="inlineStr">
        <is>
          <t xml:space="preserve">625</t>
        </is>
      </c>
    </row>
    <row r="250">
      <c r="A250" s="113" t="inlineStr">
        <is>
          <t xml:space="preserve">ФАРГОНА ВИЛОЯТИ</t>
        </is>
      </c>
      <c r="B250" s="113" t="inlineStr">
        <is>
          <t xml:space="preserve">SUPER BRANCH</t>
        </is>
      </c>
      <c r="C250" s="113" t="inlineStr">
        <is>
          <t xml:space="preserve">Ko'tarmadi</t>
        </is>
      </c>
      <c r="D250" s="113" t="inlineStr">
        <is>
          <t xml:space="preserve">Кр-99039855-1</t>
        </is>
      </c>
      <c r="E250" s="113" t="inlineStr">
        <is>
          <t xml:space="preserve">KODIROV XAKIMJON GANIYEVICH</t>
        </is>
      </c>
      <c r="F250" s="113" t="inlineStr">
        <is>
          <t xml:space="preserve">998972055545 SMS OZI, 998558124895 SMS UY, 998912714555 SMS OGLI, 998975975545 SMS AYOLI,</t>
        </is>
      </c>
      <c r="G250" s="113" t="inlineStr">
        <is>
          <t xml:space="preserve">FARG’ONA VILOYATI FARG’ONA SHAHAR OQARIQOBOD MFY OQARIQOBOD KO’CHASI 10-XONADON</t>
        </is>
      </c>
      <c r="H250" s="114">
        <v>3.0</v>
      </c>
      <c r="I250" s="114">
        <v>6709347.63</v>
      </c>
      <c r="K250" s="113" t="inlineStr">
        <is>
          <t xml:space="preserve">903</t>
        </is>
      </c>
    </row>
    <row r="251">
      <c r="A251" s="113" t="inlineStr">
        <is>
          <t xml:space="preserve">ФАРГОНА ВИЛОЯТИ</t>
        </is>
      </c>
      <c r="B251" s="113" t="inlineStr">
        <is>
          <t xml:space="preserve">SUPER BRANCH</t>
        </is>
      </c>
      <c r="C251" s="113" t="inlineStr">
        <is>
          <t xml:space="preserve">Ko'tarmadi</t>
        </is>
      </c>
      <c r="D251" s="113" t="inlineStr">
        <is>
          <t xml:space="preserve">Кр-99040136-1</t>
        </is>
      </c>
      <c r="E251" s="113" t="inlineStr">
        <is>
          <t xml:space="preserve">MUXTARALIYEV ISRAIL ISMAILOVICH</t>
        </is>
      </c>
      <c r="F251" s="113" t="inlineStr">
        <is>
          <t xml:space="preserve">998505516167 SMS OZI, 998916565115 SMS OGLI 2, 998912062645 SMS AYOLI, 998903035115 SMS KELINI,</t>
        </is>
      </c>
      <c r="G251" s="113" t="inlineStr">
        <is>
          <t xml:space="preserve">FARG’ONA VILOYATI FARG’ONA SHAHAR MUSTAQILLIK MFY BELOVA KO’CHASI 103-UY</t>
        </is>
      </c>
      <c r="H251" s="114">
        <v>3.0</v>
      </c>
      <c r="I251" s="114">
        <v>5256774.41</v>
      </c>
      <c r="K251" s="113" t="inlineStr">
        <is>
          <t xml:space="preserve">959</t>
        </is>
      </c>
    </row>
    <row r="252">
      <c r="A252" s="113" t="inlineStr">
        <is>
          <t xml:space="preserve">ФАРГОНА ВИЛОЯТИ</t>
        </is>
      </c>
      <c r="B252" s="113" t="inlineStr">
        <is>
          <t xml:space="preserve">SUPER BRANCH</t>
        </is>
      </c>
      <c r="C252" s="113" t="inlineStr">
        <is>
          <t xml:space="preserve">Ko'tarmadi</t>
        </is>
      </c>
      <c r="D252" s="113" t="inlineStr">
        <is>
          <t xml:space="preserve">Кр-99058143-1</t>
        </is>
      </c>
      <c r="E252" s="113" t="inlineStr">
        <is>
          <t xml:space="preserve">TURSUNBOYEV XUSNIDIN BAXROMJON O’G’LI</t>
        </is>
      </c>
      <c r="F252" s="113" t="inlineStr">
        <is>
          <t xml:space="preserve">998930455959 SMS OZI, 998948859848 SMS ZALOGATEL, 998903001157 SMS QAYNIOTASI, 998931979211 SMS AYOLI,</t>
        </is>
      </c>
      <c r="G252" s="113" t="inlineStr">
        <is>
          <t xml:space="preserve">FARG’ONA VILOYATI QUVA TUMANI PASKI XUJAXASAN MFY BOY QURG’ON 112-XONADON</t>
        </is>
      </c>
      <c r="H252" s="114">
        <v>3.0</v>
      </c>
      <c r="I252" s="114">
        <v>4308351.56</v>
      </c>
      <c r="K252" s="113" t="inlineStr">
        <is>
          <t xml:space="preserve">1676</t>
        </is>
      </c>
    </row>
    <row r="253">
      <c r="A253" s="113" t="inlineStr">
        <is>
          <t xml:space="preserve">ФАРГОНА ВИЛОЯТИ</t>
        </is>
      </c>
      <c r="B253" s="113" t="inlineStr">
        <is>
          <t xml:space="preserve">SUPER BRANCH</t>
        </is>
      </c>
      <c r="C253" s="113" t="inlineStr">
        <is>
          <t xml:space="preserve">Ko'tarmadi</t>
        </is>
      </c>
      <c r="D253" s="113" t="inlineStr">
        <is>
          <t xml:space="preserve">Кр-99053626-3</t>
        </is>
      </c>
      <c r="E253" s="113" t="inlineStr">
        <is>
          <t xml:space="preserve">MAXMUDOV KAMOLIDDIN FAXRIDDIN O‘G‘LI</t>
        </is>
      </c>
      <c r="F253" s="113" t="inlineStr">
        <is>
          <t xml:space="preserve">+998998492567 Primary phone from road24, 998998492567 Primary phone from road24,</t>
        </is>
      </c>
      <c r="G253" s="113" t="inlineStr">
        <is>
          <t xml:space="preserve">FARG’ONA VILOYATI FARG’ONA  SHAHRI  BESHBOLA MFY  QUMARIQ 11 A-UY</t>
        </is>
      </c>
      <c r="H253" s="114">
        <v>3.0</v>
      </c>
      <c r="I253" s="114">
        <v>4150446.05</v>
      </c>
      <c r="K253" s="113" t="inlineStr">
        <is>
          <t xml:space="preserve">1539</t>
        </is>
      </c>
    </row>
    <row r="254">
      <c r="A254" s="113" t="inlineStr">
        <is>
          <t xml:space="preserve">ФАРГОНА ВИЛОЯТИ</t>
        </is>
      </c>
      <c r="B254" s="113" t="inlineStr">
        <is>
          <t xml:space="preserve">SUPER BRANCH</t>
        </is>
      </c>
      <c r="C254" s="113" t="inlineStr">
        <is>
          <t xml:space="preserve">Ko'tarmadi</t>
        </is>
      </c>
      <c r="D254" s="113" t="inlineStr">
        <is>
          <t xml:space="preserve">Кр-99040262-1</t>
        </is>
      </c>
      <c r="E254" s="113" t="inlineStr">
        <is>
          <t xml:space="preserve">XIDIROVA SAYYORA BAXTIYOR QIZI</t>
        </is>
      </c>
      <c r="F254" s="113" t="inlineStr">
        <is>
          <t xml:space="preserve">998937817081 SMS OZI, 998908405392 SMS UKASI BEGONA, 998972675572 SMS UKASI,</t>
        </is>
      </c>
      <c r="G254" s="113" t="inlineStr">
        <is>
          <t xml:space="preserve">FARG’ONA VILOYATI FARG’ONA SHAHAR MEXRIBONLIK MFY YANGI ASR KO’CHASI 23-UY 54-XONADON</t>
        </is>
      </c>
      <c r="H254" s="114">
        <v>3.0</v>
      </c>
      <c r="I254" s="114">
        <v>3562056.2</v>
      </c>
      <c r="K254" s="113" t="inlineStr">
        <is>
          <t xml:space="preserve">984</t>
        </is>
      </c>
    </row>
    <row r="255">
      <c r="A255" s="113" t="inlineStr">
        <is>
          <t xml:space="preserve">ФАРГОНА ВИЛОЯТИ</t>
        </is>
      </c>
      <c r="B255" s="113" t="inlineStr">
        <is>
          <t xml:space="preserve">SUPER BRANCH</t>
        </is>
      </c>
      <c r="C255" s="113" t="inlineStr">
        <is>
          <t xml:space="preserve">Ko'tarmadi</t>
        </is>
      </c>
      <c r="D255" s="113" t="inlineStr">
        <is>
          <t xml:space="preserve">Кр-99047155-1</t>
        </is>
      </c>
      <c r="E255" s="113" t="inlineStr">
        <is>
          <t xml:space="preserve">TURG’UNOVA MUXTASAR NABIJONOVNA</t>
        </is>
      </c>
      <c r="F255" s="113" t="inlineStr">
        <is>
          <t xml:space="preserve">998908406525 SMS O’ZI, 998331241998 SMS JIYANI, 998907805252 SMS JIYANI TOLOVCHI SHUNGA QILINSIN , 998903696221 O’G’LI,</t>
        </is>
      </c>
      <c r="G255" s="113" t="inlineStr">
        <is>
          <t xml:space="preserve">FARG’ONA SHAHAR</t>
        </is>
      </c>
      <c r="H255" s="114">
        <v>3.0</v>
      </c>
      <c r="I255" s="114">
        <v>3328118.79</v>
      </c>
      <c r="K255" s="113" t="inlineStr">
        <is>
          <t xml:space="preserve">1371</t>
        </is>
      </c>
    </row>
    <row r="256">
      <c r="A256" s="113" t="inlineStr">
        <is>
          <t xml:space="preserve">ФАРГОНА ВИЛОЯТИ</t>
        </is>
      </c>
      <c r="B256" s="113" t="inlineStr">
        <is>
          <t xml:space="preserve">SUPER BRANCH</t>
        </is>
      </c>
      <c r="C256" s="113" t="inlineStr">
        <is>
          <t xml:space="preserve">Ko'tarmadi</t>
        </is>
      </c>
      <c r="D256" s="113" t="inlineStr">
        <is>
          <t xml:space="preserve">Кр-99053626-2</t>
        </is>
      </c>
      <c r="E256" s="113" t="inlineStr">
        <is>
          <t xml:space="preserve">MAXMUDOV KAMOLIDDIN FAXRIDDIN O‘G‘LI</t>
        </is>
      </c>
      <c r="F256" s="113" t="inlineStr">
        <is>
          <t xml:space="preserve">+998998492567 Primary phone from road24, 998998492567 Primary phone from road24,</t>
        </is>
      </c>
      <c r="G256" s="113" t="inlineStr">
        <is>
          <t xml:space="preserve">FARG’ONA VILOYATI FARG’ONA  SHAHRI  BESHBOLA MFY  QUMARIQ 11 A-UY</t>
        </is>
      </c>
      <c r="H256" s="114">
        <v>3.0</v>
      </c>
      <c r="I256" s="114">
        <v>3318217.7</v>
      </c>
      <c r="K256" s="113" t="inlineStr">
        <is>
          <t xml:space="preserve">1538</t>
        </is>
      </c>
    </row>
    <row r="257">
      <c r="A257" s="113" t="inlineStr">
        <is>
          <t xml:space="preserve">ФАРГОНА ВИЛОЯТИ</t>
        </is>
      </c>
      <c r="B257" s="113" t="inlineStr">
        <is>
          <t xml:space="preserve">SUPER BRANCH</t>
        </is>
      </c>
      <c r="C257" s="113" t="inlineStr">
        <is>
          <t xml:space="preserve">Ko'tarmadi</t>
        </is>
      </c>
      <c r="D257" s="113" t="inlineStr">
        <is>
          <t xml:space="preserve">Кр-99020765-5</t>
        </is>
      </c>
      <c r="E257" s="113" t="inlineStr">
        <is>
          <t xml:space="preserve">TURG‘UNOV BOBURJON KAYUMJON O‘G‘LI</t>
        </is>
      </c>
      <c r="F257" s="113" t="inlineStr">
        <is>
          <t xml:space="preserve">99-009-22-34 SMS , 88-205-55-07 SMS BOSHLIG'I ( UQUV MARKAZ), 91-661-10-81 SMS UKASI, 91-665-33-38  SMS ONASI, +998773155665 Primary phone from road24, 998773155665 Primary phone from road24,</t>
        </is>
      </c>
      <c r="G257" s="113" t="inlineStr">
        <is>
          <t xml:space="preserve">46-ОКАРИК МФЙ, ТАРОВАТ(ГУЛИСТОН) КЎЧАСИ,  uy:53</t>
        </is>
      </c>
      <c r="H257" s="114">
        <v>6.0</v>
      </c>
      <c r="I257" s="114">
        <v>2971735.32</v>
      </c>
      <c r="K257" s="113" t="inlineStr">
        <is>
          <t xml:space="preserve">124</t>
        </is>
      </c>
    </row>
    <row r="258">
      <c r="A258" s="113" t="inlineStr">
        <is>
          <t xml:space="preserve">ФАРГОНА ВИЛОЯТИ</t>
        </is>
      </c>
      <c r="B258" s="113" t="inlineStr">
        <is>
          <t xml:space="preserve">SUPER BRANCH</t>
        </is>
      </c>
      <c r="C258" s="113" t="inlineStr">
        <is>
          <t xml:space="preserve">Ko'tarmadi</t>
        </is>
      </c>
      <c r="D258" s="113" t="inlineStr">
        <is>
          <t xml:space="preserve">Кр-99030819-2</t>
        </is>
      </c>
      <c r="E258" s="113" t="inlineStr">
        <is>
          <t xml:space="preserve">OLIMJONOV XURSHID AKRAMJON O’G’LI</t>
        </is>
      </c>
      <c r="F258" s="113" t="inlineStr">
        <is>
          <t xml:space="preserve">91-043-83-83  SMS O’ZI TO'LOVCHI , 90-363-00-13  SMS ONASI , 91-125-57-17  SMS UKASI , 90-632-77-00  SMS O’RTOG’I  , 998907792327 OZI NEW XOTINI,</t>
        </is>
      </c>
      <c r="G258" s="113" t="inlineStr">
        <is>
          <t xml:space="preserve">FARG’ONA VILOYATI FARG’ONA SHAHAR BERUNIY MFY, KIRGULI KO’CHASI 32-UY 1-XONADON </t>
        </is>
      </c>
      <c r="H258" s="114">
        <v>2.0</v>
      </c>
      <c r="I258" s="114">
        <v>2562925.45</v>
      </c>
      <c r="K258" s="113" t="inlineStr">
        <is>
          <t xml:space="preserve">364</t>
        </is>
      </c>
    </row>
    <row r="259">
      <c r="A259" s="113" t="inlineStr">
        <is>
          <t xml:space="preserve">ФАРГОНА ВИЛОЯТИ</t>
        </is>
      </c>
      <c r="B259" s="113" t="inlineStr">
        <is>
          <t xml:space="preserve">SUPER BRANCH</t>
        </is>
      </c>
      <c r="C259" s="113" t="inlineStr">
        <is>
          <t xml:space="preserve">Ko'tarmadi</t>
        </is>
      </c>
      <c r="D259" s="113" t="inlineStr">
        <is>
          <t xml:space="preserve">Кр-99025845-2</t>
        </is>
      </c>
      <c r="E259" s="113" t="inlineStr">
        <is>
          <t xml:space="preserve">TO’YCHIYEV IKROMJON UMAROVICH</t>
        </is>
      </c>
      <c r="F259" s="113" t="inlineStr">
        <is>
          <t xml:space="preserve">99-796-56-34 SMS , 93-607-41-00 SMS AYOLI, 99-051-29-35 SMS OGLI DILYORBEK, 98-107-07-19 SMS OGLI,</t>
        </is>
      </c>
      <c r="G259" s="113" t="inlineStr">
        <is>
          <t xml:space="preserve">FARG’ONA VILOYATI  BUVAYDA TUMANI SHO'R QISHLOQ</t>
        </is>
      </c>
      <c r="H259" s="114">
        <v>6.0</v>
      </c>
      <c r="I259" s="114">
        <v>2518403.37</v>
      </c>
      <c r="K259" s="113" t="inlineStr">
        <is>
          <t xml:space="preserve">199</t>
        </is>
      </c>
    </row>
    <row r="260">
      <c r="A260" s="113" t="inlineStr">
        <is>
          <t xml:space="preserve">ФАРГОНА ВИЛОЯТИ</t>
        </is>
      </c>
      <c r="B260" s="113" t="inlineStr">
        <is>
          <t xml:space="preserve">SUPER BRANCH</t>
        </is>
      </c>
      <c r="C260" s="113" t="inlineStr">
        <is>
          <t xml:space="preserve">Ko'tarmadi</t>
        </is>
      </c>
      <c r="D260" s="113" t="inlineStr">
        <is>
          <t xml:space="preserve">Кр-99036008-2</t>
        </is>
      </c>
      <c r="E260" s="113" t="inlineStr">
        <is>
          <t xml:space="preserve">DADABOYEV ABDULLOXON MURODIL O’G’LI</t>
        </is>
      </c>
      <c r="F260" s="113" t="inlineStr">
        <is>
          <t xml:space="preserve">998509507660 SMS OZI, 998908070237 SMS AKASI begona, 998916811161 SMS xotini, 998902906576 SMS UKASI begona, 998932100061 UZI BEGONA,</t>
        </is>
      </c>
      <c r="G260" s="113" t="inlineStr">
        <is>
          <t xml:space="preserve">FARG’ONA VILOYATI FARG’ONA SHAHAR BEGLAR 53 MFY OYBARCHIN KO’CHASI 47-XONADON</t>
        </is>
      </c>
      <c r="H260" s="114">
        <v>3.0</v>
      </c>
      <c r="I260" s="114">
        <v>2178329.21</v>
      </c>
      <c r="K260" s="113" t="inlineStr">
        <is>
          <t xml:space="preserve">630</t>
        </is>
      </c>
    </row>
    <row r="261">
      <c r="A261" s="113" t="inlineStr">
        <is>
          <t xml:space="preserve">ФАРГОНА ВИЛОЯТИ</t>
        </is>
      </c>
      <c r="B261" s="113" t="inlineStr">
        <is>
          <t xml:space="preserve">SUPER BRANCH</t>
        </is>
      </c>
      <c r="C261" s="113" t="inlineStr">
        <is>
          <t xml:space="preserve">Ko'tarmadi</t>
        </is>
      </c>
      <c r="D261" s="113" t="inlineStr">
        <is>
          <t xml:space="preserve">Кр-99039376-1</t>
        </is>
      </c>
      <c r="E261" s="113" t="inlineStr">
        <is>
          <t xml:space="preserve">MIRZAYEV DILSHODBEK BAXTIYOROVICH</t>
        </is>
      </c>
      <c r="F261" s="113" t="inlineStr">
        <is>
          <t xml:space="preserve">998507150417 SMS OZI, 998993216045 SMS OZI 2, 998916600164 SMS ONASI,</t>
        </is>
      </c>
      <c r="G261" s="113" t="inlineStr">
        <is>
          <t xml:space="preserve">FARG’ONA VILOYATI FARG’ONA SHAHAR OQ ARIQ MFY QO’TLUQ KO’CHASI 5-XONADON</t>
        </is>
      </c>
      <c r="H261" s="114">
        <v>2.0</v>
      </c>
      <c r="I261" s="114">
        <v>1240851.62</v>
      </c>
      <c r="K261" s="113" t="inlineStr">
        <is>
          <t xml:space="preserve">853</t>
        </is>
      </c>
    </row>
    <row r="262">
      <c r="A262" s="115" t="inlineStr">
        <is>
          <t xml:space="preserve">ФАРГОНА ВИЛОЯТИ</t>
        </is>
      </c>
      <c r="B262" s="115" t="inlineStr">
        <is>
          <t xml:space="preserve">Андижон филиали</t>
        </is>
      </c>
      <c r="C262" s="115" t="inlineStr">
        <is>
          <t xml:space="preserve">Ko'tarmadi</t>
        </is>
      </c>
      <c r="D262" s="115" t="inlineStr">
        <is>
          <t xml:space="preserve">Кр-99041228-2</t>
        </is>
      </c>
      <c r="E262" s="115" t="inlineStr">
        <is>
          <t xml:space="preserve">SOLIJONOV OZODBEK YOQUBJON O’G’LI</t>
        </is>
      </c>
      <c r="F262" s="115" t="inlineStr">
        <is>
          <t xml:space="preserve">+998940300809 SMS O’ZI, 998888391910 SMS UKASI, 998907713585 SMS DO’STI, 998932141910 SMS DO’STI,</t>
        </is>
      </c>
      <c r="G262" s="115" t="inlineStr">
        <is>
          <t xml:space="preserve">ЖАРҚЎРҒОН МФЙ, ЭСКИАРАБ КЎЧАСИ,  uy:40\1</t>
        </is>
      </c>
      <c r="H262" s="116">
        <v>3.0</v>
      </c>
      <c r="I262" s="116">
        <v>1361513.0</v>
      </c>
      <c r="K262" s="115" t="inlineStr">
        <is>
          <t xml:space="preserve">1132</t>
        </is>
      </c>
    </row>
    <row r="263">
      <c r="A263" s="117" t="inlineStr">
        <is>
          <t xml:space="preserve">ФАРГОНА ВИЛОЯТИ</t>
        </is>
      </c>
      <c r="B263" s="117" t="inlineStr">
        <is>
          <t xml:space="preserve">Фарғона филиали</t>
        </is>
      </c>
      <c r="C263" s="117" t="inlineStr">
        <is>
          <t xml:space="preserve">Ko'tarmadi</t>
        </is>
      </c>
      <c r="D263" s="117" t="inlineStr">
        <is>
          <t xml:space="preserve">Кр-99040124-3</t>
        </is>
      </c>
      <c r="E263" s="117" t="inlineStr">
        <is>
          <t xml:space="preserve">MUXAMMADJONOV MUXAMMADALI XXX</t>
        </is>
      </c>
      <c r="F263" s="117" t="inlineStr">
        <is>
          <t xml:space="preserve">998919937777 SMS OZI, 998911381309 SMS UY, 998911381673 SMS AKASI, 998945581001 SMS UKASI,</t>
        </is>
      </c>
      <c r="G263" s="117" t="inlineStr">
        <is>
          <t xml:space="preserve">FARG’ONA VILOYATI FURQAT TUMANI ESHON MFY FAROG’AT KO’CHASI 69 A UY</t>
        </is>
      </c>
      <c r="H263" s="118">
        <v>64.0</v>
      </c>
      <c r="I263" s="118">
        <v>40399266.4</v>
      </c>
      <c r="K263" s="117" t="inlineStr">
        <is>
          <t xml:space="preserve">952</t>
        </is>
      </c>
    </row>
    <row r="264">
      <c r="A264" s="117" t="inlineStr">
        <is>
          <t xml:space="preserve">ФАРГОНА ВИЛОЯТИ</t>
        </is>
      </c>
      <c r="B264" s="117" t="inlineStr">
        <is>
          <t xml:space="preserve">Фарғона филиали</t>
        </is>
      </c>
      <c r="C264" s="117" t="inlineStr">
        <is>
          <t xml:space="preserve">Ko'tarmadi</t>
        </is>
      </c>
      <c r="D264" s="117" t="inlineStr">
        <is>
          <t xml:space="preserve">Кр-99027530-1</t>
        </is>
      </c>
      <c r="E264" s="117" t="inlineStr">
        <is>
          <t xml:space="preserve">USMONALIYEV ANZORBEK BAXROMJON O’G’LI</t>
        </is>
      </c>
      <c r="F264" s="117" t="inlineStr">
        <is>
          <t xml:space="preserve">94-642-45-95  SMS TOLOVCHI, 93-913-53-54  SMS TOLOVCHI 2, 90-362-70-15  SMS O'ZI, 93-166-22-92  SMS AKASI, 998916924164 Maxala Faoli Toberishka xarakat qivotila ,</t>
        </is>
      </c>
      <c r="G264" s="117" t="inlineStr">
        <is>
          <t xml:space="preserve">FARG’ONA VILOYATI BAG’DOD TUMANI 2-BAG’DOD QISHLOG’I KORNIZAR 1 MFY 40-UY</t>
        </is>
      </c>
      <c r="H264" s="118">
        <v>36.0</v>
      </c>
      <c r="I264" s="118">
        <v>35000000.0</v>
      </c>
      <c r="K264" s="117" t="inlineStr">
        <is>
          <t xml:space="preserve">233</t>
        </is>
      </c>
    </row>
    <row r="265">
      <c r="A265" s="117" t="inlineStr">
        <is>
          <t xml:space="preserve">ФАРГОНА ВИЛОЯТИ</t>
        </is>
      </c>
      <c r="B265" s="117" t="inlineStr">
        <is>
          <t xml:space="preserve">Фарғона филиали</t>
        </is>
      </c>
      <c r="C265" s="117" t="inlineStr">
        <is>
          <t xml:space="preserve">Ko'tarmadi</t>
        </is>
      </c>
      <c r="D265" s="117" t="inlineStr">
        <is>
          <t xml:space="preserve">Кр-99063745-1</t>
        </is>
      </c>
      <c r="E265" s="117" t="inlineStr">
        <is>
          <t xml:space="preserve">MAMAJONOV ABRORALI ISMONALIYEVICH</t>
        </is>
      </c>
      <c r="F265" s="117" t="inlineStr">
        <is>
          <t xml:space="preserve">+998916545553 SMS O’ZI, 998500060585 AYOLI, 998901627111 UY, 998916725335 UKASI,</t>
        </is>
      </c>
      <c r="G265" s="117" t="inlineStr">
        <is>
          <t xml:space="preserve">FARG’ONA VILOYATI OLTIARIQ TUMANI ZILXA MFY LATTAARIQ KO’CHASI 1-UY</t>
        </is>
      </c>
      <c r="H265" s="118">
        <v>3.0</v>
      </c>
      <c r="I265" s="118">
        <v>6674793.45</v>
      </c>
      <c r="K265" s="117" t="inlineStr">
        <is>
          <t xml:space="preserve">2175</t>
        </is>
      </c>
    </row>
    <row r="266">
      <c r="A266" s="117" t="inlineStr">
        <is>
          <t xml:space="preserve">ФАРГОНА ВИЛОЯТИ</t>
        </is>
      </c>
      <c r="B266" s="117" t="inlineStr">
        <is>
          <t xml:space="preserve">Фарғона филиали</t>
        </is>
      </c>
      <c r="C266" s="117" t="inlineStr">
        <is>
          <t xml:space="preserve">Ko'tarmadi</t>
        </is>
      </c>
      <c r="D266" s="117" t="inlineStr">
        <is>
          <t xml:space="preserve">Кр-99064305-2</t>
        </is>
      </c>
      <c r="E266" s="117" t="inlineStr">
        <is>
          <t xml:space="preserve">MUSAYEVA MOXIGUL MAMASOIDOVNA</t>
        </is>
      </c>
      <c r="F266" s="117" t="inlineStr">
        <is>
          <t xml:space="preserve">998903676766 O’G’LI, 998910496766 SMS O’ZI, 998916552297 ERI,</t>
        </is>
      </c>
      <c r="G266" s="117" t="inlineStr">
        <is>
          <t xml:space="preserve">FARG’ONA VILOYATI QUVA TUMANI DEHQONOBOD MFY ZINDONTEPA KO’CHASI 317-UY</t>
        </is>
      </c>
      <c r="H266" s="118">
        <v>3.0</v>
      </c>
      <c r="I266" s="118">
        <v>6297260.0</v>
      </c>
      <c r="K266" s="117" t="inlineStr">
        <is>
          <t xml:space="preserve">2336</t>
        </is>
      </c>
    </row>
    <row r="267">
      <c r="A267" s="117" t="inlineStr">
        <is>
          <t xml:space="preserve">ФАРГОНА ВИЛОЯТИ</t>
        </is>
      </c>
      <c r="B267" s="117" t="inlineStr">
        <is>
          <t xml:space="preserve">Фарғона филиали</t>
        </is>
      </c>
      <c r="C267" s="117" t="inlineStr">
        <is>
          <t xml:space="preserve">Ko'tarmadi</t>
        </is>
      </c>
      <c r="D267" s="117" t="inlineStr">
        <is>
          <t xml:space="preserve">Кр-99064108-5</t>
        </is>
      </c>
      <c r="E267" s="117" t="inlineStr">
        <is>
          <t xml:space="preserve">IZBOSAROV QAXRAMON TURG’UNOVICH</t>
        </is>
      </c>
      <c r="F267" s="117" t="inlineStr">
        <is>
          <t xml:space="preserve">998901632166 SMS OZI 2, 998916938927 SMS O’ZI, 998930512589 O’G’LI,</t>
        </is>
      </c>
      <c r="G267" s="117" t="inlineStr">
        <is>
          <t xml:space="preserve">FARG’ONA VILOYATI BUVAYDA TUMANI TOG’LIQ MFY ULUG’VOR KO’CHASI 16-UY</t>
        </is>
      </c>
      <c r="H267" s="118">
        <v>3.0</v>
      </c>
      <c r="I267" s="118">
        <v>5598323.83</v>
      </c>
      <c r="K267" s="117" t="inlineStr">
        <is>
          <t xml:space="preserve">2288</t>
        </is>
      </c>
    </row>
    <row r="268">
      <c r="A268" s="117" t="inlineStr">
        <is>
          <t xml:space="preserve">ФАРГОНА ВИЛОЯТИ</t>
        </is>
      </c>
      <c r="B268" s="117" t="inlineStr">
        <is>
          <t xml:space="preserve">Фарғона филиали</t>
        </is>
      </c>
      <c r="C268" s="117" t="inlineStr">
        <is>
          <t xml:space="preserve">Ko'tarmadi</t>
        </is>
      </c>
      <c r="D268" s="117" t="inlineStr">
        <is>
          <t xml:space="preserve">Кр-99063860-1</t>
        </is>
      </c>
      <c r="E268" s="117" t="inlineStr">
        <is>
          <t xml:space="preserve">XASANOVA NILUFAR SHAVKATJONOVNA</t>
        </is>
      </c>
      <c r="F268" s="117" t="inlineStr">
        <is>
          <t xml:space="preserve">+998905360658 SMS O’ZI, 998501790503 JIYANI, 998913280172 ERI, 998934194994 O’G’LI,</t>
        </is>
      </c>
      <c r="G268" s="117" t="inlineStr">
        <is>
          <t xml:space="preserve">FARG’ONA VILOYATI FARG’ONA SHAHAR 40-MADADKOR S-ABDULLAYEV MFY 40-MADADKOR A.YASSAVIY 12-B UY 20-XONADON</t>
        </is>
      </c>
      <c r="H268" s="118">
        <v>3.0</v>
      </c>
      <c r="I268" s="118">
        <v>4628240.96</v>
      </c>
      <c r="K268" s="117" t="inlineStr">
        <is>
          <t xml:space="preserve">2213</t>
        </is>
      </c>
    </row>
    <row r="269">
      <c r="A269" s="117" t="inlineStr">
        <is>
          <t xml:space="preserve">ФАРГОНА ВИЛОЯТИ</t>
        </is>
      </c>
      <c r="B269" s="117" t="inlineStr">
        <is>
          <t xml:space="preserve">Фарғона филиали</t>
        </is>
      </c>
      <c r="C269" s="117" t="inlineStr">
        <is>
          <t xml:space="preserve">Ko'tarmadi</t>
        </is>
      </c>
      <c r="D269" s="117" t="inlineStr">
        <is>
          <t xml:space="preserve">Кр-99021043-3</t>
        </is>
      </c>
      <c r="E269" s="117" t="inlineStr">
        <is>
          <t xml:space="preserve">DJUMABAYEVA DILBARXON YIGITALIYEVNA</t>
        </is>
      </c>
      <c r="F269" s="117" t="inlineStr">
        <is>
          <t xml:space="preserve">99-615-34-49 SMS OZI , 99-604-38-93 SMS O'G'LI, 99-993-59-69 SMS O'G'LI 2, 91-119-68-11 SMS ERI , 998932544577 tolovchi ,</t>
        </is>
      </c>
      <c r="G269" s="117" t="inlineStr">
        <is>
          <t xml:space="preserve">FARG’ONA VILOYATI FARG’ONA TUMANI MINDONOBOD MFY O’ZBEKISTON OVOZI 133-XONADON</t>
        </is>
      </c>
      <c r="H269" s="118">
        <v>3.0</v>
      </c>
      <c r="I269" s="118">
        <v>2614023.41</v>
      </c>
      <c r="K269" s="117" t="inlineStr">
        <is>
          <t xml:space="preserve">138</t>
        </is>
      </c>
    </row>
    <row r="270">
      <c r="A270" s="117" t="inlineStr">
        <is>
          <t xml:space="preserve">ФАРГОНА ВИЛОЯТИ</t>
        </is>
      </c>
      <c r="B270" s="117" t="inlineStr">
        <is>
          <t xml:space="preserve">Фарғона филиали</t>
        </is>
      </c>
      <c r="C270" s="117" t="inlineStr">
        <is>
          <t xml:space="preserve">Ko'tarmadi</t>
        </is>
      </c>
      <c r="D270" s="117" t="inlineStr">
        <is>
          <t xml:space="preserve">Кр-99032352-1</t>
        </is>
      </c>
      <c r="E270" s="117" t="inlineStr">
        <is>
          <t xml:space="preserve">SULTANOV DILSHOD ASHURALIYEVICH</t>
        </is>
      </c>
      <c r="F270" s="117" t="inlineStr">
        <is>
          <t xml:space="preserve">998916545700 SMS O’ZI, 998956465701 SMS AYOLI, 998993207090 SMS O’G’LI, 998904070904 SMS JIYANI, 998946300886 SMS  tolovchi new ,</t>
        </is>
      </c>
      <c r="G270" s="117" t="inlineStr">
        <is>
          <t xml:space="preserve">FARG’ONA VIL MARG’ILON SH BO’RXONNIDIN MARG’ILONI MFY B.M KO’CHASI 378-UY</t>
        </is>
      </c>
      <c r="H270" s="118">
        <v>1.0</v>
      </c>
      <c r="I270" s="118">
        <v>2061349.45</v>
      </c>
      <c r="K270" s="117" t="inlineStr">
        <is>
          <t xml:space="preserve">430</t>
        </is>
      </c>
    </row>
    <row r="271">
      <c r="A271" s="117" t="inlineStr">
        <is>
          <t xml:space="preserve">ФАРГОНА ВИЛОЯТИ</t>
        </is>
      </c>
      <c r="B271" s="117" t="inlineStr">
        <is>
          <t xml:space="preserve">Фарғона филиали</t>
        </is>
      </c>
      <c r="C271" s="117" t="inlineStr">
        <is>
          <t xml:space="preserve">Ko'tarmadi</t>
        </is>
      </c>
      <c r="D271" s="117" t="inlineStr">
        <is>
          <t xml:space="preserve">Кр-99039376-3</t>
        </is>
      </c>
      <c r="E271" s="117" t="inlineStr">
        <is>
          <t xml:space="preserve">MIRZAYEV DILSHODBEK BAXTIYOROVICH</t>
        </is>
      </c>
      <c r="F271" s="117" t="inlineStr">
        <is>
          <t xml:space="preserve">998507150417 SMS OZI, 998993216045 SMS OZI 2, 998916600164 SMS ONASI,</t>
        </is>
      </c>
      <c r="G271" s="117" t="inlineStr">
        <is>
          <t xml:space="preserve">FARG’ONA VILOYATI FARG’ONA SHAHAR OQ ARIQ MFY QO’TLUQ KO’CHASI 5-XONADON</t>
        </is>
      </c>
      <c r="H271" s="118">
        <v>3.0</v>
      </c>
      <c r="I271" s="118">
        <v>1245892.8</v>
      </c>
      <c r="K271" s="117" t="inlineStr">
        <is>
          <t xml:space="preserve">854</t>
        </is>
      </c>
    </row>
    <row r="272">
      <c r="A272" s="117" t="inlineStr">
        <is>
          <t xml:space="preserve">ФАРГОНА ВИЛОЯТИ</t>
        </is>
      </c>
      <c r="B272" s="117" t="inlineStr">
        <is>
          <t xml:space="preserve">Фарғона филиали</t>
        </is>
      </c>
      <c r="C272" s="117" t="inlineStr">
        <is>
          <t xml:space="preserve">Ko'tarmadi</t>
        </is>
      </c>
      <c r="D272" s="117" t="inlineStr">
        <is>
          <t xml:space="preserve">Кр-99063873-1</t>
        </is>
      </c>
      <c r="E272" s="117" t="inlineStr">
        <is>
          <t xml:space="preserve">MADAMINOV G’ULOMJON G’ANIJON O’G’LI</t>
        </is>
      </c>
      <c r="F272" s="117" t="inlineStr">
        <is>
          <t xml:space="preserve">+998941359988 SMS O’ZI, 998932709888 UKASI, 998937368081 AYOLI, 998943963494 ONASI,</t>
        </is>
      </c>
      <c r="G272" s="117" t="inlineStr">
        <is>
          <t xml:space="preserve">FARG’ONA VILOYATI FARG’ONA TUMANI OQBILOL MFY G’ORBUVA KO’CHASI 7-UY</t>
        </is>
      </c>
      <c r="H272" s="118">
        <v>3.0</v>
      </c>
      <c r="I272" s="118">
        <v>1127807.73</v>
      </c>
      <c r="K272" s="117" t="inlineStr">
        <is>
          <t xml:space="preserve">2221</t>
        </is>
      </c>
    </row>
    <row r="273">
      <c r="A273" s="117" t="inlineStr">
        <is>
          <t xml:space="preserve">ФАРГОНА ВИЛОЯТИ</t>
        </is>
      </c>
      <c r="B273" s="117" t="inlineStr">
        <is>
          <t xml:space="preserve">Фарғона филиали</t>
        </is>
      </c>
      <c r="C273" s="117" t="inlineStr">
        <is>
          <t xml:space="preserve">Ko'tarmadi</t>
        </is>
      </c>
      <c r="D273" s="117" t="inlineStr">
        <is>
          <t xml:space="preserve">Кр-99026524-3</t>
        </is>
      </c>
      <c r="E273" s="117" t="inlineStr">
        <is>
          <t xml:space="preserve">ABDUQODIROV OTABEK RAVSHANJON O’G’LI</t>
        </is>
      </c>
      <c r="F273" s="117" t="inlineStr">
        <is>
          <t xml:space="preserve">90-841-44-45 SMS O’ZI, 91-043-26-93 SMS tolovchi, 91-043-45-10 SMS POCHASI, 90-368-03-74 SMS ONASI, 903680374 SMS ONASI, 908414445 SMS O’ZI, 910432693 SMS tolovchi, 910434510 SMS POCHASI,</t>
        </is>
      </c>
      <c r="G273" s="117" t="inlineStr">
        <is>
          <t xml:space="preserve">FARG’ONA VILOYATI MARG’ILON SHAHAR DUSTLIK MFY FIDOYILAR 23 A-XONADON</t>
        </is>
      </c>
      <c r="H273" s="118">
        <v>3.0</v>
      </c>
      <c r="I273" s="118">
        <v>1087775.0</v>
      </c>
      <c r="K273" s="117" t="inlineStr">
        <is>
          <t xml:space="preserve">207</t>
        </is>
      </c>
    </row>
    <row r="274">
      <c r="A274" s="117" t="inlineStr">
        <is>
          <t xml:space="preserve">ФАРГОНА ВИЛОЯТИ</t>
        </is>
      </c>
      <c r="B274" s="117" t="inlineStr">
        <is>
          <t xml:space="preserve">Фарғона филиали</t>
        </is>
      </c>
      <c r="C274" s="117" t="inlineStr">
        <is>
          <t xml:space="preserve">Ko'tarmadi</t>
        </is>
      </c>
      <c r="D274" s="117" t="inlineStr">
        <is>
          <t xml:space="preserve">Кр-99053657-1</t>
        </is>
      </c>
      <c r="E274" s="117" t="inlineStr">
        <is>
          <t xml:space="preserve">XIDIROV DAVLATJON ISLOMJONOVICH</t>
        </is>
      </c>
      <c r="F274" s="117" t="inlineStr">
        <is>
          <t xml:space="preserve">+998911203533 SMS O’ZI, 998916561007 JIYANI, 998937817081 AYOLI, 998999827890 UY,</t>
        </is>
      </c>
      <c r="G274" s="117" t="inlineStr">
        <is>
          <t xml:space="preserve">FARG’ONA VILOYATI FARG’ONA TUMANI YANGI ASR MFY MUSTAQILLIK SHUKRONASI KO’CHASI 224 UY</t>
        </is>
      </c>
      <c r="H274" s="118">
        <v>3.0</v>
      </c>
      <c r="I274" s="118">
        <v>1042404.21</v>
      </c>
      <c r="K274" s="117" t="inlineStr">
        <is>
          <t xml:space="preserve">1543</t>
        </is>
      </c>
    </row>
    <row r="275">
      <c r="A275" s="117" t="inlineStr">
        <is>
          <t xml:space="preserve">ФАРГОНА ВИЛОЯТИ</t>
        </is>
      </c>
      <c r="B275" s="117" t="inlineStr">
        <is>
          <t xml:space="preserve">Фарғона филиали</t>
        </is>
      </c>
      <c r="C275" s="117" t="inlineStr">
        <is>
          <t xml:space="preserve">Ko'tarmadi</t>
        </is>
      </c>
      <c r="D275" s="117" t="inlineStr">
        <is>
          <t xml:space="preserve">Кр-99064351-1</t>
        </is>
      </c>
      <c r="E275" s="117" t="inlineStr">
        <is>
          <t xml:space="preserve">RAZAKOV MAXAMATJON TURGUNBAYEVICH</t>
        </is>
      </c>
      <c r="F275" s="117" t="inlineStr">
        <is>
          <t xml:space="preserve">998905327872 SMS O’ZI, 998901059499 UY, 998911319499 O’G’LI,</t>
        </is>
      </c>
      <c r="G275" s="117" t="inlineStr">
        <is>
          <t xml:space="preserve">FARG’ONA VILOYATI QUVA TUMANI MUSTAQILLIK MFY BESHESHIK KO’CHASI 10-XONADON</t>
        </is>
      </c>
      <c r="H275" s="118">
        <v>3.0</v>
      </c>
      <c r="I275" s="118">
        <v>821662.36</v>
      </c>
      <c r="K275" s="117" t="inlineStr">
        <is>
          <t xml:space="preserve">2344</t>
        </is>
      </c>
    </row>
    <row r="276">
      <c r="A276" s="99" t="inlineStr">
        <is>
          <t xml:space="preserve">ХОРАЗМ ВИЛОЯТИ</t>
        </is>
      </c>
      <c r="B276" s="99" t="inlineStr">
        <is>
          <t xml:space="preserve">SUPER BRANCH</t>
        </is>
      </c>
      <c r="C276" s="99" t="inlineStr">
        <is>
          <t xml:space="preserve">Ko'tarmadi</t>
        </is>
      </c>
      <c r="D276" s="99" t="inlineStr">
        <is>
          <t xml:space="preserve">Кр-99039713-1</t>
        </is>
      </c>
      <c r="E276" s="99" t="inlineStr">
        <is>
          <t xml:space="preserve">TAJIYEV OYBEK TO’LIYEVICH</t>
        </is>
      </c>
      <c r="F276" s="99" t="inlineStr">
        <is>
          <t xml:space="preserve">998952590840 SMS OZI, 998998990840 SMS OGLI, 998993278027 SMS XOTINI, 998952580840 SMS QIZI, 998200300840 SMS UGLI NODIR,</t>
        </is>
      </c>
      <c r="G276" s="99" t="inlineStr">
        <is>
          <t xml:space="preserve">XORAZM VILOYATI YANGIBOZOR TUMANI YANGIOBOD MAXALLASI AVAZ O’TAR KUCHASI 63 UY</t>
        </is>
      </c>
      <c r="H276" s="100">
        <v>3.0</v>
      </c>
      <c r="I276" s="100">
        <v>7426037.65</v>
      </c>
      <c r="K276" s="99" t="inlineStr">
        <is>
          <t xml:space="preserve">boglanib bolmad | 881</t>
        </is>
      </c>
    </row>
    <row r="277">
      <c r="A277" s="99" t="inlineStr">
        <is>
          <t xml:space="preserve">ХОРАЗМ ВИЛОЯТИ</t>
        </is>
      </c>
      <c r="B277" s="99" t="inlineStr">
        <is>
          <t xml:space="preserve">SUPER BRANCH</t>
        </is>
      </c>
      <c r="C277" s="99" t="inlineStr">
        <is>
          <t xml:space="preserve">Ko'tarmadi</t>
        </is>
      </c>
      <c r="D277" s="99" t="inlineStr">
        <is>
          <t xml:space="preserve">Кр-99047267-1</t>
        </is>
      </c>
      <c r="E277" s="99" t="inlineStr">
        <is>
          <t xml:space="preserve">BABAJONOV OYBEK BEYJANOVICH</t>
        </is>
      </c>
      <c r="F277" s="99" t="inlineStr">
        <is>
          <t xml:space="preserve">998949900320 OZI, 998990264161 O’G’LI, 998774950911 KICHIK O’G’LI, 998901769343 KATTA O’G’LI,</t>
        </is>
      </c>
      <c r="G277" s="99" t="inlineStr">
        <is>
          <t xml:space="preserve">XORAZM VILOYATI XONQA TUMANI NURAFSHON MSG JALOLADDIN MANGUBERDI KUCHASI 55-UY</t>
        </is>
      </c>
      <c r="H277" s="100">
        <v>3.0</v>
      </c>
      <c r="I277" s="100">
        <v>4861503.31</v>
      </c>
      <c r="K277" s="99" t="inlineStr">
        <is>
          <t xml:space="preserve">kotarmad | 1377</t>
        </is>
      </c>
    </row>
    <row r="278">
      <c r="A278" s="99" t="inlineStr">
        <is>
          <t xml:space="preserve">ХОРАЗМ ВИЛОЯТИ</t>
        </is>
      </c>
      <c r="B278" s="99" t="inlineStr">
        <is>
          <t xml:space="preserve">SUPER BRANCH</t>
        </is>
      </c>
      <c r="C278" s="99" t="inlineStr">
        <is>
          <t xml:space="preserve">Ko'tarmadi</t>
        </is>
      </c>
      <c r="D278" s="99" t="inlineStr">
        <is>
          <t xml:space="preserve">Кр-99039841-1</t>
        </is>
      </c>
      <c r="E278" s="99" t="inlineStr">
        <is>
          <t xml:space="preserve">QURBONOV MAQSUD XXX</t>
        </is>
      </c>
      <c r="F278" s="99" t="inlineStr">
        <is>
          <t xml:space="preserve">998988680132 SMS OZI, 998955248582 SMS OGLI, 998951318387 SMS QIZI begona, 998889529090 SMS  BEGONA,</t>
        </is>
      </c>
      <c r="G278" s="99" t="inlineStr">
        <is>
          <t xml:space="preserve">XORAZM VILOYATI URGANCH TUMANI KO’NAOVUL MFY BOBODEXKON KO’CHASI 29-UY</t>
        </is>
      </c>
      <c r="H278" s="100">
        <v>3.0</v>
      </c>
      <c r="I278" s="100">
        <v>3624514.42</v>
      </c>
      <c r="K278" s="99" t="inlineStr">
        <is>
          <t xml:space="preserve">kotarmad | 899</t>
        </is>
      </c>
    </row>
    <row r="279">
      <c r="A279" s="99" t="inlineStr">
        <is>
          <t xml:space="preserve">ХОРАЗМ ВИЛОЯТИ</t>
        </is>
      </c>
      <c r="B279" s="99" t="inlineStr">
        <is>
          <t xml:space="preserve">SUPER BRANCH</t>
        </is>
      </c>
      <c r="C279" s="99" t="inlineStr">
        <is>
          <t xml:space="preserve">Ko'tarmadi</t>
        </is>
      </c>
      <c r="D279" s="99" t="inlineStr">
        <is>
          <t xml:space="preserve">Кр-99020745-4</t>
        </is>
      </c>
      <c r="E279" s="99" t="inlineStr">
        <is>
          <t xml:space="preserve">JUMANOV OLIMBOY YULDOSHBAYEVICH</t>
        </is>
      </c>
      <c r="F279" s="99" t="inlineStr">
        <is>
          <t xml:space="preserve">998905592535 SMS O’ZI, 998937550083 SMS DO’STI, 998907263177 SMS O’G’LI, 998995890838 SMS O’G’LI (begona),</t>
        </is>
      </c>
      <c r="G279" s="99" t="inlineStr">
        <is>
          <t xml:space="preserve">XORAZM VILOYATI YANGIBOZOR TUMANI BO’STON MAXALLASI ZANGALOBOD KUCHASI 47-UY</t>
        </is>
      </c>
      <c r="H279" s="100">
        <v>3.0</v>
      </c>
      <c r="I279" s="100">
        <v>3289649.27</v>
      </c>
      <c r="K279" s="99" t="inlineStr">
        <is>
          <t xml:space="preserve">fer 15 sanalaga yopad | 121</t>
        </is>
      </c>
    </row>
    <row r="280">
      <c r="A280" s="99" t="inlineStr">
        <is>
          <t xml:space="preserve">ХОРАЗМ ВИЛОЯТИ</t>
        </is>
      </c>
      <c r="B280" s="99" t="inlineStr">
        <is>
          <t xml:space="preserve">SUPER BRANCH</t>
        </is>
      </c>
      <c r="C280" s="99" t="inlineStr">
        <is>
          <t xml:space="preserve">Ko'tarmadi</t>
        </is>
      </c>
      <c r="D280" s="99" t="inlineStr">
        <is>
          <t xml:space="preserve">Кр-99039670-1</t>
        </is>
      </c>
      <c r="E280" s="99" t="inlineStr">
        <is>
          <t xml:space="preserve">VAISOV JAVLONBEK BAXRAMOVICH</t>
        </is>
      </c>
      <c r="F280" s="99" t="inlineStr">
        <is>
          <t xml:space="preserve">998995020106 SMS OZI, 998994191920 SMS AYOLI, 998914361920 SMS AYOLI 2, 998334141920 SMS OGLI,</t>
        </is>
      </c>
      <c r="G280" s="99" t="inlineStr">
        <is>
          <t xml:space="preserve">XORAZM VILOYATI SHOVOT TUMANI QIYOT QFY QIYOT MFY BUNYODKOR 92-UY</t>
        </is>
      </c>
      <c r="H280" s="100">
        <v>3.0</v>
      </c>
      <c r="I280" s="100">
        <v>2228845.27</v>
      </c>
      <c r="K280" s="99" t="inlineStr">
        <is>
          <t xml:space="preserve">kotarmad | 875</t>
        </is>
      </c>
    </row>
    <row r="281">
      <c r="A281" s="99" t="inlineStr">
        <is>
          <t xml:space="preserve">ХОРАЗМ ВИЛОЯТИ</t>
        </is>
      </c>
      <c r="B281" s="99" t="inlineStr">
        <is>
          <t xml:space="preserve">SUPER BRANCH</t>
        </is>
      </c>
      <c r="C281" s="99" t="inlineStr">
        <is>
          <t xml:space="preserve">Ko'tarmadi</t>
        </is>
      </c>
      <c r="D281" s="99" t="inlineStr">
        <is>
          <t xml:space="preserve">Кр-99012130-5</t>
        </is>
      </c>
      <c r="E281" s="99" t="inlineStr">
        <is>
          <t xml:space="preserve">SHAXNAZAROV TEMIRBEK UMIDBEK O’G’LI</t>
        </is>
      </c>
      <c r="F281" s="99" t="inlineStr">
        <is>
          <t xml:space="preserve">99-542-98-19 SMS O’ZI, 99-541-98-19 SMS OTASI, 93-752-68-98 SMS UKASI BOBUR, 99-157-47-40 SMS SINGLISI(BEGONA), 998993812882 SMS UZI NEW,</t>
        </is>
      </c>
      <c r="G281" s="99" t="inlineStr">
        <is>
          <t xml:space="preserve">XORAZM VILOYATI URGANCH TUMANI YUQORIBOG’ MFY OQ OLTIN KOCHASI 34-UY</t>
        </is>
      </c>
      <c r="H281" s="100">
        <v>6.0</v>
      </c>
      <c r="I281" s="100">
        <v>1585049.29</v>
      </c>
      <c r="K281" s="99" t="inlineStr">
        <is>
          <t xml:space="preserve">Rassiyadan pul kutvotti | 63</t>
        </is>
      </c>
    </row>
    <row r="282">
      <c r="A282" s="99" t="inlineStr">
        <is>
          <t xml:space="preserve">ХОРАЗМ ВИЛОЯТИ</t>
        </is>
      </c>
      <c r="B282" s="99" t="inlineStr">
        <is>
          <t xml:space="preserve">SUPER BRANCH</t>
        </is>
      </c>
      <c r="C282" s="99" t="inlineStr">
        <is>
          <t xml:space="preserve">Ko'tarmadi</t>
        </is>
      </c>
      <c r="D282" s="99" t="inlineStr">
        <is>
          <t xml:space="preserve">Кр-99028290-4</t>
        </is>
      </c>
      <c r="E282" s="99" t="inlineStr">
        <is>
          <t xml:space="preserve">TADJIYEV MASHHURBEK DANIYOR O’G’LI</t>
        </is>
      </c>
      <c r="F282" s="99" t="inlineStr">
        <is>
          <t xml:space="preserve">90-559-39-39 SMS OZI  choyxonada ishlid , 93-285-51-55  SMS DOST TOLOVCHI, 97-091-60-00  SMS DOSTI ,</t>
        </is>
      </c>
      <c r="G282" s="99" t="inlineStr">
        <is>
          <t xml:space="preserve">XORAZM VILOYATI XIVA TUMANI JURYON QFY DAVAK MFY NURJAMOL KO’CHASI 47-UY  </t>
        </is>
      </c>
      <c r="H282" s="100">
        <v>6.0</v>
      </c>
      <c r="I282" s="100">
        <v>892392.03</v>
      </c>
      <c r="K282" s="99" t="inlineStr">
        <is>
          <t xml:space="preserve">kotarmad | 265</t>
        </is>
      </c>
    </row>
    <row r="283">
      <c r="A283" s="99" t="inlineStr">
        <is>
          <t xml:space="preserve">ХОРАЗМ ВИЛОЯТИ</t>
        </is>
      </c>
      <c r="B283" s="99" t="inlineStr">
        <is>
          <t xml:space="preserve">SUPER BRANCH</t>
        </is>
      </c>
      <c r="C283" s="99" t="inlineStr">
        <is>
          <t xml:space="preserve">Ko'tarmadi</t>
        </is>
      </c>
      <c r="D283" s="99" t="inlineStr">
        <is>
          <t xml:space="preserve">Кр-99052651-2</t>
        </is>
      </c>
      <c r="E283" s="99" t="inlineStr">
        <is>
          <t xml:space="preserve">TURABOYEV XUSNIDDIN JONIBEK O’G’LI</t>
        </is>
      </c>
      <c r="F283" s="99" t="inlineStr">
        <is>
          <t xml:space="preserve">998953376818 SMS OZI,</t>
        </is>
      </c>
      <c r="G283" s="99" t="inlineStr">
        <is>
          <t xml:space="preserve">YANGIBOZOR TUMANI TOZADO’RMON MFY. OLMAZOR 1 KO’CHASI 24-UY</t>
        </is>
      </c>
      <c r="H283" s="100">
        <v>3.0</v>
      </c>
      <c r="I283" s="100">
        <v>182463.79</v>
      </c>
      <c r="K283" s="99" t="inlineStr">
        <is>
          <t xml:space="preserve">kotarmad | 1485</t>
        </is>
      </c>
    </row>
    <row r="284">
      <c r="A284" s="101" t="inlineStr">
        <is>
          <t xml:space="preserve">ХОРАЗМ ВИЛОЯТИ</t>
        </is>
      </c>
      <c r="B284" s="101" t="inlineStr">
        <is>
          <t xml:space="preserve">Урганч филиали</t>
        </is>
      </c>
      <c r="C284" s="101" t="inlineStr">
        <is>
          <t xml:space="preserve">Ko'tarmadi</t>
        </is>
      </c>
      <c r="D284" s="101" t="inlineStr">
        <is>
          <t xml:space="preserve">Кр-99032390-1</t>
        </is>
      </c>
      <c r="E284" s="101" t="inlineStr">
        <is>
          <t xml:space="preserve">YULDASHEV RAVSHAN MUXAMEDJANOVICH</t>
        </is>
      </c>
      <c r="F284" s="101" t="inlineStr">
        <is>
          <t xml:space="preserve">998932817070 SMS O’ZI, 998900778677 SMS O’G’LI, 998993477717 SMS begona,</t>
        </is>
      </c>
      <c r="G284" s="101" t="inlineStr">
        <is>
          <t xml:space="preserve">XORAZM VILOYATI URGANCH SHAHAR GUJUMZOR KUCHASI 2/2 UY 10 XONADON</t>
        </is>
      </c>
      <c r="H284" s="102">
        <v>1.0</v>
      </c>
      <c r="I284" s="102">
        <v>5162482.72</v>
      </c>
      <c r="K284" s="101" t="inlineStr">
        <is>
          <t xml:space="preserve">kotarmad | 435</t>
        </is>
      </c>
    </row>
    <row r="285">
      <c r="A285" s="101" t="inlineStr">
        <is>
          <t xml:space="preserve">ХОРАЗМ ВИЛОЯТИ</t>
        </is>
      </c>
      <c r="B285" s="101" t="inlineStr">
        <is>
          <t xml:space="preserve">Урганч филиали</t>
        </is>
      </c>
      <c r="C285" s="101" t="inlineStr">
        <is>
          <t xml:space="preserve">Ko'tarmadi</t>
        </is>
      </c>
      <c r="D285" s="101" t="inlineStr">
        <is>
          <t xml:space="preserve">Кр-99041822-1</t>
        </is>
      </c>
      <c r="E285" s="101" t="inlineStr">
        <is>
          <t xml:space="preserve">JABBAROV MUROD EGAMBERGANOVICH</t>
        </is>
      </c>
      <c r="F285" s="101" t="inlineStr">
        <is>
          <t xml:space="preserve">+998957673366 SMS UZI, 998953260676 SMS AYOLI, 998995263366 SMS O’G’LI, 998502305667 SMS OZI,</t>
        </is>
      </c>
      <c r="G285" s="101" t="inlineStr">
        <is>
          <t xml:space="preserve">Хорезмская область, Янгибазарский район, Уйғур ССГ, Хайват МСГ, ул. Хайват, дом 61</t>
        </is>
      </c>
      <c r="H285" s="102">
        <v>3.0</v>
      </c>
      <c r="I285" s="102">
        <v>4748059.23</v>
      </c>
      <c r="K285" s="101" t="inlineStr">
        <is>
          <t xml:space="preserve">kotarmad | 1209</t>
        </is>
      </c>
    </row>
    <row r="286">
      <c r="A286" s="101" t="inlineStr">
        <is>
          <t xml:space="preserve">ХОРАЗМ ВИЛОЯТИ</t>
        </is>
      </c>
      <c r="B286" s="101" t="inlineStr">
        <is>
          <t xml:space="preserve">Урганч филиали</t>
        </is>
      </c>
      <c r="C286" s="101" t="inlineStr">
        <is>
          <t xml:space="preserve">Ko'tarmadi</t>
        </is>
      </c>
      <c r="D286" s="101" t="inlineStr">
        <is>
          <t xml:space="preserve">Кр-99043212-1</t>
        </is>
      </c>
      <c r="E286" s="101" t="inlineStr">
        <is>
          <t xml:space="preserve">MATYAKUBOVA GULCHEXRA KODIROVNA</t>
        </is>
      </c>
      <c r="F286" s="101" t="inlineStr">
        <is>
          <t xml:space="preserve">+998919197377 SMS O’G’LI (TO’LOVCHI), 998200291262 SMS UZI, 998919959323 SMS KELINI,</t>
        </is>
      </c>
      <c r="G286" s="101" t="inlineStr">
        <is>
          <t xml:space="preserve">ХОРАЗМ ВИЛОЯТИ ШОВОТ ТУМАНИ БЕШМАРГАН ҚФЙ, БЕШМАРГАН МФЙ, БЕШМАРГАН КЎЧАСИ,  uy:27</t>
        </is>
      </c>
      <c r="H286" s="102">
        <v>3.0</v>
      </c>
      <c r="I286" s="102">
        <v>4748059.23</v>
      </c>
      <c r="K286" s="101" t="inlineStr">
        <is>
          <t xml:space="preserve">kotarmad | 1286</t>
        </is>
      </c>
    </row>
    <row r="287">
      <c r="A287" s="101" t="inlineStr">
        <is>
          <t xml:space="preserve">ХОРАЗМ ВИЛОЯТИ</t>
        </is>
      </c>
      <c r="B287" s="101" t="inlineStr">
        <is>
          <t xml:space="preserve">Урганч филиали</t>
        </is>
      </c>
      <c r="C287" s="101" t="inlineStr">
        <is>
          <t xml:space="preserve">Ko'tarmadi</t>
        </is>
      </c>
      <c r="D287" s="101" t="inlineStr">
        <is>
          <t xml:space="preserve">Кр-99041201-1</t>
        </is>
      </c>
      <c r="E287" s="101" t="inlineStr">
        <is>
          <t xml:space="preserve">SAPAYEVA MAXFIRA PALVANNAZAROVNA</t>
        </is>
      </c>
      <c r="F287" s="101" t="inlineStr">
        <is>
          <t xml:space="preserve">+998948869119 SMS UZI begona, 998939182320 SMS UKASI, 998999666648 SMS SINGLISI,</t>
        </is>
      </c>
      <c r="G287" s="101" t="inlineStr">
        <is>
          <t xml:space="preserve">Хорезмская область, Ургенч ш., Н.Кубро кўчаси 7-йўлак, дом 27, кв. 14</t>
        </is>
      </c>
      <c r="H287" s="102">
        <v>3.0</v>
      </c>
      <c r="I287" s="102">
        <v>4677739.23</v>
      </c>
      <c r="K287" s="101" t="inlineStr">
        <is>
          <t xml:space="preserve">singlisini nomeri ochiq berdi. Opasini tel alishtirgan | 1126</t>
        </is>
      </c>
    </row>
    <row r="288">
      <c r="A288" s="101" t="inlineStr">
        <is>
          <t xml:space="preserve">ХОРАЗМ ВИЛОЯТИ</t>
        </is>
      </c>
      <c r="B288" s="101" t="inlineStr">
        <is>
          <t xml:space="preserve">Урганч филиали</t>
        </is>
      </c>
      <c r="C288" s="101" t="inlineStr">
        <is>
          <t xml:space="preserve">Ko'tarmadi</t>
        </is>
      </c>
      <c r="D288" s="101" t="inlineStr">
        <is>
          <t xml:space="preserve">Кр-99041907-1</t>
        </is>
      </c>
      <c r="E288" s="101" t="inlineStr">
        <is>
          <t xml:space="preserve">NARMETOV BAXTIYOR SULTANOVICH</t>
        </is>
      </c>
      <c r="F288" s="101" t="inlineStr">
        <is>
          <t xml:space="preserve">+998918652284 SMS UZI, 998910901875 SMS AYOLI, 998918650291 SMS O’G’LI,</t>
        </is>
      </c>
      <c r="G288" s="101" t="inlineStr">
        <is>
          <t xml:space="preserve">ХОРАЗМ ВИЛОЯТИ КУШКУПИР ТУМАНИ ГОЗОВОТ ҚФЙ, ШЕРОБОД МФЙ, НУРОНИЙ КУЧАСИ uy:18</t>
        </is>
      </c>
      <c r="H288" s="102">
        <v>3.0</v>
      </c>
      <c r="I288" s="102">
        <v>3561044.47</v>
      </c>
      <c r="K288" s="101" t="inlineStr">
        <is>
          <t xml:space="preserve">kotarmad | 1225</t>
        </is>
      </c>
    </row>
    <row r="289">
      <c r="A289" s="101" t="inlineStr">
        <is>
          <t xml:space="preserve">ХОРАЗМ ВИЛОЯТИ</t>
        </is>
      </c>
      <c r="B289" s="101" t="inlineStr">
        <is>
          <t xml:space="preserve">Урганч филиали</t>
        </is>
      </c>
      <c r="C289" s="101" t="inlineStr">
        <is>
          <t xml:space="preserve">Ko'tarmadi</t>
        </is>
      </c>
      <c r="D289" s="101" t="inlineStr">
        <is>
          <t xml:space="preserve">Кр-99042876-2</t>
        </is>
      </c>
      <c r="E289" s="101" t="inlineStr">
        <is>
          <t xml:space="preserve">MATKARIMOV UMAR QURBANBAYEVICH</t>
        </is>
      </c>
      <c r="F289" s="101" t="inlineStr">
        <is>
          <t xml:space="preserve">+998882010454 SMS UZI, 998880544455 SMS O’G’LI, 998959441475 SMS UZI 2,</t>
        </is>
      </c>
      <c r="G289" s="101" t="inlineStr">
        <is>
          <t xml:space="preserve">ХОРАЗМ ВИЛОЯТИ БОГОТ ТУМАНИ КОРАЁНТОК ҚФЙ, БОГЗОР МФЙ, ЁШЛАР КЎЧАСИ,  uy:23</t>
        </is>
      </c>
      <c r="H289" s="102">
        <v>3.0</v>
      </c>
      <c r="I289" s="102">
        <v>3441505.49</v>
      </c>
      <c r="K289" s="101" t="inlineStr">
        <is>
          <t xml:space="preserve">hamma raqami ochu | 1274</t>
        </is>
      </c>
    </row>
    <row r="290">
      <c r="A290" s="101" t="inlineStr">
        <is>
          <t xml:space="preserve">ХОРАЗМ ВИЛОЯТИ</t>
        </is>
      </c>
      <c r="B290" s="101" t="inlineStr">
        <is>
          <t xml:space="preserve">Урганч филиали</t>
        </is>
      </c>
      <c r="C290" s="101" t="inlineStr">
        <is>
          <t xml:space="preserve">Ko'tarmadi</t>
        </is>
      </c>
      <c r="D290" s="101" t="inlineStr">
        <is>
          <t xml:space="preserve">Кр-99050357-1</t>
        </is>
      </c>
      <c r="E290" s="101" t="inlineStr">
        <is>
          <t xml:space="preserve">POLVANOV MARDONBEK KOMILOVICH</t>
        </is>
      </c>
      <c r="F290" s="101" t="inlineStr">
        <is>
          <t xml:space="preserve">+998942342171 SMS UZI, 998945751609 SMS QIZI 2, 998952390916 SMS QIZI,</t>
        </is>
      </c>
      <c r="G290" s="101" t="inlineStr">
        <is>
          <t xml:space="preserve">ХОРАЗМ ВИЛОЯТИ ЯНГИАРИК ТУМАНИ ОСТОНА ҚФЙ, ЧАКИР МФЙ, ЖАЗИБАДОР КЎЧАСИ,  uy:5</t>
        </is>
      </c>
      <c r="H290" s="102">
        <v>3.0</v>
      </c>
      <c r="I290" s="102">
        <v>3437491.75</v>
      </c>
      <c r="K290" s="101" t="inlineStr">
        <is>
          <t xml:space="preserve">hamma raqami ochu | 1452</t>
        </is>
      </c>
    </row>
    <row r="291">
      <c r="A291" s="101" t="inlineStr">
        <is>
          <t xml:space="preserve">ХОРАЗМ ВИЛОЯТИ</t>
        </is>
      </c>
      <c r="B291" s="101" t="inlineStr">
        <is>
          <t xml:space="preserve">Урганч филиали</t>
        </is>
      </c>
      <c r="C291" s="101" t="inlineStr">
        <is>
          <t xml:space="preserve">Ko'tarmadi</t>
        </is>
      </c>
      <c r="D291" s="101" t="inlineStr">
        <is>
          <t xml:space="preserve">Кр-99030443-1</t>
        </is>
      </c>
      <c r="E291" s="101" t="inlineStr">
        <is>
          <t xml:space="preserve">RUZMETOVA OYSANAM RAJABBAY QIZI</t>
        </is>
      </c>
      <c r="F291" s="101" t="inlineStr">
        <is>
          <t xml:space="preserve">94-230-43-43 SMS  ERI, 97-211-89-42  SMS AKASI, 90-737-63-68  SMS TO’LOVCHI, 998772028942 SMS Uzi,</t>
        </is>
      </c>
      <c r="G291" s="101" t="inlineStr">
        <is>
          <t xml:space="preserve">XORAZM VILOYATI URGANCH SHAHAR SAXOVAT MFY ZAMAXSHARIY KUCHASI 117-UY</t>
        </is>
      </c>
      <c r="H291" s="102">
        <v>2.0</v>
      </c>
      <c r="I291" s="102">
        <v>3073303.17</v>
      </c>
      <c r="K291" s="101" t="inlineStr">
        <is>
          <t xml:space="preserve">hamma raqammi ochu | 349</t>
        </is>
      </c>
    </row>
    <row r="292">
      <c r="A292" s="101" t="inlineStr">
        <is>
          <t xml:space="preserve">ХОРАЗМ ВИЛОЯТИ</t>
        </is>
      </c>
      <c r="B292" s="101" t="inlineStr">
        <is>
          <t xml:space="preserve">Урганч филиали</t>
        </is>
      </c>
      <c r="C292" s="101" t="inlineStr">
        <is>
          <t xml:space="preserve">Ko'tarmadi</t>
        </is>
      </c>
      <c r="D292" s="101" t="inlineStr">
        <is>
          <t xml:space="preserve">Кр-99032355-1</t>
        </is>
      </c>
      <c r="E292" s="101" t="inlineStr">
        <is>
          <t xml:space="preserve">DAVLATOV ODILBEK NAZAROVICH</t>
        </is>
      </c>
      <c r="F292" s="101" t="inlineStr">
        <is>
          <t xml:space="preserve">998933447912 SMS O’ZI, 998999462828 SMS O’G’LI, 998990157912 SMS UY, 998501511582 SMS AYOLI begona,</t>
        </is>
      </c>
      <c r="G292" s="101" t="inlineStr">
        <is>
          <t xml:space="preserve">XORAZM VILOYATI QO’SHKO’PIR TUMANI SHIX QFY BOG’ZOR MFY OQYOP KUCHASI 222-UY</t>
        </is>
      </c>
      <c r="H292" s="102">
        <v>2.0</v>
      </c>
      <c r="I292" s="102">
        <v>3050910.3</v>
      </c>
      <c r="K292" s="101" t="inlineStr">
        <is>
          <t xml:space="preserve">kotarmad | 431</t>
        </is>
      </c>
    </row>
    <row r="293">
      <c r="A293" s="101" t="inlineStr">
        <is>
          <t xml:space="preserve">ХОРАЗМ ВИЛОЯТИ</t>
        </is>
      </c>
      <c r="B293" s="101" t="inlineStr">
        <is>
          <t xml:space="preserve">Урганч филиали</t>
        </is>
      </c>
      <c r="C293" s="101" t="inlineStr">
        <is>
          <t xml:space="preserve">Ko'tarmadi</t>
        </is>
      </c>
      <c r="D293" s="101" t="inlineStr">
        <is>
          <t xml:space="preserve">Кр-99030259-1</t>
        </is>
      </c>
      <c r="E293" s="101" t="inlineStr">
        <is>
          <t xml:space="preserve">XO’JANIYAZOVA MA’FTUNA UKTAMOVNA</t>
        </is>
      </c>
      <c r="F293" s="101" t="inlineStr">
        <is>
          <t xml:space="preserve">90-649-60-65 SMS O’ZI, 90-579-60-65 SMS  ERI xezm , 99-053-12-43  SMS O’G’LI(BEGONA),</t>
        </is>
      </c>
      <c r="G293" s="101" t="inlineStr">
        <is>
          <t xml:space="preserve">XORAZM VILOYATI SHOVOT TUMANI KATKALA MAXALLASI SEMURG KUCHASI 28-UY</t>
        </is>
      </c>
      <c r="H293" s="102">
        <v>6.0</v>
      </c>
      <c r="I293" s="102">
        <v>2988199.87</v>
      </c>
      <c r="K293" s="101" t="inlineStr">
        <is>
          <t xml:space="preserve">hamma raqammi ochu | 341</t>
        </is>
      </c>
    </row>
    <row r="294">
      <c r="A294" s="101" t="inlineStr">
        <is>
          <t xml:space="preserve">ХОРАЗМ ВИЛОЯТИ</t>
        </is>
      </c>
      <c r="B294" s="101" t="inlineStr">
        <is>
          <t xml:space="preserve">Урганч филиали</t>
        </is>
      </c>
      <c r="C294" s="101" t="inlineStr">
        <is>
          <t xml:space="preserve">Ko'tarmadi</t>
        </is>
      </c>
      <c r="D294" s="101" t="inlineStr">
        <is>
          <t xml:space="preserve">Кр-99041982-1</t>
        </is>
      </c>
      <c r="E294" s="101" t="inlineStr">
        <is>
          <t xml:space="preserve">BEKTURSUNOVA SHARAFAT MATSAPOYEVNA</t>
        </is>
      </c>
      <c r="F294" s="101" t="inlineStr">
        <is>
          <t xml:space="preserve">+998958262202 SMS O’G’LI, 998948407009 SMS UZI, 998992505959 SMS O’G’LI,</t>
        </is>
      </c>
      <c r="G294" s="101" t="inlineStr">
        <is>
          <t xml:space="preserve">ХОРАЗМ ВИЛОЯТИ ШОВОТ ТУМАНИ ШОВОТКАЛЪА ҚФЙ, ҚУМ-ЁП МФЙ, Ш.РАШИДОВ КЎЧАСИ,  uy:16</t>
        </is>
      </c>
      <c r="H294" s="102">
        <v>3.0</v>
      </c>
      <c r="I294" s="102">
        <v>2801833.07</v>
      </c>
      <c r="K294" s="101" t="inlineStr">
        <is>
          <t xml:space="preserve">kotarmad | 1237</t>
        </is>
      </c>
    </row>
    <row r="295">
      <c r="A295" s="101" t="inlineStr">
        <is>
          <t xml:space="preserve">ХОРАЗМ ВИЛОЯТИ</t>
        </is>
      </c>
      <c r="B295" s="101" t="inlineStr">
        <is>
          <t xml:space="preserve">Урганч филиали</t>
        </is>
      </c>
      <c r="C295" s="101" t="inlineStr">
        <is>
          <t xml:space="preserve">Ko'tarmadi</t>
        </is>
      </c>
      <c r="D295" s="101" t="inlineStr">
        <is>
          <t xml:space="preserve">Кр-99041384-1</t>
        </is>
      </c>
      <c r="E295" s="101" t="inlineStr">
        <is>
          <t xml:space="preserve">XUSAINOV ANVAR YULDASHEVICH</t>
        </is>
      </c>
      <c r="F295" s="101" t="inlineStr">
        <is>
          <t xml:space="preserve">+998880431075 SMS O’ZI, 998702249805 SMS O’G’LI, 998975184757 SMS AYOLI,</t>
        </is>
      </c>
      <c r="G295" s="101" t="inlineStr">
        <is>
          <t xml:space="preserve">КОТОГОН ҚФЙ, АРАБЛАР МФЙ, Бахористон кучаси 71 уй</t>
        </is>
      </c>
      <c r="H295" s="102">
        <v>3.0</v>
      </c>
      <c r="I295" s="102">
        <v>2763788.68</v>
      </c>
      <c r="K295" s="101" t="inlineStr">
        <is>
          <t xml:space="preserve">kotarmad | 1158</t>
        </is>
      </c>
    </row>
    <row r="296">
      <c r="A296" s="101" t="inlineStr">
        <is>
          <t xml:space="preserve">ХОРАЗМ ВИЛОЯТИ</t>
        </is>
      </c>
      <c r="B296" s="101" t="inlineStr">
        <is>
          <t xml:space="preserve">Урганч филиали</t>
        </is>
      </c>
      <c r="C296" s="101" t="inlineStr">
        <is>
          <t xml:space="preserve">Ko'tarmadi</t>
        </is>
      </c>
      <c r="D296" s="101" t="inlineStr">
        <is>
          <t xml:space="preserve">Кр-99041080-1</t>
        </is>
      </c>
      <c r="E296" s="101" t="inlineStr">
        <is>
          <t xml:space="preserve">MADRAIMOVA SAYYORA ZARIPOVNA</t>
        </is>
      </c>
      <c r="F296" s="101" t="inlineStr">
        <is>
          <t xml:space="preserve">998336737707 SMS O’G’LI, 998772029953 SMS O’G’LI, 998999621966 SMS UZI,</t>
        </is>
      </c>
      <c r="G296" s="101" t="inlineStr">
        <is>
          <t xml:space="preserve">УРГАНЧ Ш., БОБУР МФЙ, Т.МАЛИК КЎЧАСИ 3-ЙЎЛАК,  uy:30</t>
        </is>
      </c>
      <c r="H296" s="102">
        <v>3.0</v>
      </c>
      <c r="I296" s="102">
        <v>2037200.18</v>
      </c>
      <c r="K296" s="101" t="inlineStr">
        <is>
          <t xml:space="preserve">kotarmad | 1107</t>
        </is>
      </c>
    </row>
    <row r="297">
      <c r="A297" s="101" t="inlineStr">
        <is>
          <t xml:space="preserve">ХОРАЗМ ВИЛОЯТИ</t>
        </is>
      </c>
      <c r="B297" s="101" t="inlineStr">
        <is>
          <t xml:space="preserve">Урганч филиали</t>
        </is>
      </c>
      <c r="C297" s="101" t="inlineStr">
        <is>
          <t xml:space="preserve">Ko'tarmadi</t>
        </is>
      </c>
      <c r="D297" s="101" t="inlineStr">
        <is>
          <t xml:space="preserve">Кр-99046073-1</t>
        </is>
      </c>
      <c r="E297" s="101" t="inlineStr">
        <is>
          <t xml:space="preserve">KARIMOV ABROR RUZIMBAYEVICH</t>
        </is>
      </c>
      <c r="F297" s="101" t="inlineStr">
        <is>
          <t xml:space="preserve">+998888325658 SMS UZI, 998938855658 SMS O’G’LI, 998995485658 SMS UYI,</t>
        </is>
      </c>
      <c r="G297" s="101" t="inlineStr">
        <is>
          <t xml:space="preserve">ХОРАЗМ ВИЛОЯТИ ГУРЛАН ТУМАНИ ВАЗИР ҚФЙ, ОҚҚУМ МФЙ, НАМУНА КЎЧАСИ,  uy:Р/С</t>
        </is>
      </c>
      <c r="H297" s="102">
        <v>3.0</v>
      </c>
      <c r="I297" s="102">
        <v>1942370.06</v>
      </c>
      <c r="K297" s="101" t="inlineStr">
        <is>
          <t xml:space="preserve">kotarmad | 1346</t>
        </is>
      </c>
    </row>
    <row r="298">
      <c r="A298" s="101" t="inlineStr">
        <is>
          <t xml:space="preserve">ХОРАЗМ ВИЛОЯТИ</t>
        </is>
      </c>
      <c r="B298" s="101" t="inlineStr">
        <is>
          <t xml:space="preserve">Урганч филиали</t>
        </is>
      </c>
      <c r="C298" s="101" t="inlineStr">
        <is>
          <t xml:space="preserve">Ko'tarmadi</t>
        </is>
      </c>
      <c r="D298" s="101" t="inlineStr">
        <is>
          <t xml:space="preserve">Кр-99041136-2</t>
        </is>
      </c>
      <c r="E298" s="101" t="inlineStr">
        <is>
          <t xml:space="preserve">EGAMBERGANOV ALISHER BAXTIYOROVICH</t>
        </is>
      </c>
      <c r="F298" s="101" t="inlineStr">
        <is>
          <t xml:space="preserve">+998948435557 SMS UZI, 998914255457 SMS AYOLI,</t>
        </is>
      </c>
      <c r="G298" s="101" t="inlineStr">
        <is>
          <t xml:space="preserve">Уйшин МФЙ, Зиёлилар кучаси, 7-уй</t>
        </is>
      </c>
      <c r="H298" s="102">
        <v>3.0</v>
      </c>
      <c r="I298" s="102">
        <v>1785611.0</v>
      </c>
      <c r="K298" s="101" t="inlineStr">
        <is>
          <t xml:space="preserve">kotarmad | 1117</t>
        </is>
      </c>
    </row>
    <row r="299">
      <c r="A299" s="101" t="inlineStr">
        <is>
          <t xml:space="preserve">ХОРАЗМ ВИЛОЯТИ</t>
        </is>
      </c>
      <c r="B299" s="101" t="inlineStr">
        <is>
          <t xml:space="preserve">Урганч филиали</t>
        </is>
      </c>
      <c r="C299" s="101" t="inlineStr">
        <is>
          <t xml:space="preserve">Ko'tarmadi</t>
        </is>
      </c>
      <c r="D299" s="101" t="inlineStr">
        <is>
          <t xml:space="preserve">Кр-99020779-5</t>
        </is>
      </c>
      <c r="E299" s="101" t="inlineStr">
        <is>
          <t xml:space="preserve">YAKUBOV RAVSHONBEK ALLABERGANOVICH</t>
        </is>
      </c>
      <c r="F299" s="101" t="inlineStr">
        <is>
          <t xml:space="preserve">90-438-28-88  SMS UZI, 97-512-28-88 SMS ZALOGADATEL, 33-438-28-88 SMS UZI, 99-733-33-93 SMS UY, +998904382888 sms uzi, 998900908889 sms o’g’li, 998997333393 sms uzi, 334382888 SMS UZI, 904382888 SMS UZI, 975122888 SMS ZALOGADATEL, 997333393 SMS UY, 998904382888 ,</t>
        </is>
      </c>
      <c r="G299" s="101" t="inlineStr">
        <is>
          <t xml:space="preserve">ХОРАЗМ ВИЛОЯТИ УРГАНЧ ШАХРИ Олма-боғ МФЙ, Тараққиёт кучаси, 7A-уй, 26-хонадон</t>
        </is>
      </c>
      <c r="H299" s="102">
        <v>3.0</v>
      </c>
      <c r="I299" s="102">
        <v>1740323.73</v>
      </c>
      <c r="K299" s="101" t="inlineStr">
        <is>
          <t xml:space="preserve">kotarmad | 125</t>
        </is>
      </c>
    </row>
    <row r="300">
      <c r="A300" s="101" t="inlineStr">
        <is>
          <t xml:space="preserve">ХОРАЗМ ВИЛОЯТИ</t>
        </is>
      </c>
      <c r="B300" s="101" t="inlineStr">
        <is>
          <t xml:space="preserve">Урганч филиали</t>
        </is>
      </c>
      <c r="C300" s="101" t="inlineStr">
        <is>
          <t xml:space="preserve">Ko'tarmadi</t>
        </is>
      </c>
      <c r="D300" s="101" t="inlineStr">
        <is>
          <t xml:space="preserve">Кр-99041543-1</t>
        </is>
      </c>
      <c r="E300" s="101" t="inlineStr">
        <is>
          <t xml:space="preserve">TURAYEV XUSAIN MATYAKUBOVICH</t>
        </is>
      </c>
      <c r="F300" s="101" t="inlineStr">
        <is>
          <t xml:space="preserve">+998919131965 SMS UZI, 998918660319 SMS O’G’LI, 998943166616 SMS KICHIK O’G’LI,</t>
        </is>
      </c>
      <c r="G300" s="101" t="inlineStr">
        <is>
          <t xml:space="preserve">ЧАККАШОЛИКОР ҚФЙ, ШЕРМАТЛАР МФЙ, ТАФАККУР, 5 ТОР КЎЧАСИ,  uy:6</t>
        </is>
      </c>
      <c r="H300" s="102">
        <v>3.0</v>
      </c>
      <c r="I300" s="102">
        <v>1736646.04</v>
      </c>
      <c r="K300" s="101" t="inlineStr">
        <is>
          <t xml:space="preserve">kotarmad | 1183</t>
        </is>
      </c>
    </row>
    <row r="301">
      <c r="A301" s="101" t="inlineStr">
        <is>
          <t xml:space="preserve">ХОРАЗМ ВИЛОЯТИ</t>
        </is>
      </c>
      <c r="B301" s="101" t="inlineStr">
        <is>
          <t xml:space="preserve">Урганч филиали</t>
        </is>
      </c>
      <c r="C301" s="101" t="inlineStr">
        <is>
          <t xml:space="preserve">Ko'tarmadi</t>
        </is>
      </c>
      <c r="D301" s="101" t="inlineStr">
        <is>
          <t xml:space="preserve">Кр-99012130-4</t>
        </is>
      </c>
      <c r="E301" s="101" t="inlineStr">
        <is>
          <t xml:space="preserve">SHAXNAZAROV TEMIRBEK UMIDBEK O’G’LI</t>
        </is>
      </c>
      <c r="F301" s="101" t="inlineStr">
        <is>
          <t xml:space="preserve">99-542-98-19 SMS O’ZI, 99-541-98-19 SMS OTASI, 93-752-68-98 SMS UKASI BOBUR, 99-157-47-40 SMS SINGLISI(BEGONA), 998993812882 SMS UZI NEW,</t>
        </is>
      </c>
      <c r="G301" s="101" t="inlineStr">
        <is>
          <t xml:space="preserve">XORAZM VILOYATI URGANCH TUMANI YUQORIBOG’ MFY OQ OLTIN KOCHASI 34-UY</t>
        </is>
      </c>
      <c r="H301" s="102">
        <v>3.0</v>
      </c>
      <c r="I301" s="102">
        <v>1241442.06</v>
      </c>
      <c r="K301" s="101" t="inlineStr">
        <is>
          <t xml:space="preserve">Rassiyadan pul kutvotti | 62</t>
        </is>
      </c>
    </row>
    <row r="302">
      <c r="A302" s="101" t="inlineStr">
        <is>
          <t xml:space="preserve">ХОРАЗМ ВИЛОЯТИ</t>
        </is>
      </c>
      <c r="B302" s="101" t="inlineStr">
        <is>
          <t xml:space="preserve">Урганч филиали</t>
        </is>
      </c>
      <c r="C302" s="101" t="inlineStr">
        <is>
          <t xml:space="preserve">Ko'tarmadi</t>
        </is>
      </c>
      <c r="D302" s="101" t="inlineStr">
        <is>
          <t xml:space="preserve">Кр-99020779-6</t>
        </is>
      </c>
      <c r="E302" s="101" t="inlineStr">
        <is>
          <t xml:space="preserve">YAKUBOV RAVSHONBEK ALLABERGANOVICH</t>
        </is>
      </c>
      <c r="F302" s="101" t="inlineStr">
        <is>
          <t xml:space="preserve">90-438-28-88  SMS UZI, 97-512-28-88 SMS ZALOGADATEL, 33-438-28-88 SMS UZI, 99-733-33-93 SMS UY, +998904382888 sms uzi, 998900908889 sms o’g’li, 998997333393 sms uzi, 334382888 SMS UZI, 904382888 SMS UZI, 975122888 SMS ZALOGADATEL, 997333393 SMS UY, 998904382888 ,</t>
        </is>
      </c>
      <c r="G302" s="101" t="inlineStr">
        <is>
          <t xml:space="preserve">ХОРАЗМ ВИЛОЯТИ УРГАНЧ ШАХРИ Олма-боғ МФЙ, Тараққиёт кучаси, 7A-уй, 26-хонадон</t>
        </is>
      </c>
      <c r="H302" s="102">
        <v>3.0</v>
      </c>
      <c r="I302" s="102">
        <v>1088634.0</v>
      </c>
      <c r="K302" s="101" t="inlineStr">
        <is>
          <t xml:space="preserve">kotarmad | 126</t>
        </is>
      </c>
    </row>
    <row r="303">
      <c r="A303" s="101" t="inlineStr">
        <is>
          <t xml:space="preserve">ХОРАЗМ ВИЛОЯТИ</t>
        </is>
      </c>
      <c r="B303" s="101" t="inlineStr">
        <is>
          <t xml:space="preserve">Урганч филиали</t>
        </is>
      </c>
      <c r="C303" s="101" t="inlineStr">
        <is>
          <t xml:space="preserve">Ko'tarmadi</t>
        </is>
      </c>
      <c r="D303" s="101" t="inlineStr">
        <is>
          <t xml:space="preserve">Кр-99042876-3</t>
        </is>
      </c>
      <c r="E303" s="101" t="inlineStr">
        <is>
          <t xml:space="preserve">MATKARIMOV UMAR QURBANBAYEVICH</t>
        </is>
      </c>
      <c r="F303" s="101" t="inlineStr">
        <is>
          <t xml:space="preserve">+998882010454 SMS UZI, 998880544455 SMS O’G’LI, 998959441475 SMS UZI 2,</t>
        </is>
      </c>
      <c r="G303" s="101" t="inlineStr">
        <is>
          <t xml:space="preserve">ХОРАЗМ ВИЛОЯТИ БОГОТ ТУМАНИ КОРАЁНТОК ҚФЙ, БОГЗОР МФЙ, ЁШЛАР КЎЧАСИ,  uy:23</t>
        </is>
      </c>
      <c r="H303" s="102">
        <v>3.0</v>
      </c>
      <c r="I303" s="102">
        <v>595545.01</v>
      </c>
      <c r="K303" s="101" t="inlineStr">
        <is>
          <t xml:space="preserve">hamma raqami ochu | 1275</t>
        </is>
      </c>
    </row>
  </sheetData>
  <autoFilter ref="A2:K303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87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SUPER BRANCH</t>
        </is>
      </c>
      <c r="C3" s="99" t="inlineStr">
        <is>
          <t xml:space="preserve">Объезд</t>
        </is>
      </c>
      <c r="D3" s="99" t="inlineStr">
        <is>
          <t xml:space="preserve">Кр-99063020-2</t>
        </is>
      </c>
      <c r="E3" s="99" t="inlineStr">
        <is>
          <t xml:space="preserve">XALIMOV ILXOMJON DJALILOVICH</t>
        </is>
      </c>
      <c r="F3" s="99" t="inlineStr">
        <is>
          <t xml:space="preserve">998979950022 OZI, 998941030105 ONASI, 998945616463 JIYANI Begona, 998993478909 KELINI begona ,</t>
        </is>
      </c>
      <c r="G3" s="99" t="inlineStr">
        <is>
          <t xml:space="preserve">ANDIJON VILOYATI ASAKA TUMANI BOBUR MFY KARVONSAROY KO’CHASI 135 UY</t>
        </is>
      </c>
      <c r="H3" s="100">
        <v>3.0</v>
      </c>
      <c r="I3" s="100">
        <v>7603998.2</v>
      </c>
    </row>
    <row r="4">
      <c r="A4" s="99" t="inlineStr">
        <is>
          <t xml:space="preserve">АНДИЖОН ВИЛОЯТИ</t>
        </is>
      </c>
      <c r="B4" s="99" t="inlineStr">
        <is>
          <t xml:space="preserve">SUPER BRANCH</t>
        </is>
      </c>
      <c r="C4" s="99" t="inlineStr">
        <is>
          <t xml:space="preserve">Объезд</t>
        </is>
      </c>
      <c r="D4" s="99" t="inlineStr">
        <is>
          <t xml:space="preserve">Кр-99057460-1</t>
        </is>
      </c>
      <c r="E4" s="99" t="inlineStr">
        <is>
          <t xml:space="preserve">ONORBOY O’G’LI PULATJON XXX</t>
        </is>
      </c>
      <c r="F4" s="99" t="inlineStr">
        <is>
          <t xml:space="preserve">998953135155 SMS UZI, 998954616995 SMS AYOLI, 998902025254 SMS AKASI Begona, 998772639874 SMS OPASI,</t>
        </is>
      </c>
      <c r="G4" s="99" t="inlineStr">
        <is>
          <t xml:space="preserve">ANDIJON VILOYATI QO’RG’ONTEPA TUMANI DARDOK, NAVOIY MFY YANGI OBOD KO’CHASI 334-UY</t>
        </is>
      </c>
      <c r="H4" s="100">
        <v>3.0</v>
      </c>
      <c r="I4" s="100">
        <v>6326912.3</v>
      </c>
    </row>
    <row r="5">
      <c r="A5" s="99" t="inlineStr">
        <is>
          <t xml:space="preserve">АНДИЖОН ВИЛОЯТИ</t>
        </is>
      </c>
      <c r="B5" s="99" t="inlineStr">
        <is>
          <t xml:space="preserve">SUPER BRANCH</t>
        </is>
      </c>
      <c r="C5" s="99" t="inlineStr">
        <is>
          <t xml:space="preserve">Объезд</t>
        </is>
      </c>
      <c r="D5" s="99" t="inlineStr">
        <is>
          <t xml:space="preserve">Кр-99061829-1</t>
        </is>
      </c>
      <c r="E5" s="99" t="inlineStr">
        <is>
          <t xml:space="preserve">JO’RAYEV BAXTIYAR BAZAROVICH</t>
        </is>
      </c>
      <c r="F5" s="99" t="inlineStr">
        <is>
          <t xml:space="preserve">998994380553 ozi, 998944172190 ayoli, 998500450753 ogli,</t>
        </is>
      </c>
      <c r="G5" s="99" t="inlineStr">
        <is>
          <t xml:space="preserve">Манзил: ANDIJON VILOYATI ASAKA TUMANI FAROVON MFY UZUN KO’CHASI 64-UY</t>
        </is>
      </c>
      <c r="H5" s="100">
        <v>3.0</v>
      </c>
      <c r="I5" s="100">
        <v>6320702.57</v>
      </c>
    </row>
    <row r="6">
      <c r="A6" s="99" t="inlineStr">
        <is>
          <t xml:space="preserve">АНДИЖОН ВИЛОЯТИ</t>
        </is>
      </c>
      <c r="B6" s="99" t="inlineStr">
        <is>
          <t xml:space="preserve">SUPER BRANCH</t>
        </is>
      </c>
      <c r="C6" s="99" t="inlineStr">
        <is>
          <t xml:space="preserve">Объезд</t>
        </is>
      </c>
      <c r="D6" s="99" t="inlineStr">
        <is>
          <t xml:space="preserve">Кр-99061813-1</t>
        </is>
      </c>
      <c r="E6" s="99" t="inlineStr">
        <is>
          <t xml:space="preserve">AXMEDOVA LOLAXON XASANOVNA</t>
        </is>
      </c>
      <c r="F6" s="99" t="inlineStr">
        <is>
          <t xml:space="preserve">998939680860 узи, 998948093111 угли, 998772093139 угли, 998990300805 угли,</t>
        </is>
      </c>
      <c r="G6" s="99" t="inlineStr">
        <is>
          <t xml:space="preserve">ANDIJON VILOYATI IZBOSKAN TUMANI CHEKYO MFY ABU ALI IBN SINO KO’CHASI 27-UY</t>
        </is>
      </c>
      <c r="H6" s="100">
        <v>3.0</v>
      </c>
      <c r="I6" s="100">
        <v>5689270.98</v>
      </c>
    </row>
    <row r="7">
      <c r="A7" s="99" t="inlineStr">
        <is>
          <t xml:space="preserve">АНДИЖОН ВИЛОЯТИ</t>
        </is>
      </c>
      <c r="B7" s="99" t="inlineStr">
        <is>
          <t xml:space="preserve">SUPER BRANCH</t>
        </is>
      </c>
      <c r="C7" s="99" t="inlineStr">
        <is>
          <t xml:space="preserve">Объезд</t>
        </is>
      </c>
      <c r="D7" s="99" t="inlineStr">
        <is>
          <t xml:space="preserve">Кр-99052625-1</t>
        </is>
      </c>
      <c r="E7" s="99" t="inlineStr">
        <is>
          <t xml:space="preserve">SHAMATOVA MAXMUDAXON UMIDJON QIZI</t>
        </is>
      </c>
      <c r="F7" s="99" t="inlineStr">
        <is>
          <t xml:space="preserve">998916120121 SMS OZI, 998885937444 SMS ONASI, 998889680010 SMS OTASI, 998907585855 SMS OPASI,</t>
        </is>
      </c>
      <c r="G7" s="99" t="inlineStr">
        <is>
          <t xml:space="preserve">ANDIJON VILOYATI ANDIJON TUMANI SADDATAGI MFY CHEK KO’CHASI 87-UY</t>
        </is>
      </c>
      <c r="H7" s="100">
        <v>3.0</v>
      </c>
      <c r="I7" s="100">
        <v>5067127.62</v>
      </c>
    </row>
    <row r="8">
      <c r="A8" s="99" t="inlineStr">
        <is>
          <t xml:space="preserve">АНДИЖОН ВИЛОЯТИ</t>
        </is>
      </c>
      <c r="B8" s="99" t="inlineStr">
        <is>
          <t xml:space="preserve">SUPER BRANCH</t>
        </is>
      </c>
      <c r="C8" s="99" t="inlineStr">
        <is>
          <t xml:space="preserve">Объезд</t>
        </is>
      </c>
      <c r="D8" s="99" t="inlineStr">
        <is>
          <t xml:space="preserve">Кр-99040471-1</t>
        </is>
      </c>
      <c r="E8" s="99" t="inlineStr">
        <is>
          <t xml:space="preserve">ABDULLAYEVA FERUZAXON RAPIKOVNA</t>
        </is>
      </c>
      <c r="F8" s="99" t="inlineStr">
        <is>
          <t xml:space="preserve">998958551476 SMS OZI,</t>
        </is>
      </c>
      <c r="G8" s="99" t="inlineStr">
        <is>
          <t xml:space="preserve">ANDIJON VILOYATI XO’JAOBOD TUMANI KO’PRIKBOSHI MFY, KO’CHAK  KO’CHASI 64-UY</t>
        </is>
      </c>
      <c r="H8" s="100">
        <v>3.0</v>
      </c>
      <c r="I8" s="100">
        <v>4454025.37</v>
      </c>
    </row>
    <row r="9">
      <c r="A9" s="99" t="inlineStr">
        <is>
          <t xml:space="preserve">АНДИЖОН ВИЛОЯТИ</t>
        </is>
      </c>
      <c r="B9" s="99" t="inlineStr">
        <is>
          <t xml:space="preserve">SUPER BRANCH</t>
        </is>
      </c>
      <c r="C9" s="99" t="inlineStr">
        <is>
          <t xml:space="preserve">Объезд</t>
        </is>
      </c>
      <c r="D9" s="99" t="inlineStr">
        <is>
          <t xml:space="preserve">Кр-99034299-2</t>
        </is>
      </c>
      <c r="E9" s="99" t="inlineStr">
        <is>
          <t xml:space="preserve">MAMADALIYEVA ZUXRAXON BAXROMOVNA</t>
        </is>
      </c>
      <c r="F9" s="99" t="inlineStr">
        <is>
          <t xml:space="preserve">998979939062 SMS TOLOVCHI, 998889990036 SMS OGLI, 998889991060 SMS OGLI, 998999722052 SMS OZI,</t>
        </is>
      </c>
      <c r="G9" s="99" t="inlineStr">
        <is>
          <t xml:space="preserve">ANDIJON VILOYATI ASAKA TUMANI CHEK MFY, FARG’ONA KATTA YO’LI KO’CHASI </t>
        </is>
      </c>
      <c r="H9" s="100">
        <v>3.0</v>
      </c>
      <c r="I9" s="100">
        <v>4176578.39</v>
      </c>
    </row>
    <row r="10">
      <c r="A10" s="99" t="inlineStr">
        <is>
          <t xml:space="preserve">АНДИЖОН ВИЛОЯТИ</t>
        </is>
      </c>
      <c r="B10" s="99" t="inlineStr">
        <is>
          <t xml:space="preserve">SUPER BRANCH</t>
        </is>
      </c>
      <c r="C10" s="99" t="inlineStr">
        <is>
          <t xml:space="preserve">Объезд</t>
        </is>
      </c>
      <c r="D10" s="99" t="inlineStr">
        <is>
          <t xml:space="preserve">Кр-99036805-2</t>
        </is>
      </c>
      <c r="E10" s="99" t="inlineStr">
        <is>
          <t xml:space="preserve">BESHBAYEVA OYAT KASIMOVA</t>
        </is>
      </c>
      <c r="F10" s="99" t="inlineStr">
        <is>
          <t xml:space="preserve">998979805801 SMS ozi , 998950012711 SMS ogli , 998501114027 SMS kelini , 998938252911 SMS ukasi , 998979805801 SMS ozi ,</t>
        </is>
      </c>
      <c r="G10" s="99" t="inlineStr">
        <is>
          <t xml:space="preserve">ANDIJON SHAHRI </t>
        </is>
      </c>
      <c r="H10" s="100">
        <v>3.0</v>
      </c>
      <c r="I10" s="100">
        <v>857160.13</v>
      </c>
    </row>
    <row r="11">
      <c r="A11" s="99" t="inlineStr">
        <is>
          <t xml:space="preserve">АНДИЖОН ВИЛОЯТИ</t>
        </is>
      </c>
      <c r="B11" s="99" t="inlineStr">
        <is>
          <t xml:space="preserve">SUPER BRANCH</t>
        </is>
      </c>
      <c r="C11" s="99" t="inlineStr">
        <is>
          <t xml:space="preserve">Объезд</t>
        </is>
      </c>
      <c r="D11" s="99" t="inlineStr">
        <is>
          <t xml:space="preserve">Кр-99038275-3</t>
        </is>
      </c>
      <c r="E11" s="99" t="inlineStr">
        <is>
          <t xml:space="preserve">KARIMOVA XAMROXON MO’YDINOVNA</t>
        </is>
      </c>
      <c r="F11" s="99" t="inlineStr">
        <is>
          <t xml:space="preserve">998508831410 SMS OZI, 998948881410 SMS OGLI, 998916012492 SMS KELINI, 998937359892 SMS AKASI,</t>
        </is>
      </c>
      <c r="G11" s="99" t="inlineStr">
        <is>
          <t xml:space="preserve">ANDIJON  VILOYATI SHAXRIXON   TUMANI YANGIMAXALLA MFY, OBOD KO’CHASI  75/1-UY</t>
        </is>
      </c>
      <c r="H11" s="100">
        <v>3.0</v>
      </c>
      <c r="I11" s="100">
        <v>661666.93</v>
      </c>
    </row>
    <row r="12">
      <c r="A12" s="99" t="inlineStr">
        <is>
          <t xml:space="preserve">АНДИЖОН ВИЛОЯТИ</t>
        </is>
      </c>
      <c r="B12" s="99" t="inlineStr">
        <is>
          <t xml:space="preserve">SUPER BRANCH</t>
        </is>
      </c>
      <c r="C12" s="99" t="inlineStr">
        <is>
          <t xml:space="preserve">Объезд</t>
        </is>
      </c>
      <c r="D12" s="99" t="inlineStr">
        <is>
          <t xml:space="preserve">Кр-99038275-2</t>
        </is>
      </c>
      <c r="E12" s="99" t="inlineStr">
        <is>
          <t xml:space="preserve">KARIMOVA XAMROXON MO’YDINOVNA</t>
        </is>
      </c>
      <c r="F12" s="99" t="inlineStr">
        <is>
          <t xml:space="preserve">998508831410 SMS OZI, 998948881410 SMS OGLI, 998916012492 SMS KELINI, 998937359892 SMS AKASI,</t>
        </is>
      </c>
      <c r="G12" s="99" t="inlineStr">
        <is>
          <t xml:space="preserve">ANDIJON  VILOYATI SHAXRIXON   TUMANI YANGIMAXALLA MFY, OBOD KO’CHASI  75/1-UY</t>
        </is>
      </c>
      <c r="H12" s="100">
        <v>3.0</v>
      </c>
      <c r="I12" s="100">
        <v>620943.56</v>
      </c>
    </row>
    <row r="13">
      <c r="A13" s="101" t="inlineStr">
        <is>
          <t xml:space="preserve">АНДИЖОН ВИЛОЯТИ</t>
        </is>
      </c>
      <c r="B13" s="101" t="inlineStr">
        <is>
          <t xml:space="preserve">Андижон филиали</t>
        </is>
      </c>
      <c r="C13" s="101" t="inlineStr">
        <is>
          <t xml:space="preserve">Объезд</t>
        </is>
      </c>
      <c r="D13" s="101" t="inlineStr">
        <is>
          <t xml:space="preserve">Кр-99062881-1</t>
        </is>
      </c>
      <c r="E13" s="101" t="inlineStr">
        <is>
          <t xml:space="preserve">DJALILOVA SAXIBAXON XAMIDJANOVNA</t>
        </is>
      </c>
      <c r="F13" s="101" t="inlineStr">
        <is>
          <t xml:space="preserve">+998945131961 SMS O’ZI, 998933171152 SMS KELINI, 998934373105 SMS XO’JAYNI, 998998439222 SMS O’G’LI,</t>
        </is>
      </c>
      <c r="G13" s="101" t="inlineStr">
        <is>
          <t xml:space="preserve">ANDIJON VILOYATI   OLTINKO’L TUMANI ITTIFOQ MFY QO’RG’ONCHA KO’CH ASI 32-UY</t>
        </is>
      </c>
      <c r="H13" s="102">
        <v>3.0</v>
      </c>
      <c r="I13" s="102">
        <v>9270849.01</v>
      </c>
    </row>
    <row r="14">
      <c r="A14" s="101" t="inlineStr">
        <is>
          <t xml:space="preserve">АНДИЖОН ВИЛОЯТИ</t>
        </is>
      </c>
      <c r="B14" s="101" t="inlineStr">
        <is>
          <t xml:space="preserve">Андижон филиали</t>
        </is>
      </c>
      <c r="C14" s="101" t="inlineStr">
        <is>
          <t xml:space="preserve">Объезд</t>
        </is>
      </c>
      <c r="D14" s="101" t="inlineStr">
        <is>
          <t xml:space="preserve">Кр-99062903-1</t>
        </is>
      </c>
      <c r="E14" s="101" t="inlineStr">
        <is>
          <t xml:space="preserve">BAZARBAYEV ISMOILJON IBRAXIMOVICH</t>
        </is>
      </c>
      <c r="F14" s="101" t="inlineStr">
        <is>
          <t xml:space="preserve">+998902581505 SMS O’ZI, 998774300260 SMS AYOLI, 998932477040 SMS UY, 998943338444 SMS O’ZI 2 Begona ,</t>
        </is>
      </c>
      <c r="G14" s="101" t="inlineStr">
        <is>
          <t xml:space="preserve">ANDIJON VILOYATI   ANDIJON SHAHAR XAMDO’STLIK MFY IFTIXOR KO’CHASI 64-UY</t>
        </is>
      </c>
      <c r="H14" s="102">
        <v>3.0</v>
      </c>
      <c r="I14" s="102">
        <v>7524699.67</v>
      </c>
    </row>
    <row r="15">
      <c r="A15" s="101" t="inlineStr">
        <is>
          <t xml:space="preserve">АНДИЖОН ВИЛОЯТИ</t>
        </is>
      </c>
      <c r="B15" s="101" t="inlineStr">
        <is>
          <t xml:space="preserve">Андижон филиали</t>
        </is>
      </c>
      <c r="C15" s="101" t="inlineStr">
        <is>
          <t xml:space="preserve">Объезд</t>
        </is>
      </c>
      <c r="D15" s="101" t="inlineStr">
        <is>
          <t xml:space="preserve">Кр-99046576-1</t>
        </is>
      </c>
      <c r="E15" s="101" t="inlineStr">
        <is>
          <t xml:space="preserve">MAMADALIYEV SANJAR MURATOVICH</t>
        </is>
      </c>
      <c r="F15" s="101" t="inlineStr">
        <is>
          <t xml:space="preserve">+998945966091 SMS O’ZI, 998901474044 SMS QO’SHNISI ISLOMBEK, 998938061719 SMS AYOLI, 998952319791 SMS UKASI,</t>
        </is>
      </c>
      <c r="G15" s="101" t="inlineStr">
        <is>
          <t xml:space="preserve">Andijon viloyati Xo’jaobod tumani Quvvatmurod MFY Yangi xayot ko’chasi 115-uy</t>
        </is>
      </c>
      <c r="H15" s="102">
        <v>3.0</v>
      </c>
      <c r="I15" s="102">
        <v>4738055.93</v>
      </c>
    </row>
    <row r="16">
      <c r="A16" s="101" t="inlineStr">
        <is>
          <t xml:space="preserve">АНДИЖОН ВИЛОЯТИ</t>
        </is>
      </c>
      <c r="B16" s="101" t="inlineStr">
        <is>
          <t xml:space="preserve">Андижон филиали</t>
        </is>
      </c>
      <c r="C16" s="101" t="inlineStr">
        <is>
          <t xml:space="preserve">Объезд</t>
        </is>
      </c>
      <c r="D16" s="101" t="inlineStr">
        <is>
          <t xml:space="preserve">Кр-99041941-1</t>
        </is>
      </c>
      <c r="E16" s="101" t="inlineStr">
        <is>
          <t xml:space="preserve">DAMINOV UMIDJON OMADJON O’G’LI</t>
        </is>
      </c>
      <c r="F16" s="101" t="inlineStr">
        <is>
          <t xml:space="preserve">+998942579577 SMS O’ZI, 998700811712 SMS DADASI, 998934125332 SMS ONASI, 998979407999 SMS AKASI,</t>
        </is>
      </c>
      <c r="G16" s="101" t="inlineStr">
        <is>
          <t xml:space="preserve">Сой МФЙ, Оби хаёт кучаси, 30-уй</t>
        </is>
      </c>
      <c r="H16" s="102">
        <v>3.0</v>
      </c>
      <c r="I16" s="102">
        <v>4426781.05</v>
      </c>
    </row>
    <row r="17">
      <c r="A17" s="101" t="inlineStr">
        <is>
          <t xml:space="preserve">АНДИЖОН ВИЛОЯТИ</t>
        </is>
      </c>
      <c r="B17" s="101" t="inlineStr">
        <is>
          <t xml:space="preserve">Андижон филиали</t>
        </is>
      </c>
      <c r="C17" s="101" t="inlineStr">
        <is>
          <t xml:space="preserve">Объезд</t>
        </is>
      </c>
      <c r="D17" s="101" t="inlineStr">
        <is>
          <t xml:space="preserve">Кр-99031869-3</t>
        </is>
      </c>
      <c r="E17" s="101" t="inlineStr">
        <is>
          <t xml:space="preserve">YULCHIYEVA MOHLAROYIM G’ULOMJON QIZI</t>
        </is>
      </c>
      <c r="F17" s="101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17" s="101" t="inlineStr">
        <is>
          <t xml:space="preserve">ANDIJON VILOYATI SHAXRIXON TUMANI CHO’JA MFY CHO’JA KO’CHASI 71-UY</t>
        </is>
      </c>
      <c r="H17" s="102">
        <v>3.0</v>
      </c>
      <c r="I17" s="102">
        <v>2428071.38</v>
      </c>
    </row>
    <row r="18">
      <c r="A18" s="101" t="inlineStr">
        <is>
          <t xml:space="preserve">АНДИЖОН ВИЛОЯТИ</t>
        </is>
      </c>
      <c r="B18" s="101" t="inlineStr">
        <is>
          <t xml:space="preserve">Андижон филиали</t>
        </is>
      </c>
      <c r="C18" s="101" t="inlineStr">
        <is>
          <t xml:space="preserve">Объезд</t>
        </is>
      </c>
      <c r="D18" s="101" t="inlineStr">
        <is>
          <t xml:space="preserve">Кр-99062767-1</t>
        </is>
      </c>
      <c r="E18" s="101" t="inlineStr">
        <is>
          <t xml:space="preserve">BILALOV ULUGBEK NUMANOVICH</t>
        </is>
      </c>
      <c r="F18" s="101" t="inlineStr">
        <is>
          <t xml:space="preserve">+998905437348 SMS O’ZI, 998508991531 SMS QIZI, 998901487900 SMS AYOLI, 998991714745 SMS KUYOVI,</t>
        </is>
      </c>
      <c r="G18" s="101" t="inlineStr">
        <is>
          <t xml:space="preserve">Andijon viloyati Xo’jaobod tumani Mustaqillikning 27-yilligi MFY Obod 1 tor  ko’chasi, 558-yu</t>
        </is>
      </c>
      <c r="H18" s="102">
        <v>3.0</v>
      </c>
      <c r="I18" s="102">
        <v>2176954.17</v>
      </c>
    </row>
    <row r="19">
      <c r="A19" s="101" t="inlineStr">
        <is>
          <t xml:space="preserve">АНДИЖОН ВИЛОЯТИ</t>
        </is>
      </c>
      <c r="B19" s="101" t="inlineStr">
        <is>
          <t xml:space="preserve">Андижон филиали</t>
        </is>
      </c>
      <c r="C19" s="101" t="inlineStr">
        <is>
          <t xml:space="preserve">Объезд</t>
        </is>
      </c>
      <c r="D19" s="101" t="inlineStr">
        <is>
          <t xml:space="preserve">Кр-99057395-2</t>
        </is>
      </c>
      <c r="E19" s="101" t="inlineStr">
        <is>
          <t xml:space="preserve">SOBIROV AXMADULLOX MUXAMMADJON O’G’LI</t>
        </is>
      </c>
      <c r="F19" s="101" t="inlineStr">
        <is>
          <t xml:space="preserve">998979712424 SMS UZI, 998887527779 AKASI, 998884104045 SMS  KELNOYISI, 998972040525 SMS DADASI, +998979712424 SMS O’ZI, 998942493838 SMS AKASI,</t>
        </is>
      </c>
      <c r="G19" s="101" t="inlineStr">
        <is>
          <t xml:space="preserve">ANDIJON VILOYATI OLTINKO’L TUMANI CHO’NTAK MFY, MUSTAQILLIK  KO’CHASI 227-UY</t>
        </is>
      </c>
      <c r="H19" s="102">
        <v>6.0</v>
      </c>
      <c r="I19" s="102">
        <v>916555.64</v>
      </c>
    </row>
    <row r="20">
      <c r="A20" s="103" t="inlineStr">
        <is>
          <t xml:space="preserve">БУХОРО ВИЛОЯТИ</t>
        </is>
      </c>
      <c r="B20" s="103" t="inlineStr">
        <is>
          <t xml:space="preserve">SUPER BRANCH</t>
        </is>
      </c>
      <c r="C20" s="103" t="inlineStr">
        <is>
          <t xml:space="preserve">Объезд</t>
        </is>
      </c>
      <c r="D20" s="103" t="inlineStr">
        <is>
          <t xml:space="preserve">Кр-99030177-2</t>
        </is>
      </c>
      <c r="E20" s="103" t="inlineStr">
        <is>
          <t xml:space="preserve">RAXMATOV YO’LDOSH ZOYIR O’G’LI</t>
        </is>
      </c>
      <c r="F20" s="103" t="inlineStr">
        <is>
          <t xml:space="preserve"> </t>
        </is>
      </c>
      <c r="G20" s="103" t="inlineStr">
        <is>
          <t xml:space="preserve">BUXORO VILOYATI VOBKENT TUMANI QURUVCHI MFY, O'ZBEKISTON KO'CHASI, 196-UY</t>
        </is>
      </c>
      <c r="H20" s="104">
        <v>3.0</v>
      </c>
      <c r="I20" s="104">
        <v>1820966.04</v>
      </c>
      <c r="K20" s="103" t="inlineStr">
        <is>
          <t xml:space="preserve">BUNI UYIGA BORILDI  BU 20CHIDAGI TO'LOVI BN BITTA QILIB TO'LARKAN | 336</t>
        </is>
      </c>
    </row>
    <row r="21">
      <c r="A21" s="105" t="inlineStr">
        <is>
          <t xml:space="preserve">КАШКАДАРЁ ВИЛОЯТИ</t>
        </is>
      </c>
      <c r="B21" s="105" t="inlineStr">
        <is>
          <t xml:space="preserve">SUPER BRANCH</t>
        </is>
      </c>
      <c r="C21" s="105" t="inlineStr">
        <is>
          <t xml:space="preserve">Объезд</t>
        </is>
      </c>
      <c r="D21" s="105" t="inlineStr">
        <is>
          <t xml:space="preserve">Кр-99040255-1</t>
        </is>
      </c>
      <c r="E21" s="105" t="inlineStr">
        <is>
          <t xml:space="preserve">TO’RAYEVA INTIZOR HUSAN QIZI </t>
        </is>
      </c>
      <c r="F21" s="105" t="inlineStr">
        <is>
          <t xml:space="preserve">998991985752 SMS OZI, 998976701098 SMS AYOLI, 998995078900 SMS DADASI, 998915004348 узи ,</t>
        </is>
      </c>
      <c r="G21" s="105" t="inlineStr">
        <is>
          <t xml:space="preserve">QASHQADARYO VILOYATI KASBI TUMANI MIRZO ULUG’BEK MFY BAYDOQCHI QISHLOG’I ABDULLA ORIPOV KUCHASI 5-UY </t>
        </is>
      </c>
      <c r="I21" s="106">
        <v>1120087.32</v>
      </c>
    </row>
    <row r="22">
      <c r="A22" s="107" t="inlineStr">
        <is>
          <t xml:space="preserve">КАШКАДАРЁ ВИЛОЯТИ</t>
        </is>
      </c>
      <c r="B22" s="107" t="inlineStr">
        <is>
          <t xml:space="preserve">Қарши филиали</t>
        </is>
      </c>
      <c r="C22" s="107" t="inlineStr">
        <is>
          <t xml:space="preserve">Объезд</t>
        </is>
      </c>
      <c r="D22" s="107" t="inlineStr">
        <is>
          <t xml:space="preserve">Кр-99049163-1</t>
        </is>
      </c>
      <c r="E22" s="107" t="inlineStr">
        <is>
          <t xml:space="preserve">PULATOV ALISHER YULDASHKULOVICH</t>
        </is>
      </c>
      <c r="F22" s="107" t="inlineStr">
        <is>
          <t xml:space="preserve">+998972410500 UZIII, 998333191148 dadasi, 998973811370 onasi,</t>
        </is>
      </c>
      <c r="G22" s="107" t="inlineStr">
        <is>
          <t xml:space="preserve">КАШКАДАРЁ ВИЛОЯТИ ШАХРИСАБЗ ШАХРИ Навруз МФЙ Навруз кучаси 4-уй</t>
        </is>
      </c>
      <c r="H22" s="108">
        <v>3.0</v>
      </c>
      <c r="I22" s="108">
        <v>4599588.27</v>
      </c>
    </row>
    <row r="23">
      <c r="A23" s="107" t="inlineStr">
        <is>
          <t xml:space="preserve">КАШКАДАРЁ ВИЛОЯТИ</t>
        </is>
      </c>
      <c r="B23" s="107" t="inlineStr">
        <is>
          <t xml:space="preserve">Қарши филиали</t>
        </is>
      </c>
      <c r="C23" s="107" t="inlineStr">
        <is>
          <t xml:space="preserve">Объезд</t>
        </is>
      </c>
      <c r="D23" s="107" t="inlineStr">
        <is>
          <t xml:space="preserve">Кр-99040472-1</t>
        </is>
      </c>
      <c r="E23" s="107" t="inlineStr">
        <is>
          <t xml:space="preserve">SHAXAROVA SHAXRIZODA FARXOD QIZI</t>
        </is>
      </c>
      <c r="F23" s="107" t="inlineStr">
        <is>
          <t xml:space="preserve">998886727122 SMS OZI BEGONA, 998970809786 SMS AKASI, 998995850151 SMS OZI , 998945228482 SMS ZALOGADATEL , 998912120151 SMS NEW UZI ,</t>
        </is>
      </c>
      <c r="G23" s="107" t="inlineStr">
        <is>
          <t xml:space="preserve">ЧУМИЧЛИ МФЙ, ЧУМИЧЛИ КИШЛОГИ,  uy:Р/С</t>
        </is>
      </c>
      <c r="H23" s="108">
        <v>204.0</v>
      </c>
      <c r="I23" s="108">
        <v>0.0</v>
      </c>
      <c r="K23" s="107" t="inlineStr">
        <is>
          <t xml:space="preserve">auksion | 1027 | 47747641.76</t>
        </is>
      </c>
    </row>
    <row r="24">
      <c r="A24" s="109" t="inlineStr">
        <is>
          <t xml:space="preserve">НАМАНГАН ВИЛОЯТИ</t>
        </is>
      </c>
      <c r="B24" s="109" t="inlineStr">
        <is>
          <t xml:space="preserve">SUPER BRANCH</t>
        </is>
      </c>
      <c r="C24" s="109" t="inlineStr">
        <is>
          <t xml:space="preserve">Объезд</t>
        </is>
      </c>
      <c r="D24" s="109" t="inlineStr">
        <is>
          <t xml:space="preserve">Кр-99040115-1</t>
        </is>
      </c>
      <c r="E24" s="109" t="inlineStr">
        <is>
          <t xml:space="preserve">SIDDIKOV JAMOLIDDIN BOTIRALIYEVICH</t>
        </is>
      </c>
      <c r="F24" s="109" t="inlineStr">
        <is>
          <t xml:space="preserve">998931704442 SMS OZI, 998505892915 SMS OGLI, 998936998187 SMS AYOLI, 998932162300 SMS JIYANI,</t>
        </is>
      </c>
      <c r="G24" s="109" t="inlineStr">
        <is>
          <t xml:space="preserve">NAMANGAN VILOYATI NAMANGAN TUMANI ELATAN MFY ELATAN KO'CHASI 83-UY</t>
        </is>
      </c>
      <c r="H24" s="110">
        <v>3.0</v>
      </c>
      <c r="I24" s="110">
        <v>1279577.33</v>
      </c>
      <c r="K24" s="109" t="inlineStr">
        <is>
          <t xml:space="preserve">yopildi | Хороший</t>
        </is>
      </c>
    </row>
    <row r="25">
      <c r="A25" s="111" t="inlineStr">
        <is>
          <t xml:space="preserve">НАМАНГАН ВИЛОЯТИ</t>
        </is>
      </c>
      <c r="B25" s="111" t="inlineStr">
        <is>
          <t xml:space="preserve">Наманган филиали</t>
        </is>
      </c>
      <c r="C25" s="111" t="inlineStr">
        <is>
          <t xml:space="preserve">Объезд</t>
        </is>
      </c>
      <c r="D25" s="111" t="inlineStr">
        <is>
          <t xml:space="preserve">Кр-99064601-1</t>
        </is>
      </c>
      <c r="E25" s="111" t="inlineStr">
        <is>
          <t xml:space="preserve">INAMOV XABIBILLA ABDUMAJIDOVICH</t>
        </is>
      </c>
      <c r="F25" s="111" t="inlineStr">
        <is>
          <t xml:space="preserve">998500542166 SMS O’ZI, 998505991966 SMS AYOLI, 998885250506 SMS O’G’LI,</t>
        </is>
      </c>
      <c r="G25" s="111" t="inlineStr">
        <is>
          <t xml:space="preserve">NAMANGAN VILOYATI NAMANGAN TUMANI MALLAXOVUZ MFY ALISHER NAVOIY KO’CHASI 32-UY</t>
        </is>
      </c>
      <c r="H25" s="112">
        <v>3.0</v>
      </c>
      <c r="I25" s="112">
        <v>3071438.83</v>
      </c>
      <c r="K25" s="111" t="inlineStr">
        <is>
          <t xml:space="preserve">yopildi | Хороший</t>
        </is>
      </c>
    </row>
    <row r="26">
      <c r="A26" s="111" t="inlineStr">
        <is>
          <t xml:space="preserve">НАМАНГАН ВИЛОЯТИ</t>
        </is>
      </c>
      <c r="B26" s="111" t="inlineStr">
        <is>
          <t xml:space="preserve">Наманган филиали</t>
        </is>
      </c>
      <c r="C26" s="111" t="inlineStr">
        <is>
          <t xml:space="preserve">Объезд</t>
        </is>
      </c>
      <c r="D26" s="111" t="inlineStr">
        <is>
          <t xml:space="preserve">Кр-99064363-1</t>
        </is>
      </c>
      <c r="E26" s="111" t="inlineStr">
        <is>
          <t xml:space="preserve">XOLMATOV FARXOD AXMADALIYEVICH</t>
        </is>
      </c>
      <c r="F26" s="111" t="inlineStr">
        <is>
          <t xml:space="preserve">998950860626 SMS O’ZI, 998946520122 SMS SINGLISI, 998992268606 SMS UKASI,</t>
        </is>
      </c>
      <c r="G26" s="111" t="inlineStr">
        <is>
          <t xml:space="preserve">НАМАНГАН ВИЛОЯТИ УЙЧИ ТУМАНИ ЯНГИХАЁТ МФЙ АДИБЛАР КЎЧАСИ 1-УЙ</t>
        </is>
      </c>
      <c r="H26" s="112">
        <v>3.0</v>
      </c>
      <c r="I26" s="112">
        <v>984668.81</v>
      </c>
      <c r="K26" s="111" t="inlineStr">
        <is>
          <t xml:space="preserve">yopildi | Хороший</t>
        </is>
      </c>
    </row>
    <row r="27">
      <c r="A27" s="113" t="inlineStr">
        <is>
          <t xml:space="preserve">СУРХОНДАРЁ ВИЛОЯТИ</t>
        </is>
      </c>
      <c r="B27" s="113" t="inlineStr">
        <is>
          <t xml:space="preserve">BOSH OFIS</t>
        </is>
      </c>
      <c r="C27" s="113" t="inlineStr">
        <is>
          <t xml:space="preserve">Объезд</t>
        </is>
      </c>
      <c r="D27" s="113" t="inlineStr">
        <is>
          <t xml:space="preserve">Кр-99041744-1</t>
        </is>
      </c>
      <c r="E27" s="113" t="inlineStr">
        <is>
          <t xml:space="preserve">KARIMOVA MADINA SOTTOR QIZI</t>
        </is>
      </c>
      <c r="F27" s="113" t="inlineStr">
        <is>
          <t xml:space="preserve">998975527101 SMS OZI, 998881927101 SMS UY, 999872010159 SMS OILASI, 998785510044 SMS UKASI, 998957737555 SMS ERI,</t>
        </is>
      </c>
      <c r="G27" s="113" t="inlineStr">
        <is>
          <t xml:space="preserve">SURXONDARYO VILOYATI DENOV TUMANI BUYUKIPAK YULI MFY I.KARIMOV 70-UY</t>
        </is>
      </c>
      <c r="H27" s="114">
        <v>3.0</v>
      </c>
      <c r="I27" s="114">
        <v>1024654.74</v>
      </c>
      <c r="K27" s="113" t="inlineStr">
        <is>
          <t xml:space="preserve">2-3 kunda tolo qlad | 1201</t>
        </is>
      </c>
    </row>
    <row r="28">
      <c r="A28" s="115" t="inlineStr">
        <is>
          <t xml:space="preserve">СУРХОНДАРЁ ВИЛОЯТИ</t>
        </is>
      </c>
      <c r="B28" s="115" t="inlineStr">
        <is>
          <t xml:space="preserve">SUPER BRANCH</t>
        </is>
      </c>
      <c r="C28" s="115" t="inlineStr">
        <is>
          <t xml:space="preserve">Объезд</t>
        </is>
      </c>
      <c r="D28" s="115" t="inlineStr">
        <is>
          <t xml:space="preserve">Кр-99007175-2</t>
        </is>
      </c>
      <c r="E28" s="115" t="inlineStr">
        <is>
          <t xml:space="preserve">KOHAROV USMON ERGASHOVICH</t>
        </is>
      </c>
      <c r="F28" s="115" t="inlineStr">
        <is>
          <t xml:space="preserve">91-580-94-59 SMS, 90-747-47-68 SMS XOTINI NILUFDAR OPA, 91-513-87-87 SMS O’G’LI MIROLIM, 99-979-13-85 SMS UY,</t>
        </is>
      </c>
      <c r="G28" s="115" t="inlineStr">
        <is>
          <t xml:space="preserve">SURXONDARYO VILOYATI QUMQO’RG’ON TUMANI NAVBAHOR MFY AT-TERMIZIY KO’CHASI 7-UY</t>
        </is>
      </c>
      <c r="H28" s="116">
        <v>3.0</v>
      </c>
      <c r="I28" s="116">
        <v>5873438.66</v>
      </c>
      <c r="K28" s="115" t="inlineStr">
        <is>
          <t xml:space="preserve">usmon bn gaplawdm oglmga etaman tolo qlad dd | 28</t>
        </is>
      </c>
    </row>
    <row r="29">
      <c r="A29" s="115" t="inlineStr">
        <is>
          <t xml:space="preserve">СУРХОНДАРЁ ВИЛОЯТИ</t>
        </is>
      </c>
      <c r="B29" s="115" t="inlineStr">
        <is>
          <t xml:space="preserve">SUPER BRANCH</t>
        </is>
      </c>
      <c r="C29" s="115" t="inlineStr">
        <is>
          <t xml:space="preserve">Объезд</t>
        </is>
      </c>
      <c r="D29" s="115" t="inlineStr">
        <is>
          <t xml:space="preserve">Кр-99053658-1</t>
        </is>
      </c>
      <c r="E29" s="115" t="inlineStr">
        <is>
          <t xml:space="preserve">MUROTALIV BEKMUROD XAITMUROT O’G’LI</t>
        </is>
      </c>
      <c r="F29" s="115" t="inlineStr">
        <is>
          <t xml:space="preserve">998773737223 SMS OZI, 998200295964 SMS OZI, 998954405859 SMS OANSI, 998915833844 SMS AKASI, 998950199165 SMS ozi new,</t>
        </is>
      </c>
      <c r="G29" s="115" t="inlineStr">
        <is>
          <t xml:space="preserve">SURXONDARYO VILOYAT QUMQURG’ON TUMAN GULTEPA MFY BOYQISHLOQ KO’CHASI 252-UY</t>
        </is>
      </c>
      <c r="H29" s="116">
        <v>31.0</v>
      </c>
      <c r="I29" s="116">
        <v>5099952.11</v>
      </c>
      <c r="K29" s="115" t="inlineStr">
        <is>
          <t xml:space="preserve">oy oxrgaca tolo qlad | 1544</t>
        </is>
      </c>
    </row>
    <row r="30">
      <c r="A30" s="115" t="inlineStr">
        <is>
          <t xml:space="preserve">СУРХОНДАРЁ ВИЛОЯТИ</t>
        </is>
      </c>
      <c r="B30" s="115" t="inlineStr">
        <is>
          <t xml:space="preserve">SUPER BRANCH</t>
        </is>
      </c>
      <c r="C30" s="115" t="inlineStr">
        <is>
          <t xml:space="preserve">Объезд</t>
        </is>
      </c>
      <c r="D30" s="115" t="inlineStr">
        <is>
          <t xml:space="preserve">Кр-99038658-1</t>
        </is>
      </c>
      <c r="E30" s="115" t="inlineStr">
        <is>
          <t xml:space="preserve">XO’JAMURODOV ORZUBEK AHMAD O’G’LI</t>
        </is>
      </c>
      <c r="F30" s="115" t="inlineStr">
        <is>
          <t xml:space="preserve">998919050123 SMS OZI, 998904804646 SMS OZI 2, 998915128040 SMS AKASI, 998998179399 SMS UYI,</t>
        </is>
      </c>
      <c r="G30" s="115" t="inlineStr">
        <is>
          <t xml:space="preserve">SURXONDARYO VILOYATI SHO’RCHI TUMANI BOBUR  MFYAT-TERMIZI 14-UY</t>
        </is>
      </c>
      <c r="H30" s="116">
        <v>3.0</v>
      </c>
      <c r="I30" s="116">
        <v>3503608.26</v>
      </c>
      <c r="K30" s="115" t="inlineStr">
        <is>
          <t xml:space="preserve">bugun tolo qlad | 789</t>
        </is>
      </c>
    </row>
    <row r="31">
      <c r="A31" s="115" t="inlineStr">
        <is>
          <t xml:space="preserve">СУРХОНДАРЁ ВИЛОЯТИ</t>
        </is>
      </c>
      <c r="B31" s="115" t="inlineStr">
        <is>
          <t xml:space="preserve">SUPER BRANCH</t>
        </is>
      </c>
      <c r="C31" s="115" t="inlineStr">
        <is>
          <t xml:space="preserve">Объезд</t>
        </is>
      </c>
      <c r="D31" s="115" t="inlineStr">
        <is>
          <t xml:space="preserve">Кр-99009967-4</t>
        </is>
      </c>
      <c r="E31" s="115" t="inlineStr">
        <is>
          <t xml:space="preserve">SANGILOVA MOXIRA RAXIMOVNA</t>
        </is>
      </c>
      <c r="F31" s="115" t="inlineStr">
        <is>
          <t xml:space="preserve">97-807-77-97 SMS, 99-678-23-45  SMS O’ZI, 99-360-50-13  SMS JIYANI MIRVALI, 88-808-97-02 SMS UY, 998915163497 SMS UY,</t>
        </is>
      </c>
      <c r="G31" s="115" t="inlineStr">
        <is>
          <t xml:space="preserve">ҚИЗИЛЖАР ҚФЙ, БУЮК ИПАК ЙЎЛИ МФЙ, ҚИЗИЛЖАР ҚФЙ, БУЮК ИПАК ЙЎЛИ МФЙ, БУЮК ИПАК ЙЎЛИ,  uy:Б/Н</t>
        </is>
      </c>
      <c r="H31" s="116">
        <v>3.0</v>
      </c>
      <c r="I31" s="116">
        <v>2599124.1</v>
      </c>
      <c r="K31" s="115" t="inlineStr">
        <is>
          <t xml:space="preserve">abetan kyn ofisga otad | 45</t>
        </is>
      </c>
    </row>
    <row r="32">
      <c r="A32" s="115" t="inlineStr">
        <is>
          <t xml:space="preserve">СУРХОНДАРЁ ВИЛОЯТИ</t>
        </is>
      </c>
      <c r="B32" s="115" t="inlineStr">
        <is>
          <t xml:space="preserve">SUPER BRANCH</t>
        </is>
      </c>
      <c r="C32" s="115" t="inlineStr">
        <is>
          <t xml:space="preserve">Объезд</t>
        </is>
      </c>
      <c r="D32" s="115" t="inlineStr">
        <is>
          <t xml:space="preserve">Кр-99034163-2</t>
        </is>
      </c>
      <c r="E32" s="115" t="inlineStr">
        <is>
          <t xml:space="preserve">XOLMATOV BEKZOD NORTOJIYEVICH</t>
        </is>
      </c>
      <c r="F32" s="115" t="inlineStr">
        <is>
          <t xml:space="preserve">998910790909 SMS O’ZI, 998951755754 SMS UY, 998919012266 SMS DADASI, 998952757552 SMS UKASI, 998954370777 ozi new new,</t>
        </is>
      </c>
      <c r="G32" s="115" t="inlineStr">
        <is>
          <t xml:space="preserve">SURXONDARYO VILOYATI DENOV TUMANI ZARAFSHON  MFY FIDOKAR K’OCHASI 6- UY</t>
        </is>
      </c>
      <c r="H32" s="116">
        <v>6.0</v>
      </c>
      <c r="I32" s="116">
        <v>2339584.78</v>
      </c>
      <c r="K32" s="115" t="inlineStr">
        <is>
          <t xml:space="preserve">bugun erte tolo qlad | 521</t>
        </is>
      </c>
    </row>
    <row r="33">
      <c r="A33" s="115" t="inlineStr">
        <is>
          <t xml:space="preserve">СУРХОНДАРЁ ВИЛОЯТИ</t>
        </is>
      </c>
      <c r="B33" s="115" t="inlineStr">
        <is>
          <t xml:space="preserve">SUPER BRANCH</t>
        </is>
      </c>
      <c r="C33" s="115" t="inlineStr">
        <is>
          <t xml:space="preserve">Объезд</t>
        </is>
      </c>
      <c r="D33" s="115" t="inlineStr">
        <is>
          <t xml:space="preserve">Кр-99011132-5</t>
        </is>
      </c>
      <c r="E33" s="115" t="inlineStr">
        <is>
          <t xml:space="preserve">XUDOYQULOV SHOHZOD ODILOVICH</t>
        </is>
      </c>
      <c r="F33" s="115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33" s="115" t="inlineStr">
        <is>
          <t xml:space="preserve">SURXONDARYO VILOYATI SHO’RCHI TUMANI DALVARZIN QFY EGARCHI MFY ADIR KO’CHASI 6-UY</t>
        </is>
      </c>
      <c r="H33" s="116">
        <v>3.0</v>
      </c>
      <c r="I33" s="116">
        <v>1188918.04</v>
      </c>
      <c r="K33" s="115" t="inlineStr">
        <is>
          <t xml:space="preserve">bugun tolo qlad | 51</t>
        </is>
      </c>
    </row>
    <row r="34">
      <c r="A34" s="115" t="inlineStr">
        <is>
          <t xml:space="preserve">СУРХОНДАРЁ ВИЛОЯТИ</t>
        </is>
      </c>
      <c r="B34" s="115" t="inlineStr">
        <is>
          <t xml:space="preserve">SUPER BRANCH</t>
        </is>
      </c>
      <c r="C34" s="115" t="inlineStr">
        <is>
          <t xml:space="preserve">Объезд</t>
        </is>
      </c>
      <c r="D34" s="115" t="inlineStr">
        <is>
          <t xml:space="preserve">Кр-99011383-5</t>
        </is>
      </c>
      <c r="E34" s="115" t="inlineStr">
        <is>
          <t xml:space="preserve">BURONOV ESHMAMAT KENJAYEVICH</t>
        </is>
      </c>
      <c r="F34" s="115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34" s="115" t="inlineStr">
        <is>
          <t xml:space="preserve">SURXONDARYO VILOYATI DENOV TUMANI BINOKOR QFY OZOD MFY TERAKZOR KO’CHASI 89-UY  </t>
        </is>
      </c>
      <c r="H34" s="116">
        <v>3.0</v>
      </c>
      <c r="I34" s="116">
        <v>1140969.77</v>
      </c>
      <c r="K34" s="115" t="inlineStr">
        <is>
          <t xml:space="preserve">kyng xafta tolo qlad | 53</t>
        </is>
      </c>
    </row>
    <row r="35">
      <c r="A35" s="115" t="inlineStr">
        <is>
          <t xml:space="preserve">СУРХОНДАРЁ ВИЛОЯТИ</t>
        </is>
      </c>
      <c r="B35" s="115" t="inlineStr">
        <is>
          <t xml:space="preserve">SUPER BRANCH</t>
        </is>
      </c>
      <c r="C35" s="115" t="inlineStr">
        <is>
          <t xml:space="preserve">Объезд</t>
        </is>
      </c>
      <c r="D35" s="115" t="inlineStr">
        <is>
          <t xml:space="preserve">Кр-99030323-2</t>
        </is>
      </c>
      <c r="E35" s="115" t="inlineStr">
        <is>
          <t xml:space="preserve">ERONOV YUNUS TO’LAGANOVICH</t>
        </is>
      </c>
      <c r="F35" s="115" t="inlineStr">
        <is>
          <t xml:space="preserve">88-611-55-53 SMS O’ZI, 88-939-29-97  SMS UKASI, 99-557-23-55  SMS AYOLI, 97-696-05-65  SMS UY,</t>
        </is>
      </c>
      <c r="G35" s="115" t="inlineStr">
        <is>
          <t xml:space="preserve">SURXONDARYO VILOYATI DENOV  SHAXAR  QIZILCHA MFY  OL’GA  KO’CHASI 42-UY</t>
        </is>
      </c>
      <c r="H35" s="116">
        <v>3.0</v>
      </c>
      <c r="I35" s="116">
        <v>934654.23</v>
      </c>
      <c r="K35" s="115" t="inlineStr">
        <is>
          <t xml:space="preserve">uyida yoq | 344</t>
        </is>
      </c>
    </row>
    <row r="36">
      <c r="A36" s="115" t="inlineStr">
        <is>
          <t xml:space="preserve">СУРХОНДАРЁ ВИЛОЯТИ</t>
        </is>
      </c>
      <c r="B36" s="115" t="inlineStr">
        <is>
          <t xml:space="preserve">SUPER BRANCH</t>
        </is>
      </c>
      <c r="C36" s="115" t="inlineStr">
        <is>
          <t xml:space="preserve">Объезд</t>
        </is>
      </c>
      <c r="D36" s="115" t="inlineStr">
        <is>
          <t xml:space="preserve">Кр-99057464-1</t>
        </is>
      </c>
      <c r="E36" s="115" t="inlineStr">
        <is>
          <t xml:space="preserve">MUMINOV G’ULOM NORMURODOVICH</t>
        </is>
      </c>
      <c r="F36" s="115" t="inlineStr">
        <is>
          <t xml:space="preserve">998942650302 SMS UZI, 998937084577 SMS UY, 998940000686 SMS AKASI, 998771100683 SMS OILASI,</t>
        </is>
      </c>
      <c r="G36" s="115" t="inlineStr">
        <is>
          <t xml:space="preserve">SURXONDARYO VILOYATI DENOV TUMANI SOXIBKOR MFY USHOR 30-UY</t>
        </is>
      </c>
      <c r="H36" s="116">
        <v>3.0</v>
      </c>
      <c r="I36" s="116">
        <v>241335.57</v>
      </c>
      <c r="K36" s="115" t="inlineStr">
        <is>
          <t xml:space="preserve">20 cida tolo qlad | 1655</t>
        </is>
      </c>
    </row>
    <row r="37">
      <c r="A37" s="117" t="inlineStr">
        <is>
          <t xml:space="preserve">СУРХОНДАРЁ ВИЛОЯТИ</t>
        </is>
      </c>
      <c r="B37" s="117" t="inlineStr">
        <is>
          <t xml:space="preserve">Денов филиали</t>
        </is>
      </c>
      <c r="C37" s="117" t="inlineStr">
        <is>
          <t xml:space="preserve">Объезд</t>
        </is>
      </c>
      <c r="D37" s="117" t="inlineStr">
        <is>
          <t xml:space="preserve">Кр-99042205-2</t>
        </is>
      </c>
      <c r="E37" s="117" t="inlineStr">
        <is>
          <t xml:space="preserve">ERGASHOVA GULCHEHRA HASANOVNA</t>
        </is>
      </c>
      <c r="F37" s="117" t="inlineStr">
        <is>
          <t xml:space="preserve">998915100210 SMS UY, 998915742909 SMS AYOLI, 998919080869 SMS O’ZI,</t>
        </is>
      </c>
      <c r="G37" s="117" t="inlineStr">
        <is>
          <t xml:space="preserve">СУРХОНДАРЁ ВИЛОЯТИ ШУРЧИ ТУМАНИ ҚЎЛДОШ ҚФЙ, ГУЛИСТОН МФЙ,  uy:68</t>
        </is>
      </c>
      <c r="H37" s="118">
        <v>31.0</v>
      </c>
      <c r="I37" s="118">
        <v>7863590.32</v>
      </c>
      <c r="K37" s="117" t="inlineStr">
        <is>
          <t xml:space="preserve">tubi yoq uyidayam hic km yoq | 1244</t>
        </is>
      </c>
    </row>
    <row r="38">
      <c r="A38" s="117" t="inlineStr">
        <is>
          <t xml:space="preserve">СУРХОНДАРЁ ВИЛОЯТИ</t>
        </is>
      </c>
      <c r="B38" s="117" t="inlineStr">
        <is>
          <t xml:space="preserve">Денов филиали</t>
        </is>
      </c>
      <c r="C38" s="117" t="inlineStr">
        <is>
          <t xml:space="preserve">Объезд</t>
        </is>
      </c>
      <c r="D38" s="117" t="inlineStr">
        <is>
          <t xml:space="preserve">Кр-99041369-2</t>
        </is>
      </c>
      <c r="E38" s="117" t="inlineStr">
        <is>
          <t xml:space="preserve">YAXSHIBAYEV BOTIRALI BOZAROVICH</t>
        </is>
      </c>
      <c r="F38" s="117" t="inlineStr">
        <is>
          <t xml:space="preserve">998700427872 SMS O’ZI ЗАНГИОТАДА ИШЛИРКАН ТИПЛИЦАДА , 998912331287 SMS OILASI, 998954189496 SMS UY,</t>
        </is>
      </c>
      <c r="G38" s="117" t="inlineStr">
        <is>
          <t xml:space="preserve">СУРХОНДАРЁ ВИЛОЯТИ ШУРЧИ ТУМАНИ ЯНГИБОЗОР ҚФЙ, ЖАРҚИШЛОҚ ШФЙ, ОЛМАЗОР КУЧАСИ 57-uy:Р/С</t>
        </is>
      </c>
      <c r="H38" s="118">
        <v>3.0</v>
      </c>
      <c r="I38" s="118">
        <v>3431052.17</v>
      </c>
      <c r="K38" s="117" t="inlineStr">
        <is>
          <t xml:space="preserve">bugun erte tolo qlad | 1153</t>
        </is>
      </c>
    </row>
    <row r="39">
      <c r="A39" s="117" t="inlineStr">
        <is>
          <t xml:space="preserve">СУРХОНДАРЁ ВИЛОЯТИ</t>
        </is>
      </c>
      <c r="B39" s="117" t="inlineStr">
        <is>
          <t xml:space="preserve">Денов филиали</t>
        </is>
      </c>
      <c r="C39" s="117" t="inlineStr">
        <is>
          <t xml:space="preserve">Объезд</t>
        </is>
      </c>
      <c r="D39" s="117" t="inlineStr">
        <is>
          <t xml:space="preserve">Кр-99063624-2</t>
        </is>
      </c>
      <c r="E39" s="117" t="inlineStr">
        <is>
          <t xml:space="preserve">SAIDOV MA’RUF MAXMUDOVICH</t>
        </is>
      </c>
      <c r="F39" s="117" t="inlineStr">
        <is>
          <t xml:space="preserve">998500156084 O’G’LI, 998504779207 AYOLI, 998772496888 O’ZI,</t>
        </is>
      </c>
      <c r="G39" s="117" t="inlineStr">
        <is>
          <t xml:space="preserve">SURXONDARYO VILOYATI DENOV TUMANI NAMUNA MFY 4-YANGI HAYOT KO’CHASI 26-UY</t>
        </is>
      </c>
      <c r="H39" s="118">
        <v>3.0</v>
      </c>
      <c r="I39" s="118">
        <v>3412722.0</v>
      </c>
      <c r="K39" s="117" t="inlineStr">
        <is>
          <t xml:space="preserve">erte tolo qlad 100% | 2148</t>
        </is>
      </c>
    </row>
    <row r="40">
      <c r="A40" s="117" t="inlineStr">
        <is>
          <t xml:space="preserve">СУРХОНДАРЁ ВИЛОЯТИ</t>
        </is>
      </c>
      <c r="B40" s="117" t="inlineStr">
        <is>
          <t xml:space="preserve">Денов филиали</t>
        </is>
      </c>
      <c r="C40" s="117" t="inlineStr">
        <is>
          <t xml:space="preserve">Объезд</t>
        </is>
      </c>
      <c r="D40" s="117" t="inlineStr">
        <is>
          <t xml:space="preserve">Кр-99029978-2</t>
        </is>
      </c>
      <c r="E40" s="117" t="inlineStr">
        <is>
          <t xml:space="preserve">MUMINOV ILYOR XAITOVICH</t>
        </is>
      </c>
      <c r="F40" s="117" t="inlineStr">
        <is>
          <t xml:space="preserve">99-703-27-88 SMS O’ZI, 998959018795 SMS O'ZI , 99-592-87-95 SMS AYOLI, 93-490-31-86  SMS UY uchaskavoyman ddi aldagan boliwiyam mukun , 998770148648 ukasi   BEGONA , 998953868795 SMS elnur ozi,</t>
        </is>
      </c>
      <c r="G40" s="117" t="inlineStr">
        <is>
          <t xml:space="preserve">SURXONDARYO VILOYATI DENOV TUMANI TORTUVLI QFY CHAMBIL MFY QULOBAD KO’CHASI 1-UY</t>
        </is>
      </c>
      <c r="H40" s="118">
        <v>3.0</v>
      </c>
      <c r="I40" s="118">
        <v>2372565.59</v>
      </c>
      <c r="K40" s="117" t="inlineStr">
        <is>
          <t xml:space="preserve">bugun uzogi erte | 332</t>
        </is>
      </c>
    </row>
    <row r="41">
      <c r="A41" s="117" t="inlineStr">
        <is>
          <t xml:space="preserve">СУРХОНДАРЁ ВИЛОЯТИ</t>
        </is>
      </c>
      <c r="B41" s="117" t="inlineStr">
        <is>
          <t xml:space="preserve">Денов филиали</t>
        </is>
      </c>
      <c r="C41" s="117" t="inlineStr">
        <is>
          <t xml:space="preserve">Объезд</t>
        </is>
      </c>
      <c r="D41" s="117" t="inlineStr">
        <is>
          <t xml:space="preserve">Кр-99030323-1</t>
        </is>
      </c>
      <c r="E41" s="117" t="inlineStr">
        <is>
          <t xml:space="preserve">ERONOV YUNUS TO’LAGANOVICH</t>
        </is>
      </c>
      <c r="F41" s="117" t="inlineStr">
        <is>
          <t xml:space="preserve">88-611-55-53 SMS O’ZI, 88-939-29-97  SMS UKASI, 99-557-23-55  SMS AYOLI, 97-696-05-65  SMS UY,</t>
        </is>
      </c>
      <c r="G41" s="117" t="inlineStr">
        <is>
          <t xml:space="preserve">SURXONDARYO VILOYATI DENOV  SHAXAR  QIZILCHA MFY  OL’GA  KO’CHASI 42-UY</t>
        </is>
      </c>
      <c r="H41" s="118">
        <v>3.0</v>
      </c>
      <c r="I41" s="118">
        <v>2200493.14</v>
      </c>
      <c r="K41" s="117" t="inlineStr">
        <is>
          <t xml:space="preserve">uyida yoq | 343</t>
        </is>
      </c>
    </row>
    <row r="42">
      <c r="A42" s="117" t="inlineStr">
        <is>
          <t xml:space="preserve">СУРХОНДАРЁ ВИЛОЯТИ</t>
        </is>
      </c>
      <c r="B42" s="117" t="inlineStr">
        <is>
          <t xml:space="preserve">Денов филиали</t>
        </is>
      </c>
      <c r="C42" s="117" t="inlineStr">
        <is>
          <t xml:space="preserve">Объезд</t>
        </is>
      </c>
      <c r="D42" s="117" t="inlineStr">
        <is>
          <t xml:space="preserve">Кр-99041744-2</t>
        </is>
      </c>
      <c r="E42" s="117" t="inlineStr">
        <is>
          <t xml:space="preserve">KARIMOVA MADINA SOTTOR QIZI</t>
        </is>
      </c>
      <c r="F42" s="117" t="inlineStr">
        <is>
          <t xml:space="preserve">998975527101 SMS OZI, 998881927101 SMS UY, 999872010159 SMS OILASI, 998785510044 SMS UKASI, 998957737555 SMS ERI,</t>
        </is>
      </c>
      <c r="G42" s="117" t="inlineStr">
        <is>
          <t xml:space="preserve">SURXONDARYO VILOYATI DENOV TUMANI BUYUKIPAK YULI MFY I.KARIMOV 70-UY</t>
        </is>
      </c>
      <c r="H42" s="118">
        <v>3.0</v>
      </c>
      <c r="I42" s="118">
        <v>659652.09</v>
      </c>
      <c r="K42" s="117" t="inlineStr">
        <is>
          <t xml:space="preserve">2-3 kunda tolo qlad | 1202</t>
        </is>
      </c>
    </row>
    <row r="43">
      <c r="A43" s="99" t="inlineStr">
        <is>
          <t xml:space="preserve">ТОШКЕНТ ШАХРИ</t>
        </is>
      </c>
      <c r="B43" s="99" t="inlineStr">
        <is>
          <t xml:space="preserve">BOSH OFIS</t>
        </is>
      </c>
      <c r="C43" s="99" t="inlineStr">
        <is>
          <t xml:space="preserve">Объезд</t>
        </is>
      </c>
      <c r="D43" s="99" t="inlineStr">
        <is>
          <t xml:space="preserve">Кр-99053309-2</t>
        </is>
      </c>
      <c r="E43" s="99" t="inlineStr">
        <is>
          <t xml:space="preserve">SULTANOV OYBEK KARIMDJANOVICH</t>
        </is>
      </c>
      <c r="F43" s="99" t="inlineStr">
        <is>
          <t xml:space="preserve">+998938440445 Primary phone from road24, 998938440445 Primary phone from road24, 998712923966 sms uy, 998998440441 sms ayoli, 998998440445 sms uzi,</t>
        </is>
      </c>
      <c r="G43" s="99" t="inlineStr">
        <is>
          <t xml:space="preserve">Тошкент шахри Бектемир тумани Musaffo МФЙ, Хислат кучаси, 311-uy</t>
        </is>
      </c>
      <c r="H43" s="100">
        <v>3.0</v>
      </c>
      <c r="I43" s="100">
        <v>2480862.53</v>
      </c>
    </row>
    <row r="44">
      <c r="A44" s="99" t="inlineStr">
        <is>
          <t xml:space="preserve">ТОШКЕНТ ШАХРИ</t>
        </is>
      </c>
      <c r="B44" s="99" t="inlineStr">
        <is>
          <t xml:space="preserve">BOSH OFIS</t>
        </is>
      </c>
      <c r="C44" s="99" t="inlineStr">
        <is>
          <t xml:space="preserve">Объезд</t>
        </is>
      </c>
      <c r="D44" s="99" t="inlineStr">
        <is>
          <t xml:space="preserve">Кр-99039458-2</t>
        </is>
      </c>
      <c r="E44" s="99" t="inlineStr">
        <is>
          <t xml:space="preserve">SHARIPOV BAXODIR ATAXANOVICH</t>
        </is>
      </c>
      <c r="F44" s="99" t="inlineStr">
        <is>
          <t xml:space="preserve">998333930802 SMS QIZI, 998889964445 SMS OZI, 998914237477 SMS AYOLI,</t>
        </is>
      </c>
      <c r="G44" s="99" t="inlineStr">
        <is>
          <t xml:space="preserve">г. Ташкент, Чиланзарский район, кв. 19, Шухрат МСГ, 29- Дом, 49- Квартира</t>
        </is>
      </c>
      <c r="H44" s="100">
        <v>3.0</v>
      </c>
      <c r="I44" s="100">
        <v>1268967.44</v>
      </c>
      <c r="K44" s="99" t="inlineStr">
        <is>
          <t xml:space="preserve">846 | 20000000 | 474533.2</t>
        </is>
      </c>
    </row>
    <row r="45">
      <c r="A45" s="101" t="inlineStr">
        <is>
          <t xml:space="preserve">ТОШКЕНТ ШАХРИ</t>
        </is>
      </c>
      <c r="B45" s="101" t="inlineStr">
        <is>
          <t xml:space="preserve">SUPER BRANCH</t>
        </is>
      </c>
      <c r="C45" s="101" t="inlineStr">
        <is>
          <t xml:space="preserve">Объезд</t>
        </is>
      </c>
      <c r="D45" s="101" t="inlineStr">
        <is>
          <t xml:space="preserve">Кр-99040408-4</t>
        </is>
      </c>
      <c r="E45" s="101" t="inlineStr">
        <is>
          <t xml:space="preserve">XODIYEV FARRUX FURQAT O’G’LI</t>
        </is>
      </c>
      <c r="F45" s="101" t="inlineStr">
        <is>
          <t xml:space="preserve">998995705902 SMS OZI, 998977357760 SMS SHERIGI, 998817877602 SMS SHERIGI 2,</t>
        </is>
      </c>
      <c r="G45" s="101" t="inlineStr">
        <is>
          <t xml:space="preserve">TOSHKENT SHAHAR YUNUSOBOD TUMANI 11 KVARTAL,57-UY,46-XONADON</t>
        </is>
      </c>
      <c r="H45" s="102">
        <v>3.0</v>
      </c>
      <c r="I45" s="102">
        <v>13858285.35</v>
      </c>
    </row>
    <row r="46">
      <c r="A46" s="101" t="inlineStr">
        <is>
          <t xml:space="preserve">ТОШКЕНТ ШАХРИ</t>
        </is>
      </c>
      <c r="B46" s="101" t="inlineStr">
        <is>
          <t xml:space="preserve">SUPER BRANCH</t>
        </is>
      </c>
      <c r="C46" s="101" t="inlineStr">
        <is>
          <t xml:space="preserve">Объезд</t>
        </is>
      </c>
      <c r="D46" s="101" t="inlineStr">
        <is>
          <t xml:space="preserve">Кр-99042127-1</t>
        </is>
      </c>
      <c r="E46" s="101" t="inlineStr">
        <is>
          <t xml:space="preserve">ABDULLAYEVA SHAXLO SHARIFJONOVNA</t>
        </is>
      </c>
      <c r="F46" s="101" t="inlineStr">
        <is>
          <t xml:space="preserve">998953205678 SMS OZI begona , 998909813239 SMS ozi , 998946449886 SMS ogli , 998917829977 SMS eri ,</t>
        </is>
      </c>
      <c r="G46" s="101" t="inlineStr">
        <is>
          <t xml:space="preserve">TOSHKENT SHAHAR YUNUSOBOD TUMANI TIKLANISH MFY TIKLANISH PROEZD 6 KOCHASI 2-UY</t>
        </is>
      </c>
      <c r="H46" s="102">
        <v>31.0</v>
      </c>
      <c r="I46" s="102">
        <v>12146083.08</v>
      </c>
    </row>
    <row r="47">
      <c r="A47" s="101" t="inlineStr">
        <is>
          <t xml:space="preserve">ТОШКЕНТ ШАХРИ</t>
        </is>
      </c>
      <c r="B47" s="101" t="inlineStr">
        <is>
          <t xml:space="preserve">SUPER BRANCH</t>
        </is>
      </c>
      <c r="C47" s="101" t="inlineStr">
        <is>
          <t xml:space="preserve">Объезд</t>
        </is>
      </c>
      <c r="D47" s="101" t="inlineStr">
        <is>
          <t xml:space="preserve">Кр-99037797-1</t>
        </is>
      </c>
      <c r="E47" s="101" t="inlineStr">
        <is>
          <t xml:space="preserve">MUXTAROV BAXODIR SUNATOVICH</t>
        </is>
      </c>
      <c r="F47" s="101" t="inlineStr">
        <is>
          <t xml:space="preserve">998934231010 SMS OZI, 998997061818 SMS AKAASI, 998917178280 SMS OGLI (begona),</t>
        </is>
      </c>
      <c r="G47" s="101" t="inlineStr">
        <is>
          <t xml:space="preserve">TOSHKENT SHAHAR SHAYXONTOXUR TUMANI CHORSU MAYDONI CHAKAR MFY 4-UY, 9-XONADON</t>
        </is>
      </c>
      <c r="H47" s="102">
        <v>13.0</v>
      </c>
      <c r="I47" s="102">
        <v>8416532.26</v>
      </c>
    </row>
    <row r="48">
      <c r="A48" s="101" t="inlineStr">
        <is>
          <t xml:space="preserve">ТОШКЕНТ ШАХРИ</t>
        </is>
      </c>
      <c r="B48" s="101" t="inlineStr">
        <is>
          <t xml:space="preserve">SUPER BRANCH</t>
        </is>
      </c>
      <c r="C48" s="101" t="inlineStr">
        <is>
          <t xml:space="preserve">Объезд</t>
        </is>
      </c>
      <c r="D48" s="101" t="inlineStr">
        <is>
          <t xml:space="preserve">Кр-99046637-1</t>
        </is>
      </c>
      <c r="E48" s="101" t="inlineStr">
        <is>
          <t xml:space="preserve">KURBANOVA SHAXLO XALNAZAROVNA</t>
        </is>
      </c>
      <c r="F48" s="101" t="inlineStr">
        <is>
          <t xml:space="preserve">998974145451 SMS SINGLISI, 998977164240 SMS OZI, 998977508351 SMS ONASI,</t>
        </is>
      </c>
      <c r="G48" s="101" t="inlineStr">
        <is>
          <t xml:space="preserve">YUNUSOBOD 4 87-UY.64-XONADON</t>
        </is>
      </c>
      <c r="H48" s="102">
        <v>3.0</v>
      </c>
      <c r="I48" s="102">
        <v>7149862.51</v>
      </c>
    </row>
    <row r="49">
      <c r="A49" s="101" t="inlineStr">
        <is>
          <t xml:space="preserve">ТОШКЕНТ ШАХРИ</t>
        </is>
      </c>
      <c r="B49" s="101" t="inlineStr">
        <is>
          <t xml:space="preserve">SUPER BRANCH</t>
        </is>
      </c>
      <c r="C49" s="101" t="inlineStr">
        <is>
          <t xml:space="preserve">Объезд</t>
        </is>
      </c>
      <c r="D49" s="101" t="inlineStr">
        <is>
          <t xml:space="preserve">Кр-99011499-53</t>
        </is>
      </c>
      <c r="E49" s="101" t="inlineStr">
        <is>
          <t xml:space="preserve">SHODIYEVA ZIYODAJON SADULLAYEVNA</t>
        </is>
      </c>
      <c r="F49" s="101" t="inlineStr">
        <is>
          <t xml:space="preserve">90-326-00-94 SMS BEGZOD AKA SHEF TEL QLNMASIN , +998903260094 ,</t>
        </is>
      </c>
      <c r="G49" s="101" t="inlineStr">
        <is>
          <t xml:space="preserve">TOSHKENT SHAHAR MIRZO ULUGBEK TUMANI ALI ISAMUXAMEDOV 31</t>
        </is>
      </c>
      <c r="H49" s="102">
        <v>3.0</v>
      </c>
      <c r="I49" s="102">
        <v>5726223.17</v>
      </c>
    </row>
    <row r="50">
      <c r="A50" s="101" t="inlineStr">
        <is>
          <t xml:space="preserve">ТОШКЕНТ ШАХРИ</t>
        </is>
      </c>
      <c r="B50" s="101" t="inlineStr">
        <is>
          <t xml:space="preserve">SUPER BRANCH</t>
        </is>
      </c>
      <c r="C50" s="101" t="inlineStr">
        <is>
          <t xml:space="preserve">Объезд</t>
        </is>
      </c>
      <c r="D50" s="101" t="inlineStr">
        <is>
          <t xml:space="preserve">Кр-99038147-3</t>
        </is>
      </c>
      <c r="E50" s="101" t="inlineStr">
        <is>
          <t xml:space="preserve">NAJMITDINOVA BUSTON KAMALOVNA</t>
        </is>
      </c>
      <c r="F50" s="101" t="inlineStr">
        <is>
          <t xml:space="preserve">998338958507 SMS OZI, 998900261575 SMS KUYOVI, 998949594075 SMS QIZI,</t>
        </is>
      </c>
      <c r="G50" s="101" t="inlineStr">
        <is>
          <t xml:space="preserve">TOSHKENT SHAHAR MIRZO ULUG’BEK TUMANI, 1-PILLA KO’CHASI,115-UY</t>
        </is>
      </c>
      <c r="H50" s="102">
        <v>3.0</v>
      </c>
      <c r="I50" s="102">
        <v>5676169.74</v>
      </c>
    </row>
    <row r="51">
      <c r="A51" s="101" t="inlineStr">
        <is>
          <t xml:space="preserve">ТОШКЕНТ ШАХРИ</t>
        </is>
      </c>
      <c r="B51" s="101" t="inlineStr">
        <is>
          <t xml:space="preserve">SUPER BRANCH</t>
        </is>
      </c>
      <c r="C51" s="101" t="inlineStr">
        <is>
          <t xml:space="preserve">Объезд</t>
        </is>
      </c>
      <c r="D51" s="101" t="inlineStr">
        <is>
          <t xml:space="preserve">Кр-99037552-2</t>
        </is>
      </c>
      <c r="E51" s="101" t="inlineStr">
        <is>
          <t xml:space="preserve">UMAROV MUZAFFAR YULDOSHEVICH</t>
        </is>
      </c>
      <c r="F51" s="101" t="inlineStr">
        <is>
          <t xml:space="preserve"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51" s="101" t="inlineStr">
        <is>
          <t xml:space="preserve">TOSHKENT SHAHAR YUNUSOBOD TUMANI TURKISTON MFY,6-MAVZE,30-UY,6-XONADON</t>
        </is>
      </c>
      <c r="H51" s="102">
        <v>3.0</v>
      </c>
      <c r="I51" s="102">
        <v>5002771.74</v>
      </c>
    </row>
    <row r="52">
      <c r="A52" s="101" t="inlineStr">
        <is>
          <t xml:space="preserve">ТОШКЕНТ ШАХРИ</t>
        </is>
      </c>
      <c r="B52" s="101" t="inlineStr">
        <is>
          <t xml:space="preserve">SUPER BRANCH</t>
        </is>
      </c>
      <c r="C52" s="101" t="inlineStr">
        <is>
          <t xml:space="preserve">Объезд</t>
        </is>
      </c>
      <c r="D52" s="101" t="inlineStr">
        <is>
          <t xml:space="preserve">Кр-99017798-7</t>
        </is>
      </c>
      <c r="E52" s="101" t="inlineStr">
        <is>
          <t xml:space="preserve">MAVLYANOVA NARGIZA TAGIROVNA</t>
        </is>
      </c>
      <c r="F52" s="101" t="inlineStr">
        <is>
          <t xml:space="preserve">90-139-55-44 SMS, 90-941-24-91 SMS, 90-808-36-11 SMS, 93-504-22-04 SMS Ozi 2,</t>
        </is>
      </c>
      <c r="G52" s="101" t="inlineStr">
        <is>
          <t xml:space="preserve">Тошкент шахар Юнусобод тумани 14-мавзе 53-уй 55-хонадон</t>
        </is>
      </c>
      <c r="H52" s="102">
        <v>2.0</v>
      </c>
      <c r="I52" s="102">
        <v>3885049.4</v>
      </c>
      <c r="K52" s="101" t="inlineStr">
        <is>
          <t xml:space="preserve">10 kun tolab beradi</t>
        </is>
      </c>
    </row>
    <row r="53">
      <c r="A53" s="101" t="inlineStr">
        <is>
          <t xml:space="preserve">ТОШКЕНТ ШАХРИ</t>
        </is>
      </c>
      <c r="B53" s="101" t="inlineStr">
        <is>
          <t xml:space="preserve">SUPER BRANCH</t>
        </is>
      </c>
      <c r="C53" s="101" t="inlineStr">
        <is>
          <t xml:space="preserve">Объезд</t>
        </is>
      </c>
      <c r="D53" s="101" t="inlineStr">
        <is>
          <t xml:space="preserve">Кр-99028345-4</t>
        </is>
      </c>
      <c r="E53" s="101" t="inlineStr">
        <is>
          <t xml:space="preserve">KASIMOV MIRJAMOL MIRAZIZOVICH</t>
        </is>
      </c>
      <c r="F53" s="101" t="inlineStr">
        <is>
          <t xml:space="preserve">998991983322 SMS OZI, 998991303000 SMS OGLI SARDOR, 998971704411 SMS OZI 2,</t>
        </is>
      </c>
      <c r="G53" s="101" t="inlineStr">
        <is>
          <t xml:space="preserve">TOSHKENT SHAHAR SHAYXONTOXUR TUMANI OBINAZIR MFY GULOBOD MAVZESI 23-UY 12-XONADON</t>
        </is>
      </c>
      <c r="H53" s="102">
        <v>6.0</v>
      </c>
      <c r="I53" s="102">
        <v>3482613.51</v>
      </c>
    </row>
    <row r="54">
      <c r="A54" s="101" t="inlineStr">
        <is>
          <t xml:space="preserve">ТОШКЕНТ ШАХРИ</t>
        </is>
      </c>
      <c r="B54" s="101" t="inlineStr">
        <is>
          <t xml:space="preserve">SUPER BRANCH</t>
        </is>
      </c>
      <c r="C54" s="101" t="inlineStr">
        <is>
          <t xml:space="preserve">Объезд</t>
        </is>
      </c>
      <c r="D54" s="101" t="inlineStr">
        <is>
          <t xml:space="preserve">Кр-99039501-2</t>
        </is>
      </c>
      <c r="E54" s="101" t="inlineStr">
        <is>
          <t xml:space="preserve">QORIYEV SARVAR NOSIRJONOVICH</t>
        </is>
      </c>
      <c r="F54" s="101" t="inlineStr">
        <is>
          <t xml:space="preserve">+998936474400 SMS OZI, 998941373443 SMS DOSTI 2, 998951142949 SMS DOSTI,</t>
        </is>
      </c>
      <c r="G54" s="101" t="inlineStr">
        <is>
          <t xml:space="preserve">г. Ташкент, Юнусабадский район, кв. 6, Туркистон МСГ, 15- Дом, 34- Квартира</t>
        </is>
      </c>
      <c r="H54" s="102">
        <v>3.0</v>
      </c>
      <c r="I54" s="102">
        <v>2844307.61</v>
      </c>
    </row>
    <row r="55">
      <c r="A55" s="101" t="inlineStr">
        <is>
          <t xml:space="preserve">ТОШКЕНТ ШАХРИ</t>
        </is>
      </c>
      <c r="B55" s="101" t="inlineStr">
        <is>
          <t xml:space="preserve">SUPER BRANCH</t>
        </is>
      </c>
      <c r="C55" s="101" t="inlineStr">
        <is>
          <t xml:space="preserve">Объезд</t>
        </is>
      </c>
      <c r="D55" s="101" t="inlineStr">
        <is>
          <t xml:space="preserve">Кр-99062768-1</t>
        </is>
      </c>
      <c r="E55" s="101" t="inlineStr">
        <is>
          <t xml:space="preserve">RAXMANOVA XILOLA IBRAGIMOVNA</t>
        </is>
      </c>
      <c r="F55" s="101" t="inlineStr">
        <is>
          <t xml:space="preserve">998971046161 OZI, 998886959098 QIZI,</t>
        </is>
      </c>
      <c r="G55" s="101" t="inlineStr">
        <is>
          <t xml:space="preserve">Toshkent shahri  Bektemir tumani Musaffo MFY
Charog'on ko'chasi 2-uy 3-xonadon</t>
        </is>
      </c>
      <c r="H55" s="102">
        <v>3.0</v>
      </c>
      <c r="I55" s="102">
        <v>2568228.68</v>
      </c>
    </row>
    <row r="56">
      <c r="A56" s="101" t="inlineStr">
        <is>
          <t xml:space="preserve">ТОШКЕНТ ШАХРИ</t>
        </is>
      </c>
      <c r="B56" s="101" t="inlineStr">
        <is>
          <t xml:space="preserve">SUPER BRANCH</t>
        </is>
      </c>
      <c r="C56" s="101" t="inlineStr">
        <is>
          <t xml:space="preserve">Объезд</t>
        </is>
      </c>
      <c r="D56" s="101" t="inlineStr">
        <is>
          <t xml:space="preserve">Кр-99035831-1</t>
        </is>
      </c>
      <c r="E56" s="101" t="inlineStr">
        <is>
          <t xml:space="preserve">XAMIDOV BUNYOD QAXOR O’G’LI</t>
        </is>
      </c>
      <c r="F56" s="101" t="inlineStr">
        <is>
          <t xml:space="preserve">998977246861 SMS OZI, 998935303136 SMS UKASI, 998351959042 SMS UKASI, 998482468612 SMS OZI,</t>
        </is>
      </c>
      <c r="G56" s="101" t="inlineStr">
        <is>
          <t xml:space="preserve">TOSHKENT SHAHAR SIRG’ALI TUMANI XONTEPA MFY XONABOD KO’CHASI 14-UY</t>
        </is>
      </c>
      <c r="H56" s="102">
        <v>3.0</v>
      </c>
      <c r="I56" s="102">
        <v>2106164.52</v>
      </c>
    </row>
    <row r="57">
      <c r="A57" s="101" t="inlineStr">
        <is>
          <t xml:space="preserve">ТОШКЕНТ ШАХРИ</t>
        </is>
      </c>
      <c r="B57" s="101" t="inlineStr">
        <is>
          <t xml:space="preserve">SUPER BRANCH</t>
        </is>
      </c>
      <c r="C57" s="101" t="inlineStr">
        <is>
          <t xml:space="preserve">Объезд</t>
        </is>
      </c>
      <c r="D57" s="101" t="inlineStr">
        <is>
          <t xml:space="preserve">Кр-99039458-1</t>
        </is>
      </c>
      <c r="E57" s="101" t="inlineStr">
        <is>
          <t xml:space="preserve">SHARIPOV BAXODIR ATAXANOVICH</t>
        </is>
      </c>
      <c r="F57" s="101" t="inlineStr">
        <is>
          <t xml:space="preserve">998333930802 SMS QIZI, 998889964445 SMS OZI, 998914237477 SMS AYOLI,</t>
        </is>
      </c>
      <c r="G57" s="101" t="inlineStr">
        <is>
          <t xml:space="preserve">г. Ташкент, Чиланзарский район, кв. 19, Шухрат МСГ, 29- Дом, 49- Квартира</t>
        </is>
      </c>
      <c r="I57" s="102">
        <v>1635056.61</v>
      </c>
      <c r="K57" s="101" t="inlineStr">
        <is>
          <t xml:space="preserve">845 | 70000000 | 0</t>
        </is>
      </c>
    </row>
    <row r="58">
      <c r="A58" s="101" t="inlineStr">
        <is>
          <t xml:space="preserve">ТОШКЕНТ ШАХРИ</t>
        </is>
      </c>
      <c r="B58" s="101" t="inlineStr">
        <is>
          <t xml:space="preserve">SUPER BRANCH</t>
        </is>
      </c>
      <c r="C58" s="101" t="inlineStr">
        <is>
          <t xml:space="preserve">Объезд</t>
        </is>
      </c>
      <c r="D58" s="101" t="inlineStr">
        <is>
          <t xml:space="preserve">Кр-99062609-3</t>
        </is>
      </c>
      <c r="E58" s="101" t="inlineStr">
        <is>
          <t xml:space="preserve">ABDURASHIDOV SHAHZOD ABDURASHID O’G’LI</t>
        </is>
      </c>
      <c r="F58" s="101" t="inlineStr">
        <is>
          <t xml:space="preserve">998774024744 SMS AYOLI, 998983097733 SMS OZI 2, 998994445444 SMS OZI,</t>
        </is>
      </c>
      <c r="G58" s="101" t="inlineStr">
        <is>
          <t xml:space="preserve">TOSHKENT SHAHAR YUNUSOBOD TUMANI XAKIKAT MFY YANGIQURGON PR 2 KUCHASI 41-UY</t>
        </is>
      </c>
      <c r="H58" s="102">
        <v>3.0</v>
      </c>
      <c r="I58" s="102">
        <v>263834.4</v>
      </c>
      <c r="K58" s="101" t="inlineStr">
        <is>
          <t xml:space="preserve">yopildi</t>
        </is>
      </c>
    </row>
    <row r="59">
      <c r="A59" s="103" t="inlineStr">
        <is>
          <t xml:space="preserve">ФАРГОНА ВИЛОЯТИ</t>
        </is>
      </c>
      <c r="B59" s="103" t="inlineStr">
        <is>
          <t xml:space="preserve">BOSH OFIS</t>
        </is>
      </c>
      <c r="C59" s="103" t="inlineStr">
        <is>
          <t xml:space="preserve">Объезд</t>
        </is>
      </c>
      <c r="D59" s="103" t="inlineStr">
        <is>
          <t xml:space="preserve">Кр-99038391-1</t>
        </is>
      </c>
      <c r="E59" s="103" t="inlineStr">
        <is>
          <t xml:space="preserve">ERKABOYEV OYBEK XUSANOVICH</t>
        </is>
      </c>
      <c r="F59" s="103" t="inlineStr">
        <is>
          <t xml:space="preserve">998939799696 uzi, 998937494886 ayoli, 998937316996 ugli,</t>
        </is>
      </c>
      <c r="G59" s="103" t="inlineStr">
        <is>
          <t xml:space="preserve">Фаргона тумани Корасув МФЙ Шижоат кучаси ОҚБИЛОЛ ҚФЙ, ЯНГИ ОБОД МФЙ, ЎРИКЗОР КЎЧАСИ,  uy:89</t>
        </is>
      </c>
      <c r="H59" s="104">
        <v>3.0</v>
      </c>
      <c r="I59" s="104">
        <v>1895110.05</v>
      </c>
      <c r="K59" s="103" t="inlineStr">
        <is>
          <t xml:space="preserve">770</t>
        </is>
      </c>
    </row>
    <row r="60">
      <c r="A60" s="105" t="inlineStr">
        <is>
          <t xml:space="preserve">ФАРГОНА ВИЛОЯТИ</t>
        </is>
      </c>
      <c r="B60" s="105" t="inlineStr">
        <is>
          <t xml:space="preserve">SUPER BRANCH</t>
        </is>
      </c>
      <c r="C60" s="105" t="inlineStr">
        <is>
          <t xml:space="preserve">Объезд</t>
        </is>
      </c>
      <c r="D60" s="105" t="inlineStr">
        <is>
          <t xml:space="preserve">Кр-99060331-1</t>
        </is>
      </c>
      <c r="E60" s="105" t="inlineStr">
        <is>
          <t xml:space="preserve">UMAROVA EXTIBOR SOTVOLDIYEVNA</t>
        </is>
      </c>
      <c r="F60" s="105" t="inlineStr">
        <is>
          <t xml:space="preserve">998905331878 узи, 998932974444 невара, 998982775557 уй, 998943313223 эри,</t>
        </is>
      </c>
      <c r="G60" s="105" t="inlineStr">
        <is>
          <t xml:space="preserve">FARG’ONA VILOYATI, FARG’ONA SHAHRI, FARG’ONA MFY, FITRAT KO’CHASI, 27-UY</t>
        </is>
      </c>
      <c r="H60" s="106">
        <v>64.0</v>
      </c>
      <c r="I60" s="106">
        <v>52103348.88</v>
      </c>
      <c r="K60" s="105" t="inlineStr">
        <is>
          <t xml:space="preserve">1748</t>
        </is>
      </c>
    </row>
    <row r="61">
      <c r="A61" s="105" t="inlineStr">
        <is>
          <t xml:space="preserve">ФАРГОНА ВИЛОЯТИ</t>
        </is>
      </c>
      <c r="B61" s="105" t="inlineStr">
        <is>
          <t xml:space="preserve">SUPER BRANCH</t>
        </is>
      </c>
      <c r="C61" s="105" t="inlineStr">
        <is>
          <t xml:space="preserve">Объезд</t>
        </is>
      </c>
      <c r="D61" s="105" t="inlineStr">
        <is>
          <t xml:space="preserve">Кр-99035634-1</t>
        </is>
      </c>
      <c r="E61" s="105" t="inlineStr">
        <is>
          <t xml:space="preserve">QORABOYEVA GULXUMOR MUXAMMADRO’ZIYEVNA</t>
        </is>
      </c>
      <c r="F61" s="105" t="inlineStr">
        <is>
          <t xml:space="preserve">998908538090 SMS OZI, 998908581817 SMS OGLI, 998916884060 SMS QIZI, 998902934565 SMS JIYANI, 998910207077 KUYOVI TOLOVCHI ,</t>
        </is>
      </c>
      <c r="G61" s="105" t="inlineStr">
        <is>
          <t xml:space="preserve">FARG’ONA VILOYATI BOG’DOD TUMANI MURUVAT MFY YOSH AVLOD KO’CHASI 12-UY 14-XONADON</t>
        </is>
      </c>
      <c r="H61" s="106">
        <v>136.0</v>
      </c>
      <c r="I61" s="106">
        <v>27694569.34</v>
      </c>
      <c r="K61" s="105" t="inlineStr">
        <is>
          <t xml:space="preserve">595</t>
        </is>
      </c>
    </row>
    <row r="62">
      <c r="A62" s="105" t="inlineStr">
        <is>
          <t xml:space="preserve">ФАРГОНА ВИЛОЯТИ</t>
        </is>
      </c>
      <c r="B62" s="105" t="inlineStr">
        <is>
          <t xml:space="preserve">SUPER BRANCH</t>
        </is>
      </c>
      <c r="C62" s="105" t="inlineStr">
        <is>
          <t xml:space="preserve">Объезд</t>
        </is>
      </c>
      <c r="D62" s="105" t="inlineStr">
        <is>
          <t xml:space="preserve">Кр-99036005-1</t>
        </is>
      </c>
      <c r="E62" s="105" t="inlineStr">
        <is>
          <t xml:space="preserve">YO’LDASHEV JASURBEK JALOLIDIN O’G’LI</t>
        </is>
      </c>
      <c r="F62" s="105" t="inlineStr">
        <is>
          <t xml:space="preserve">998940591389 SMS O’ZI, 998939749309 SMS AYOLI, 998950051108 SMS ONASI , 998999150265 SMS DADASI ,</t>
        </is>
      </c>
      <c r="G62" s="105" t="inlineStr">
        <is>
          <t xml:space="preserve">FARG’ONA VILOYATI BESHARIQ TUMANI KUM MFY KO’KDALA KO’CHASI 531-XONADON</t>
        </is>
      </c>
      <c r="H62" s="106">
        <v>52.0</v>
      </c>
      <c r="I62" s="106">
        <v>13255169.98</v>
      </c>
      <c r="K62" s="105" t="inlineStr">
        <is>
          <t xml:space="preserve">629</t>
        </is>
      </c>
    </row>
    <row r="63">
      <c r="A63" s="105" t="inlineStr">
        <is>
          <t xml:space="preserve">ФАРГОНА ВИЛОЯТИ</t>
        </is>
      </c>
      <c r="B63" s="105" t="inlineStr">
        <is>
          <t xml:space="preserve">SUPER BRANCH</t>
        </is>
      </c>
      <c r="C63" s="105" t="inlineStr">
        <is>
          <t xml:space="preserve">Объезд</t>
        </is>
      </c>
      <c r="D63" s="105" t="inlineStr">
        <is>
          <t xml:space="preserve">Кр-99039797-1</t>
        </is>
      </c>
      <c r="E63" s="105" t="inlineStr">
        <is>
          <t xml:space="preserve">GAFOROV IKBOLJON UKTAMOVICH</t>
        </is>
      </c>
      <c r="F63" s="105" t="inlineStr">
        <is>
          <t xml:space="preserve">998903699953 SMS OZI, 998911081214 SMS AYOLI, 998916729177 SMS OMASI, 998918865940 SMS UY, 998505995135 SMS UZI NEW, 998905618936 OPASI HADEB BEZOVTA QILINMASIN ,</t>
        </is>
      </c>
      <c r="G63" s="105" t="inlineStr">
        <is>
          <t xml:space="preserve">FARG’ONA VILOYATI RISHTON TUMANI ISTIQBOL MFY ZARARIK KO’CHASI 26-UY</t>
        </is>
      </c>
      <c r="H63" s="106">
        <v>3.0</v>
      </c>
      <c r="I63" s="106">
        <v>5440624.23</v>
      </c>
      <c r="K63" s="105" t="inlineStr">
        <is>
          <t xml:space="preserve">892</t>
        </is>
      </c>
    </row>
    <row r="64">
      <c r="A64" s="105" t="inlineStr">
        <is>
          <t xml:space="preserve">ФАРГОНА ВИЛОЯТИ</t>
        </is>
      </c>
      <c r="B64" s="105" t="inlineStr">
        <is>
          <t xml:space="preserve">SUPER BRANCH</t>
        </is>
      </c>
      <c r="C64" s="105" t="inlineStr">
        <is>
          <t xml:space="preserve">Объезд</t>
        </is>
      </c>
      <c r="D64" s="105" t="inlineStr">
        <is>
          <t xml:space="preserve">Кр-99047608-1</t>
        </is>
      </c>
      <c r="E64" s="105" t="inlineStr">
        <is>
          <t xml:space="preserve">ADXAMOV ABDUXALIL AKRAMJONOVICH</t>
        </is>
      </c>
      <c r="F64" s="105" t="inlineStr">
        <is>
          <t xml:space="preserve">998886630222 SMS JIYANI TOLOVCHI, 998939840364 SMS OZI , 998889840364 SMS AYOLI, 998881519222 SMS OGLI, 998889440364 OZI NEW, 998912821221 TOLOVCHINI DUGONASINI DADASI DUGONASI BILAN BIRGA TOLAYDI ,</t>
        </is>
      </c>
      <c r="G64" s="105" t="inlineStr">
        <is>
          <t xml:space="preserve">QUVASOY SHAHRI</t>
        </is>
      </c>
      <c r="H64" s="106">
        <v>3.0</v>
      </c>
      <c r="I64" s="106">
        <v>4804994.11</v>
      </c>
      <c r="K64" s="105" t="inlineStr">
        <is>
          <t xml:space="preserve">1391</t>
        </is>
      </c>
    </row>
    <row r="65">
      <c r="A65" s="105" t="inlineStr">
        <is>
          <t xml:space="preserve">ФАРГОНА ВИЛОЯТИ</t>
        </is>
      </c>
      <c r="B65" s="105" t="inlineStr">
        <is>
          <t xml:space="preserve">SUPER BRANCH</t>
        </is>
      </c>
      <c r="C65" s="105" t="inlineStr">
        <is>
          <t xml:space="preserve">Объезд</t>
        </is>
      </c>
      <c r="D65" s="105" t="inlineStr">
        <is>
          <t xml:space="preserve">Кр-99040038-1</t>
        </is>
      </c>
      <c r="E65" s="105" t="inlineStr">
        <is>
          <t xml:space="preserve">KARIMOV TEMURBEK TURSUNALI O’G’LI</t>
        </is>
      </c>
      <c r="F65" s="105" t="inlineStr">
        <is>
          <t xml:space="preserve">998939833343 SMS OZI, 998916564748 SMS ONASI, 998330310616 SMS OPASI, 998319363322 SMS OPASI 2,</t>
        </is>
      </c>
      <c r="G65" s="105" t="inlineStr">
        <is>
          <t xml:space="preserve">FARG’ONA VILOYATI FARG’ONA SHAHAR 9-FARG’ONA MFY M-SHAYXZODA 38-XONADON</t>
        </is>
      </c>
      <c r="H65" s="106">
        <v>3.0</v>
      </c>
      <c r="I65" s="106">
        <v>2531496.32</v>
      </c>
      <c r="K65" s="105" t="inlineStr">
        <is>
          <t xml:space="preserve">936</t>
        </is>
      </c>
    </row>
    <row r="66">
      <c r="A66" s="105" t="inlineStr">
        <is>
          <t xml:space="preserve">ФАРГОНА ВИЛОЯТИ</t>
        </is>
      </c>
      <c r="B66" s="105" t="inlineStr">
        <is>
          <t xml:space="preserve">SUPER BRANCH</t>
        </is>
      </c>
      <c r="C66" s="105" t="inlineStr">
        <is>
          <t xml:space="preserve">Объезд</t>
        </is>
      </c>
      <c r="D66" s="105" t="inlineStr">
        <is>
          <t xml:space="preserve">Кр-99039003-2</t>
        </is>
      </c>
      <c r="E66" s="105" t="inlineStr">
        <is>
          <t xml:space="preserve">ALIXONOV SHOKIRJON OLIMXANOVICH</t>
        </is>
      </c>
      <c r="F66" s="105" t="inlineStr">
        <is>
          <t xml:space="preserve">998936405000 SMS OZI, 998998350010 SMS OGLI, 998916615593 SMS AYOLI, 998903270001 SMS OGLI 2 BEGONA,</t>
        </is>
      </c>
      <c r="G66" s="105" t="inlineStr">
        <is>
          <t xml:space="preserve">FARG’ONA VILOYATI FARG’ONA SHAHAR SHODIYONA MFY TINIQ SOY KO’CHASI 79-XONADON</t>
        </is>
      </c>
      <c r="H66" s="106">
        <v>3.0</v>
      </c>
      <c r="I66" s="106">
        <v>1635814.01</v>
      </c>
      <c r="K66" s="105" t="inlineStr">
        <is>
          <t xml:space="preserve">811</t>
        </is>
      </c>
    </row>
    <row r="67">
      <c r="A67" s="105" t="inlineStr">
        <is>
          <t xml:space="preserve">ФАРГОНА ВИЛОЯТИ</t>
        </is>
      </c>
      <c r="B67" s="105" t="inlineStr">
        <is>
          <t xml:space="preserve">SUPER BRANCH</t>
        </is>
      </c>
      <c r="C67" s="105" t="inlineStr">
        <is>
          <t xml:space="preserve">Объезд</t>
        </is>
      </c>
      <c r="D67" s="105" t="inlineStr">
        <is>
          <t xml:space="preserve">Кр-99062879-1</t>
        </is>
      </c>
      <c r="E67" s="105" t="inlineStr">
        <is>
          <t xml:space="preserve">XOLBEKOV TO’LQINJON FOZILOVICH</t>
        </is>
      </c>
      <c r="F67" s="105" t="inlineStr">
        <is>
          <t xml:space="preserve">998972906368 SMS QIZI, 998974206368 SMS OZI, 998992206368 SMS AYOLI,</t>
        </is>
      </c>
      <c r="G67" s="105" t="inlineStr">
        <is>
          <t xml:space="preserve">QO’SHTEPA TUMANI , MEVAZOR 80-XONADON</t>
        </is>
      </c>
      <c r="H67" s="106">
        <v>3.0</v>
      </c>
      <c r="I67" s="106">
        <v>1125155.98</v>
      </c>
      <c r="K67" s="105" t="inlineStr">
        <is>
          <t xml:space="preserve">1928</t>
        </is>
      </c>
    </row>
    <row r="68">
      <c r="A68" s="105" t="inlineStr">
        <is>
          <t xml:space="preserve">ФАРГОНА ВИЛОЯТИ</t>
        </is>
      </c>
      <c r="B68" s="105" t="inlineStr">
        <is>
          <t xml:space="preserve">SUPER BRANCH</t>
        </is>
      </c>
      <c r="C68" s="105" t="inlineStr">
        <is>
          <t xml:space="preserve">Объезд</t>
        </is>
      </c>
      <c r="D68" s="105" t="inlineStr">
        <is>
          <t xml:space="preserve">Кр-99036500-3</t>
        </is>
      </c>
      <c r="E68" s="105" t="inlineStr">
        <is>
          <t xml:space="preserve">O’RMONOV MUXIBILLO XAMIDULLO O’G’LI</t>
        </is>
      </c>
      <c r="F68" s="105" t="inlineStr">
        <is>
          <t xml:space="preserve">998770238647 SMS ZALOGADATEL , 998957372797 SMS UYI , 998911525257 SMS OZI, 998957944494 SMS OZI 2, 998957372737 GAROV EGASI TOLOVCHI ,</t>
        </is>
      </c>
      <c r="G68" s="105" t="inlineStr">
        <is>
          <t xml:space="preserve">FARG’ONA VILOYATI O’ZBEKISTON TUMANI DEXQONOBOD QISHLOG’I 147-UY</t>
        </is>
      </c>
      <c r="I68" s="106">
        <v>396728.34</v>
      </c>
      <c r="K68" s="105" t="inlineStr">
        <is>
          <t xml:space="preserve">660</t>
        </is>
      </c>
    </row>
    <row r="69">
      <c r="A69" s="105" t="inlineStr">
        <is>
          <t xml:space="preserve">ФАРГОНА ВИЛОЯТИ</t>
        </is>
      </c>
      <c r="B69" s="105" t="inlineStr">
        <is>
          <t xml:space="preserve">SUPER BRANCH</t>
        </is>
      </c>
      <c r="C69" s="105" t="inlineStr">
        <is>
          <t xml:space="preserve">Объезд</t>
        </is>
      </c>
      <c r="D69" s="105" t="inlineStr">
        <is>
          <t xml:space="preserve">Кр-99040285-2</t>
        </is>
      </c>
      <c r="E69" s="105" t="inlineStr">
        <is>
          <t xml:space="preserve">NURBOYEV XUSNIDDIN ISROYILOVICH</t>
        </is>
      </c>
      <c r="F69" s="105" t="inlineStr">
        <is>
          <t xml:space="preserve">998995312666 SMS OZI, 998905332666 SMS AYOLI, 998952152666 SMS OGLI, 998953226662 SMS OGLI 2,</t>
        </is>
      </c>
      <c r="G69" s="105" t="inlineStr">
        <is>
          <t xml:space="preserve">FARG’ONA VILOYATI OLTIARIQ TUMANI DO’STLIK MFY S.SHROZIY KO’CHASI 103-XONADON</t>
        </is>
      </c>
      <c r="H69" s="106">
        <v>3.0</v>
      </c>
      <c r="I69" s="106">
        <v>156464.56</v>
      </c>
      <c r="K69" s="105" t="inlineStr">
        <is>
          <t xml:space="preserve">989</t>
        </is>
      </c>
    </row>
    <row r="70">
      <c r="A70" s="107" t="inlineStr">
        <is>
          <t xml:space="preserve">ФАРГОНА ВИЛОЯТИ</t>
        </is>
      </c>
      <c r="B70" s="107" t="inlineStr">
        <is>
          <t xml:space="preserve">Фарғона филиали</t>
        </is>
      </c>
      <c r="C70" s="107" t="inlineStr">
        <is>
          <t xml:space="preserve">Объезд</t>
        </is>
      </c>
      <c r="D70" s="107" t="inlineStr">
        <is>
          <t xml:space="preserve">Кр-99021030-1</t>
        </is>
      </c>
      <c r="E70" s="107" t="inlineStr">
        <is>
          <t xml:space="preserve">XAYITBOYEV BOBIRJON MADAMINOVICH</t>
        </is>
      </c>
      <c r="F70" s="107" t="inlineStr">
        <is>
          <t xml:space="preserve">91-128-80-09  SMS OZI BOG'CHALARGA GO'SHT TARQATADI , 94-235-80-09  SMS OZI 2 BEGONA, 91-660-53-47  SMS AYOLI, 90-531-73-73  SMS UKASI,</t>
        </is>
      </c>
      <c r="G70" s="107" t="inlineStr">
        <is>
          <t xml:space="preserve">FARG'ONA VILOYATI QUVA TUMANI MANAVIYAT KO'CHASI 44-XONADON</t>
        </is>
      </c>
      <c r="H70" s="108">
        <v>245.0</v>
      </c>
      <c r="I70" s="108">
        <v>108561146.76</v>
      </c>
      <c r="K70" s="107" t="inlineStr">
        <is>
          <t xml:space="preserve">137</t>
        </is>
      </c>
    </row>
    <row r="71">
      <c r="A71" s="107" t="inlineStr">
        <is>
          <t xml:space="preserve">ФАРГОНА ВИЛОЯТИ</t>
        </is>
      </c>
      <c r="B71" s="107" t="inlineStr">
        <is>
          <t xml:space="preserve">Фарғона филиали</t>
        </is>
      </c>
      <c r="C71" s="107" t="inlineStr">
        <is>
          <t xml:space="preserve">Объезд</t>
        </is>
      </c>
      <c r="D71" s="107" t="inlineStr">
        <is>
          <t xml:space="preserve">Кр-99040913-4</t>
        </is>
      </c>
      <c r="E71" s="107" t="inlineStr">
        <is>
          <t xml:space="preserve">ISMIXANOVA SEVILA MUSTAFAYEVNA</t>
        </is>
      </c>
      <c r="F71" s="107" t="inlineStr">
        <is>
          <t xml:space="preserve">+998907030041 O’ZI, 998904077354 SHERIGI, 998905815272 SINGLI, 998907040019 SMS O’ZI,</t>
        </is>
      </c>
      <c r="G71" s="107" t="inlineStr">
        <is>
          <t xml:space="preserve">FARG’ONA VILOYATI FARG’ONA SHAHAR IBRAT MFY REGISTON (O’RTA SHO’RA) KO’CHASI 2-UY 9-XONADON</t>
        </is>
      </c>
      <c r="H71" s="108">
        <v>94.0</v>
      </c>
      <c r="I71" s="108">
        <v>32146156.66</v>
      </c>
      <c r="K71" s="107" t="inlineStr">
        <is>
          <t xml:space="preserve">1088</t>
        </is>
      </c>
    </row>
    <row r="72">
      <c r="A72" s="107" t="inlineStr">
        <is>
          <t xml:space="preserve">ФАРГОНА ВИЛОЯТИ</t>
        </is>
      </c>
      <c r="B72" s="107" t="inlineStr">
        <is>
          <t xml:space="preserve">Фарғона филиали</t>
        </is>
      </c>
      <c r="C72" s="107" t="inlineStr">
        <is>
          <t xml:space="preserve">Объезд</t>
        </is>
      </c>
      <c r="D72" s="107" t="inlineStr">
        <is>
          <t xml:space="preserve">Кр-99041055-5</t>
        </is>
      </c>
      <c r="E72" s="107" t="inlineStr">
        <is>
          <t xml:space="preserve">MUMINOV MAMIRJON ABDUMALIKOVICH</t>
        </is>
      </c>
      <c r="F72" s="107" t="inlineStr">
        <is>
          <t xml:space="preserve">+998958366468 O’ZI, 998942063001 O¹G’LI,</t>
        </is>
      </c>
      <c r="G72" s="107" t="inlineStr">
        <is>
          <t xml:space="preserve">FARG’ONA VILOYATI QO’SHTEPA TUMANI KARNAYCHI MFY ARCHAZOR KO’CHASI 234-UY</t>
        </is>
      </c>
      <c r="H72" s="108">
        <v>3.0</v>
      </c>
      <c r="I72" s="108">
        <v>6577703.82</v>
      </c>
      <c r="K72" s="107" t="inlineStr">
        <is>
          <t xml:space="preserve">1102</t>
        </is>
      </c>
    </row>
    <row r="73">
      <c r="A73" s="107" t="inlineStr">
        <is>
          <t xml:space="preserve">ФАРГОНА ВИЛОЯТИ</t>
        </is>
      </c>
      <c r="B73" s="107" t="inlineStr">
        <is>
          <t xml:space="preserve">Фарғона филиали</t>
        </is>
      </c>
      <c r="C73" s="107" t="inlineStr">
        <is>
          <t xml:space="preserve">Объезд</t>
        </is>
      </c>
      <c r="D73" s="107" t="inlineStr">
        <is>
          <t xml:space="preserve">Кр-99041883-1</t>
        </is>
      </c>
      <c r="E73" s="107" t="inlineStr">
        <is>
          <t xml:space="preserve">UZAKOV ANVARJON MAKSIMOVICH</t>
        </is>
      </c>
      <c r="F73" s="107" t="inlineStr">
        <is>
          <t xml:space="preserve">+998993036357 SMS O’ZI, 998906326357 AYOLI, 998990097733 O’G’LI 2, 998991406357 O’G’LI,</t>
        </is>
      </c>
      <c r="G73" s="107" t="inlineStr">
        <is>
          <t xml:space="preserve">FARG’ONA VILOYATI OLTIARIQ TUMANI TINCHILIK MFY TADBIRKOR KO’CHASI 19-XONADON</t>
        </is>
      </c>
      <c r="H73" s="108">
        <v>3.0</v>
      </c>
      <c r="I73" s="108">
        <v>5607092.56</v>
      </c>
      <c r="K73" s="107" t="inlineStr">
        <is>
          <t xml:space="preserve">кисман толов кберди | 1218</t>
        </is>
      </c>
    </row>
    <row r="74">
      <c r="A74" s="107" t="inlineStr">
        <is>
          <t xml:space="preserve">ФАРГОНА ВИЛОЯТИ</t>
        </is>
      </c>
      <c r="B74" s="107" t="inlineStr">
        <is>
          <t xml:space="preserve">Фарғона филиали</t>
        </is>
      </c>
      <c r="C74" s="107" t="inlineStr">
        <is>
          <t xml:space="preserve">Объезд</t>
        </is>
      </c>
      <c r="D74" s="107" t="inlineStr">
        <is>
          <t xml:space="preserve">Кр-99027916-2</t>
        </is>
      </c>
      <c r="E74" s="107" t="inlineStr">
        <is>
          <t xml:space="preserve">SATTOROVA XURSHIDAXON RAVSHANJON QIZI</t>
        </is>
      </c>
      <c r="F74" s="107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74" s="107" t="inlineStr">
        <is>
          <t xml:space="preserve">FARG’ONA VILOYATI FARG’ONA SHAHAR FURQAT MFY, YOSHLIK KO’CHASI 93-A UY</t>
        </is>
      </c>
      <c r="H74" s="108">
        <v>3.0</v>
      </c>
      <c r="I74" s="108">
        <v>4053994.83</v>
      </c>
      <c r="K74" s="107" t="inlineStr">
        <is>
          <t xml:space="preserve">255</t>
        </is>
      </c>
    </row>
    <row r="75">
      <c r="A75" s="107" t="inlineStr">
        <is>
          <t xml:space="preserve">ФАРГОНА ВИЛОЯТИ</t>
        </is>
      </c>
      <c r="B75" s="107" t="inlineStr">
        <is>
          <t xml:space="preserve">Фарғона филиали</t>
        </is>
      </c>
      <c r="C75" s="107" t="inlineStr">
        <is>
          <t xml:space="preserve">Объезд</t>
        </is>
      </c>
      <c r="D75" s="107" t="inlineStr">
        <is>
          <t xml:space="preserve">Кр-99033555-2</t>
        </is>
      </c>
      <c r="E75" s="107" t="inlineStr">
        <is>
          <t xml:space="preserve">AKBAROV IKROM MUXAMEDOVICH</t>
        </is>
      </c>
      <c r="F75" s="107" t="inlineStr">
        <is>
          <t xml:space="preserve">998902938949 SMS O’ZI, 998903438280 SMS AKASI, 998905652884 SMS AYOLI, 998905084464 SMS JIYANI,</t>
        </is>
      </c>
      <c r="G75" s="107" t="inlineStr">
        <is>
          <t xml:space="preserve">FARG’ONA VILOYATI QO’QON SHAHAR USTA BOZOR MFY PARPASHABOF KO’CHASI 209-XONADON</t>
        </is>
      </c>
      <c r="H75" s="108">
        <v>3.0</v>
      </c>
      <c r="I75" s="108">
        <v>3640787.21</v>
      </c>
      <c r="K75" s="107" t="inlineStr">
        <is>
          <t xml:space="preserve">496</t>
        </is>
      </c>
    </row>
    <row r="76">
      <c r="A76" s="107" t="inlineStr">
        <is>
          <t xml:space="preserve">ФАРГОНА ВИЛОЯТИ</t>
        </is>
      </c>
      <c r="B76" s="107" t="inlineStr">
        <is>
          <t xml:space="preserve">Фарғона филиали</t>
        </is>
      </c>
      <c r="C76" s="107" t="inlineStr">
        <is>
          <t xml:space="preserve">Объезд</t>
        </is>
      </c>
      <c r="D76" s="107" t="inlineStr">
        <is>
          <t xml:space="preserve">Кр-99031452-1</t>
        </is>
      </c>
      <c r="E76" s="107" t="inlineStr">
        <is>
          <t xml:space="preserve">MUXITDINOVA MAXFUZAXON ABDUVAXOBOVNA</t>
        </is>
      </c>
      <c r="F76" s="107" t="inlineStr">
        <is>
          <t xml:space="preserve">88-864-34-24  SMS O'ZI  NON PATIR SOTADI , 91-282-12-21  SMS AMAKISI TO’LOVCHI , 91-665-15-66  SMS GAROV EGASI , 99-494-11-72 SMS  XOLASI ,</t>
        </is>
      </c>
      <c r="G76" s="107" t="inlineStr">
        <is>
          <t xml:space="preserve">FARG’ONA VILOYATI FAR’ONA SHAHAR AL-XORAZIMIY MFY, AL-XORAZIMIY KO’CHASI 11-UY 54 XONADON</t>
        </is>
      </c>
      <c r="H76" s="108">
        <v>3.0</v>
      </c>
      <c r="I76" s="108">
        <v>3103855.78</v>
      </c>
      <c r="K76" s="107" t="inlineStr">
        <is>
          <t xml:space="preserve">385</t>
        </is>
      </c>
    </row>
    <row r="77">
      <c r="A77" s="107" t="inlineStr">
        <is>
          <t xml:space="preserve">ФАРГОНА ВИЛОЯТИ</t>
        </is>
      </c>
      <c r="B77" s="107" t="inlineStr">
        <is>
          <t xml:space="preserve">Фарғона филиали</t>
        </is>
      </c>
      <c r="C77" s="107" t="inlineStr">
        <is>
          <t xml:space="preserve">Объезд</t>
        </is>
      </c>
      <c r="D77" s="107" t="inlineStr">
        <is>
          <t xml:space="preserve">Кр-99032078-3</t>
        </is>
      </c>
      <c r="E77" s="107" t="inlineStr">
        <is>
          <t xml:space="preserve">ABDULLAJONOV XOJIAKBAR OBIDJON O’G’LI</t>
        </is>
      </c>
      <c r="F77" s="107" t="inlineStr">
        <is>
          <t xml:space="preserve">998949997060 SMS O’ZI axrana bolib ishlid , 998947097060 SMS AYOLI, 998948129222 SMS AKASI, 998959709293 SMS KELINI, 998507138440 OZI NEW ,</t>
        </is>
      </c>
      <c r="G77" s="107" t="inlineStr">
        <is>
          <t xml:space="preserve">FARG’ONA VILOYATI FARG’ONA TUMANI MINDONOBOD MFY MADADKOR KO’CHASI 13-XONADON</t>
        </is>
      </c>
      <c r="H77" s="108">
        <v>3.0</v>
      </c>
      <c r="I77" s="108">
        <v>1777206.62</v>
      </c>
      <c r="K77" s="107" t="inlineStr">
        <is>
          <t xml:space="preserve">415</t>
        </is>
      </c>
    </row>
    <row r="78">
      <c r="A78" s="107" t="inlineStr">
        <is>
          <t xml:space="preserve">ФАРГОНА ВИЛОЯТИ</t>
        </is>
      </c>
      <c r="B78" s="107" t="inlineStr">
        <is>
          <t xml:space="preserve">Фарғона филиали</t>
        </is>
      </c>
      <c r="C78" s="107" t="inlineStr">
        <is>
          <t xml:space="preserve">Объезд</t>
        </is>
      </c>
      <c r="D78" s="107" t="inlineStr">
        <is>
          <t xml:space="preserve">Кр-99027619-5</t>
        </is>
      </c>
      <c r="E78" s="107" t="inlineStr">
        <is>
          <t xml:space="preserve">RO’ZIBOYEV JASURBEK ABDUSATTOR O’G’LI</t>
        </is>
      </c>
      <c r="F78" s="107" t="inlineStr">
        <is>
          <t xml:space="preserve">77-009-11-61 SMS OZI, 94-010-90-40 SMS Ortogi BEKZOD begona, 99-763-91-92 SMS AKASI MUXRIDDIN, 998994998162 Oyisi(941210467),</t>
        </is>
      </c>
      <c r="G78" s="107" t="inlineStr">
        <is>
          <t xml:space="preserve">FARGONA VILOYATI BOG’DOD TUMANI MATQULOBOT QISHLOGI ISTIQLOL KOCHASI 234-UY</t>
        </is>
      </c>
      <c r="H78" s="108">
        <v>3.0</v>
      </c>
      <c r="I78" s="108">
        <v>1369284.93</v>
      </c>
      <c r="K78" s="107" t="inlineStr">
        <is>
          <t xml:space="preserve">238</t>
        </is>
      </c>
    </row>
    <row r="79">
      <c r="A79" s="107" t="inlineStr">
        <is>
          <t xml:space="preserve">ФАРГОНА ВИЛОЯТИ</t>
        </is>
      </c>
      <c r="B79" s="107" t="inlineStr">
        <is>
          <t xml:space="preserve">Фарғона филиали</t>
        </is>
      </c>
      <c r="C79" s="107" t="inlineStr">
        <is>
          <t xml:space="preserve">Объезд</t>
        </is>
      </c>
      <c r="D79" s="107" t="inlineStr">
        <is>
          <t xml:space="preserve">Кр-99032078-4</t>
        </is>
      </c>
      <c r="E79" s="107" t="inlineStr">
        <is>
          <t xml:space="preserve">ABDULLAJONOV XOJIAKBAR OBIDJON O’G’LI</t>
        </is>
      </c>
      <c r="F79" s="107" t="inlineStr">
        <is>
          <t xml:space="preserve">998949997060 SMS O’ZI axrana bolib ishlid , 998947097060 SMS AYOLI, 998948129222 SMS AKASI, 998959709293 SMS KELINI, 998507138440 OZI NEW ,</t>
        </is>
      </c>
      <c r="G79" s="107" t="inlineStr">
        <is>
          <t xml:space="preserve">FARG’ONA VILOYATI FARG’ONA TUMANI MINDONOBOD MFY MADADKOR KO’CHASI 13-XONADON</t>
        </is>
      </c>
      <c r="H79" s="108">
        <v>3.0</v>
      </c>
      <c r="I79" s="108">
        <v>1168148.13</v>
      </c>
      <c r="K79" s="107" t="inlineStr">
        <is>
          <t xml:space="preserve">416</t>
        </is>
      </c>
    </row>
    <row r="80">
      <c r="A80" s="109" t="inlineStr">
        <is>
          <t xml:space="preserve">ХОРАЗМ ВИЛОЯТИ</t>
        </is>
      </c>
      <c r="B80" s="109" t="inlineStr">
        <is>
          <t xml:space="preserve">SUPER BRANCH</t>
        </is>
      </c>
      <c r="C80" s="109" t="inlineStr">
        <is>
          <t xml:space="preserve">Объезд</t>
        </is>
      </c>
      <c r="D80" s="109" t="inlineStr">
        <is>
          <t xml:space="preserve">Кр-99040263-2</t>
        </is>
      </c>
      <c r="E80" s="109" t="inlineStr">
        <is>
          <t xml:space="preserve">ABDULLAYEV BAXODIR ALIMBAYEVICH</t>
        </is>
      </c>
      <c r="F80" s="109" t="inlineStr">
        <is>
          <t xml:space="preserve">998991660816 SMS OZI, 998990624394 SMS OZI 2, 998949923336 SMS OGLI,</t>
        </is>
      </c>
      <c r="G80" s="109" t="inlineStr">
        <is>
          <t xml:space="preserve">XORAZM VILOYATI XONQA TUMANI PAXTAKOR MFY PAXTAKOR 4-TOR KO’CHASI 3-UY</t>
        </is>
      </c>
      <c r="H80" s="110">
        <v>3.0</v>
      </c>
      <c r="I80" s="110">
        <v>3489755.82</v>
      </c>
      <c r="K80" s="109" t="inlineStr">
        <is>
          <t xml:space="preserve">1-2 kunda filialga borib tolab ketad | 985</t>
        </is>
      </c>
    </row>
    <row r="81">
      <c r="A81" s="111" t="inlineStr">
        <is>
          <t xml:space="preserve">ХОРАЗМ ВИЛОЯТИ</t>
        </is>
      </c>
      <c r="B81" s="111" t="inlineStr">
        <is>
          <t xml:space="preserve">Урганч филиали</t>
        </is>
      </c>
      <c r="C81" s="111" t="inlineStr">
        <is>
          <t xml:space="preserve">Объезд</t>
        </is>
      </c>
      <c r="D81" s="111" t="inlineStr">
        <is>
          <t xml:space="preserve">Кр-99029612-1</t>
        </is>
      </c>
      <c r="E81" s="111" t="inlineStr">
        <is>
          <t xml:space="preserve">OTAJONOV G’AYRATBEK MARKS O’G’LI</t>
        </is>
      </c>
      <c r="F81" s="111" t="inlineStr">
        <is>
          <t xml:space="preserve">88-219-07-19  SMS UZI(begona), 88-649-22-11  SMS UKASI, 88-746-19-32  SMS ONASI, 88-485-15-35  SMS OTASI, 998881569799 SMS UZI new,</t>
        </is>
      </c>
      <c r="G81" s="111" t="inlineStr">
        <is>
          <t xml:space="preserve">XORAZM VIL QO’SHKO’PIR TUM SHIXMAXSHAD SH MAXMUD QASHQARIY KUCH 21-UY</t>
        </is>
      </c>
      <c r="H81" s="112">
        <v>234.0</v>
      </c>
      <c r="I81" s="112">
        <v>30901603.13</v>
      </c>
      <c r="K81" s="111" t="inlineStr">
        <is>
          <t xml:space="preserve">m | 324</t>
        </is>
      </c>
    </row>
    <row r="82">
      <c r="A82" s="111" t="inlineStr">
        <is>
          <t xml:space="preserve">ХОРАЗМ ВИЛОЯТИ</t>
        </is>
      </c>
      <c r="B82" s="111" t="inlineStr">
        <is>
          <t xml:space="preserve">Урганч филиали</t>
        </is>
      </c>
      <c r="C82" s="111" t="inlineStr">
        <is>
          <t xml:space="preserve">Объезд</t>
        </is>
      </c>
      <c r="D82" s="111" t="inlineStr">
        <is>
          <t xml:space="preserve">Кр-99041317-1</t>
        </is>
      </c>
      <c r="E82" s="111" t="inlineStr">
        <is>
          <t xml:space="preserve">KARIMOV SARDORBEK AXMEDJANOVICH</t>
        </is>
      </c>
      <c r="F82" s="111" t="inlineStr">
        <is>
          <t xml:space="preserve">+998886160585 SMS UZI, 998947101585 SMS AYOLI, 998990793313 SMS O’G’LI,</t>
        </is>
      </c>
      <c r="G82" s="111" t="inlineStr">
        <is>
          <t xml:space="preserve">ЭСКИ ҚИЁТ ҚФЙ, КУШЧИ КАТТАБОГ МФЙ, ЖАСУР,  uy:476</t>
        </is>
      </c>
      <c r="H82" s="112">
        <v>156.0</v>
      </c>
      <c r="I82" s="112">
        <v>23761792.57</v>
      </c>
      <c r="K82" s="111" t="inlineStr">
        <is>
          <t xml:space="preserve">m | 1143</t>
        </is>
      </c>
    </row>
    <row r="83">
      <c r="A83" s="111" t="inlineStr">
        <is>
          <t xml:space="preserve">ХОРАЗМ ВИЛОЯТИ</t>
        </is>
      </c>
      <c r="B83" s="111" t="inlineStr">
        <is>
          <t xml:space="preserve">Урганч филиали</t>
        </is>
      </c>
      <c r="C83" s="111" t="inlineStr">
        <is>
          <t xml:space="preserve">Объезд</t>
        </is>
      </c>
      <c r="D83" s="111" t="inlineStr">
        <is>
          <t xml:space="preserve">Кр-99033624-1</t>
        </is>
      </c>
      <c r="E83" s="111" t="inlineStr">
        <is>
          <t xml:space="preserve">SAPAYEV KUVANDIK KAMILOVICH</t>
        </is>
      </c>
      <c r="F83" s="111" t="inlineStr">
        <is>
          <t xml:space="preserve">998330667174 SMS O’ZI, 998914223737 SMS O’G’LI, 998883717174 SMS O’G’LI, 998932946708 SMS O’G’LI 2, 998914277174 Ozi New, 998971403313 Ogli New,</t>
        </is>
      </c>
      <c r="G83" s="111" t="inlineStr">
        <is>
          <t xml:space="preserve">XORAZM VILOYATI XIVA TUMANI GANDIMIYON QFY PARISHA MFY TUYG’U KUCHASI 132-UY</t>
        </is>
      </c>
      <c r="H83" s="112">
        <v>115.0</v>
      </c>
      <c r="I83" s="112">
        <v>9162983.14</v>
      </c>
      <c r="K83" s="111" t="inlineStr">
        <is>
          <t xml:space="preserve">m | 501</t>
        </is>
      </c>
    </row>
    <row r="84">
      <c r="A84" s="111" t="inlineStr">
        <is>
          <t xml:space="preserve">ХОРАЗМ ВИЛОЯТИ</t>
        </is>
      </c>
      <c r="B84" s="111" t="inlineStr">
        <is>
          <t xml:space="preserve">Урганч филиали</t>
        </is>
      </c>
      <c r="C84" s="111" t="inlineStr">
        <is>
          <t xml:space="preserve">Объезд</t>
        </is>
      </c>
      <c r="D84" s="111" t="inlineStr">
        <is>
          <t xml:space="preserve">Кр-99063545-1</t>
        </is>
      </c>
      <c r="E84" s="111" t="inlineStr">
        <is>
          <t xml:space="preserve">MADAMINOVA ZAMIRA SABIROVNA</t>
        </is>
      </c>
      <c r="F84" s="111" t="inlineStr">
        <is>
          <t xml:space="preserve">+998914290960 SMS UZI, 998944210960 SMS O’G’LI, 998944370960 SMS UYI,</t>
        </is>
      </c>
      <c r="G84" s="111" t="inlineStr">
        <is>
          <t xml:space="preserve">Хорезмская область, Ханкинский район, Хонка ГСГ, Пахлавонлар МСГ, ул. Олтин Хазина, дом 17</t>
        </is>
      </c>
      <c r="H84" s="112">
        <v>3.0</v>
      </c>
      <c r="I84" s="112">
        <v>6407457.78</v>
      </c>
      <c r="K84" s="111" t="inlineStr">
        <is>
          <t xml:space="preserve">2119</t>
        </is>
      </c>
    </row>
    <row r="85">
      <c r="A85" s="111" t="inlineStr">
        <is>
          <t xml:space="preserve">ХОРАЗМ ВИЛОЯТИ</t>
        </is>
      </c>
      <c r="B85" s="111" t="inlineStr">
        <is>
          <t xml:space="preserve">Урганч филиали</t>
        </is>
      </c>
      <c r="C85" s="111" t="inlineStr">
        <is>
          <t xml:space="preserve">Объезд</t>
        </is>
      </c>
      <c r="D85" s="111" t="inlineStr">
        <is>
          <t xml:space="preserve">Кр-99048761-1</t>
        </is>
      </c>
      <c r="E85" s="111" t="inlineStr">
        <is>
          <t xml:space="preserve">RAXIMOV QADAMBOY RUSTAMOVICH</t>
        </is>
      </c>
      <c r="F85" s="111" t="inlineStr">
        <is>
          <t xml:space="preserve">+998972214945 SMS O’G’LI, 998870014945 SMS AYOLI, 998876454945 SMS UZI,</t>
        </is>
      </c>
      <c r="G85" s="111" t="inlineStr">
        <is>
          <t xml:space="preserve">ХОРАЗМ ВИЛОЯТИ ХОНКА Ш., ЖАННАТМАКОН МФЙ, НАФОСАТ, 1 ТОР КЎЧАСИ,  uy:20</t>
        </is>
      </c>
      <c r="H85" s="112">
        <v>3.0</v>
      </c>
      <c r="I85" s="112">
        <v>4367942.85</v>
      </c>
      <c r="K85" s="111" t="inlineStr">
        <is>
          <t xml:space="preserve">kotarmad | 1416</t>
        </is>
      </c>
    </row>
    <row r="86">
      <c r="A86" s="111" t="inlineStr">
        <is>
          <t xml:space="preserve">ХОРАЗМ ВИЛОЯТИ</t>
        </is>
      </c>
      <c r="B86" s="111" t="inlineStr">
        <is>
          <t xml:space="preserve">Урганч филиали</t>
        </is>
      </c>
      <c r="C86" s="111" t="inlineStr">
        <is>
          <t xml:space="preserve">Объезд</t>
        </is>
      </c>
      <c r="D86" s="111" t="inlineStr">
        <is>
          <t xml:space="preserve">Кр-99031388-1</t>
        </is>
      </c>
      <c r="E86" s="111" t="inlineStr">
        <is>
          <t xml:space="preserve">RAXIMOV SHAVKAT NURMAMATOVICH</t>
        </is>
      </c>
      <c r="F86" s="111" t="inlineStr">
        <is>
          <t xml:space="preserve">95-312-25-66  SMS O’ZI, 95-031-96-24  SMS O’G’LI, 33-677-93-05  SMS O’G’LI 2, 33-029-19-70  SMS AYOLI,</t>
        </is>
      </c>
      <c r="G86" s="111" t="inlineStr">
        <is>
          <t xml:space="preserve">XORAZM VILOYATI XONQA TUMANI ISTIQLOL MFY IFTIXOR KUCHASI 71-UY</t>
        </is>
      </c>
      <c r="H86" s="112">
        <v>6.0</v>
      </c>
      <c r="I86" s="112">
        <v>2245700.49</v>
      </c>
      <c r="K86" s="111" t="inlineStr">
        <is>
          <t xml:space="preserve">Kotarmad | 380</t>
        </is>
      </c>
    </row>
    <row r="87">
      <c r="A87" s="111" t="inlineStr">
        <is>
          <t xml:space="preserve">ХОРАЗМ ВИЛОЯТИ</t>
        </is>
      </c>
      <c r="B87" s="111" t="inlineStr">
        <is>
          <t xml:space="preserve">Урганч филиали</t>
        </is>
      </c>
      <c r="C87" s="111" t="inlineStr">
        <is>
          <t xml:space="preserve">Объезд</t>
        </is>
      </c>
      <c r="D87" s="111" t="inlineStr">
        <is>
          <t xml:space="preserve">Кр-99048761-2</t>
        </is>
      </c>
      <c r="E87" s="111" t="inlineStr">
        <is>
          <t xml:space="preserve">RAXIMOV QADAMBOY RUSTAMOVICH</t>
        </is>
      </c>
      <c r="F87" s="111" t="inlineStr">
        <is>
          <t xml:space="preserve">+998972214945 SMS O’G’LI, 998870014945 SMS AYOLI, 998876454945 SMS UZI,</t>
        </is>
      </c>
      <c r="G87" s="111" t="inlineStr">
        <is>
          <t xml:space="preserve">ХОРАЗМ ВИЛОЯТИ ХОНКА Ш., ЖАННАТМАКОН МФЙ, НАФОСАТ, 1 ТОР КЎЧАСИ,  uy:20</t>
        </is>
      </c>
      <c r="H87" s="112">
        <v>3.0</v>
      </c>
      <c r="I87" s="112">
        <v>338345.0</v>
      </c>
      <c r="K87" s="111" t="inlineStr">
        <is>
          <t xml:space="preserve">kotarmad | 1417</t>
        </is>
      </c>
    </row>
  </sheetData>
  <autoFilter ref="A2:K87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ТОШКЕНТ ШАХРИ</t>
        </is>
      </c>
      <c r="B3" s="99" t="inlineStr">
        <is>
          <t xml:space="preserve">SUPER BRANCH</t>
        </is>
      </c>
      <c r="C3" s="99" t="inlineStr">
        <is>
          <t xml:space="preserve">Ko'tarmadi</t>
        </is>
      </c>
      <c r="D3" s="99" t="inlineStr">
        <is>
          <t xml:space="preserve">Кр-99037130-1</t>
        </is>
      </c>
      <c r="E3" s="99" t="inlineStr">
        <is>
          <t xml:space="preserve">ABDURAIMOVA DILNAVO ABDUALIMOVNA</t>
        </is>
      </c>
      <c r="F3" s="99" t="inlineStr">
        <is>
          <t xml:space="preserve">998977146828 SMS OZI, 998996899248 SMS QARINDOSHI, 998884452393 SMS OVSINI, 998917821504 SMS O’ZI 2,</t>
        </is>
      </c>
      <c r="G3" s="99" t="inlineStr">
        <is>
          <t xml:space="preserve"> KO’RMANA MFY 10-MAVZE 21-UY,10-XONADON</t>
        </is>
      </c>
      <c r="H3" s="100">
        <v>3.0</v>
      </c>
      <c r="I3" s="100">
        <v>4608834.42</v>
      </c>
      <c r="J3" s="100">
        <v>4608834.42</v>
      </c>
      <c r="K3" s="99" t="inlineStr">
        <is>
          <t xml:space="preserve">676 | 73000000 | 2233728.8</t>
        </is>
      </c>
    </row>
  </sheetData>
  <autoFilter ref="A2:K3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Ввод</vt:lpstr>
      <vt:lpstr>Отчёт_дня</vt:lpstr>
      <vt:lpstr>Дашборд</vt:lpstr>
      <vt:lpstr>Справочники</vt:lpstr>
      <vt:lpstr>Gaplashgan</vt:lpstr>
      <vt:lpstr>Обещали</vt:lpstr>
      <vt:lpstr>Ko'tarmadi</vt:lpstr>
      <vt:lpstr>Объезд</vt:lpstr>
      <vt:lpstr>Оплатили</vt:lpstr>
      <vt:lpstr>Оплатили без разговора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